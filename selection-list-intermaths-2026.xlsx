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a40dd75a7e0e72cd/Desktop/EXCEL/"/>
    </mc:Choice>
  </mc:AlternateContent>
  <xr:revisionPtr revIDLastSave="9" documentId="8_{4542985C-AA0C-4730-AD06-E3E7987E871A}" xr6:coauthVersionLast="47" xr6:coauthVersionMax="47" xr10:uidLastSave="{E8C3364E-3AFB-44AC-872D-C435E7F82CF1}"/>
  <bookViews>
    <workbookView xWindow="28680" yWindow="-120" windowWidth="29040" windowHeight="15720" activeTab="2" xr2:uid="{00000000-000D-0000-FFFF-FFFF00000000}"/>
  </bookViews>
  <sheets>
    <sheet name="Sheet3" sheetId="4" r:id="rId1"/>
    <sheet name="Table 1" sheetId="1" r:id="rId2"/>
    <sheet name="DASHBOARD" sheetId="5" r:id="rId3"/>
    <sheet name="Sheet1" sheetId="6" r:id="rId4"/>
  </sheets>
  <definedNames>
    <definedName name="_xlchart.v2.0" hidden="1">Sheet3!$E$55:$E$57</definedName>
    <definedName name="_xlchart.v2.1" hidden="1">Sheet3!$F$55:$F$57</definedName>
  </definedName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9" i="4" l="1"/>
  <c r="E75" i="4"/>
  <c r="E77" i="4"/>
  <c r="D67" i="4" a="1"/>
  <c r="D67" i="4" s="1"/>
  <c r="E67" i="4" s="1"/>
  <c r="J11" i="4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15" i="4" a="1"/>
  <c r="I15" i="4" s="1"/>
  <c r="J10" i="4"/>
  <c r="J9" i="4"/>
  <c r="J7" i="4"/>
  <c r="J6" i="4"/>
  <c r="J5" i="4"/>
  <c r="J4" i="4"/>
  <c r="O8" i="4"/>
  <c r="O7" i="4"/>
  <c r="O6" i="4"/>
  <c r="O5" i="4"/>
  <c r="D8" i="4"/>
  <c r="D7" i="4"/>
  <c r="C4" i="4"/>
  <c r="E74" i="4" l="1"/>
  <c r="E81" i="4"/>
  <c r="E73" i="4"/>
  <c r="E80" i="4"/>
  <c r="E72" i="4"/>
  <c r="E79" i="4"/>
  <c r="E71" i="4"/>
  <c r="E78" i="4"/>
  <c r="E70" i="4"/>
  <c r="E76" i="4"/>
  <c r="E68" i="4"/>
  <c r="F58" i="4"/>
  <c r="F55" i="4"/>
  <c r="F56" i="4"/>
  <c r="F57" i="4"/>
  <c r="J78" i="4"/>
  <c r="J70" i="4"/>
  <c r="J62" i="4"/>
  <c r="J54" i="4"/>
  <c r="J46" i="4"/>
  <c r="J38" i="4"/>
  <c r="J30" i="4"/>
  <c r="J22" i="4"/>
  <c r="J77" i="4"/>
  <c r="J69" i="4"/>
  <c r="J61" i="4"/>
  <c r="J53" i="4"/>
  <c r="J45" i="4"/>
  <c r="J37" i="4"/>
  <c r="J29" i="4"/>
  <c r="J21" i="4"/>
  <c r="J20" i="4"/>
  <c r="J75" i="4"/>
  <c r="J67" i="4"/>
  <c r="J59" i="4"/>
  <c r="J51" i="4"/>
  <c r="J43" i="4"/>
  <c r="J35" i="4"/>
  <c r="J27" i="4"/>
  <c r="J19" i="4"/>
  <c r="J76" i="4"/>
  <c r="J44" i="4"/>
  <c r="J16" i="4"/>
  <c r="J74" i="4"/>
  <c r="J66" i="4"/>
  <c r="J58" i="4"/>
  <c r="J50" i="4"/>
  <c r="J42" i="4"/>
  <c r="J34" i="4"/>
  <c r="J26" i="4"/>
  <c r="J18" i="4"/>
  <c r="J68" i="4"/>
  <c r="J36" i="4"/>
  <c r="J81" i="4"/>
  <c r="J73" i="4"/>
  <c r="J65" i="4"/>
  <c r="J57" i="4"/>
  <c r="J49" i="4"/>
  <c r="J41" i="4"/>
  <c r="J33" i="4"/>
  <c r="J25" i="4"/>
  <c r="J17" i="4"/>
  <c r="J28" i="4"/>
  <c r="J80" i="4"/>
  <c r="J72" i="4"/>
  <c r="J64" i="4"/>
  <c r="J56" i="4"/>
  <c r="J48" i="4"/>
  <c r="J40" i="4"/>
  <c r="J32" i="4"/>
  <c r="J24" i="4"/>
  <c r="J60" i="4"/>
  <c r="J52" i="4"/>
  <c r="J79" i="4"/>
  <c r="J71" i="4"/>
  <c r="J63" i="4"/>
  <c r="J55" i="4"/>
  <c r="J47" i="4"/>
  <c r="J39" i="4"/>
  <c r="J31" i="4"/>
  <c r="J23" i="4"/>
  <c r="K42" i="4" l="1"/>
  <c r="K4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<sst xmlns="http://schemas.openxmlformats.org/spreadsheetml/2006/main" count="10282" uniqueCount="104">
  <si>
    <r>
      <rPr>
        <b/>
        <sz val="10"/>
        <rFont val="Calibri"/>
        <family val="1"/>
      </rPr>
      <t>ID PICA</t>
    </r>
  </si>
  <si>
    <r>
      <rPr>
        <b/>
        <sz val="9"/>
        <rFont val="Calibri"/>
        <family val="1"/>
      </rPr>
      <t>Selected MM</t>
    </r>
  </si>
  <si>
    <r>
      <rPr>
        <b/>
        <sz val="9"/>
        <rFont val="Calibri"/>
        <family val="1"/>
      </rPr>
      <t>Selected RM</t>
    </r>
  </si>
  <si>
    <r>
      <rPr>
        <b/>
        <sz val="10"/>
        <rFont val="Calibri"/>
        <family val="1"/>
      </rPr>
      <t>SCORE</t>
    </r>
  </si>
  <si>
    <r>
      <rPr>
        <b/>
        <sz val="9"/>
        <rFont val="Calibri"/>
        <family val="1"/>
      </rPr>
      <t>EMJM Scholarship</t>
    </r>
  </si>
  <si>
    <r>
      <rPr>
        <b/>
        <sz val="9"/>
        <rFont val="Calibri"/>
        <family val="1"/>
      </rPr>
      <t>Ranking</t>
    </r>
  </si>
  <si>
    <r>
      <rPr>
        <sz val="10"/>
        <rFont val="Calibri"/>
        <family val="1"/>
      </rPr>
      <t>Yes</t>
    </r>
  </si>
  <si>
    <r>
      <rPr>
        <b/>
        <sz val="9"/>
        <rFont val="Calibri"/>
        <family val="1"/>
      </rPr>
      <t>Awarded</t>
    </r>
  </si>
  <si>
    <r>
      <rPr>
        <sz val="9"/>
        <rFont val="Calibri"/>
        <family val="1"/>
      </rPr>
      <t>Waiting List</t>
    </r>
  </si>
  <si>
    <r>
      <rPr>
        <sz val="10"/>
        <rFont val="Calibri"/>
        <family val="1"/>
      </rPr>
      <t>No</t>
    </r>
  </si>
  <si>
    <r>
      <rPr>
        <sz val="9"/>
        <rFont val="Calibri"/>
        <family val="1"/>
      </rPr>
      <t>N/A</t>
    </r>
  </si>
  <si>
    <t>Waiting List</t>
  </si>
  <si>
    <t>Count of ID PICA</t>
  </si>
  <si>
    <t>Yes</t>
  </si>
  <si>
    <t>Row Labels</t>
  </si>
  <si>
    <t>Belgium</t>
  </si>
  <si>
    <t>Brazil</t>
  </si>
  <si>
    <t>Cambodia</t>
  </si>
  <si>
    <t>Cameroon</t>
  </si>
  <si>
    <t>Chile</t>
  </si>
  <si>
    <t>China</t>
  </si>
  <si>
    <t>Congo</t>
  </si>
  <si>
    <t>Croatia</t>
  </si>
  <si>
    <t>Egypt</t>
  </si>
  <si>
    <t>Ethiopia</t>
  </si>
  <si>
    <t>France</t>
  </si>
  <si>
    <t>Greece</t>
  </si>
  <si>
    <t>Ireland</t>
  </si>
  <si>
    <t>Italy</t>
  </si>
  <si>
    <t>Kazakhstan</t>
  </si>
  <si>
    <t>Kenya</t>
  </si>
  <si>
    <t>Kosovo</t>
  </si>
  <si>
    <t>Kyrgyzstan</t>
  </si>
  <si>
    <t>Latvia</t>
  </si>
  <si>
    <t>Lebanon</t>
  </si>
  <si>
    <t>Lithuania</t>
  </si>
  <si>
    <t>Malaysia</t>
  </si>
  <si>
    <t>Mexico</t>
  </si>
  <si>
    <t>Morocco</t>
  </si>
  <si>
    <t>Poland</t>
  </si>
  <si>
    <t>Russia</t>
  </si>
  <si>
    <t>Rwanda</t>
  </si>
  <si>
    <t>Spain</t>
  </si>
  <si>
    <t>Sweden</t>
  </si>
  <si>
    <t>Switzerland</t>
  </si>
  <si>
    <t>The Gambia</t>
  </si>
  <si>
    <t>Turkey</t>
  </si>
  <si>
    <t>Ukraine</t>
  </si>
  <si>
    <t>United Kingdom</t>
  </si>
  <si>
    <t>Grand Total</t>
  </si>
  <si>
    <t>Australia</t>
  </si>
  <si>
    <t>Vietnam</t>
  </si>
  <si>
    <t>Koreasouth</t>
  </si>
  <si>
    <t>United States Of America</t>
  </si>
  <si>
    <t>Germany</t>
  </si>
  <si>
    <t>India</t>
  </si>
  <si>
    <t>Southafrica</t>
  </si>
  <si>
    <t>Colombia</t>
  </si>
  <si>
    <t>Pakistan</t>
  </si>
  <si>
    <t>Argentina</t>
  </si>
  <si>
    <t>Iran</t>
  </si>
  <si>
    <t>Nigeria</t>
  </si>
  <si>
    <t>Bangladesh</t>
  </si>
  <si>
    <t>Ecuador</t>
  </si>
  <si>
    <t>Uganda</t>
  </si>
  <si>
    <t>State Of Palestine</t>
  </si>
  <si>
    <t>Tunisia</t>
  </si>
  <si>
    <t>Ghana</t>
  </si>
  <si>
    <t>Srilanka</t>
  </si>
  <si>
    <t>Algeria</t>
  </si>
  <si>
    <t>Indonesia</t>
  </si>
  <si>
    <t>Nepal</t>
  </si>
  <si>
    <t>Macedonia</t>
  </si>
  <si>
    <t>Thailand</t>
  </si>
  <si>
    <t>Zimbabwe</t>
  </si>
  <si>
    <t>Serbia</t>
  </si>
  <si>
    <t>Tanzania</t>
  </si>
  <si>
    <t>Honduras</t>
  </si>
  <si>
    <t>Uzbekistan</t>
  </si>
  <si>
    <t>Madagascar</t>
  </si>
  <si>
    <t/>
  </si>
  <si>
    <t>Nationality</t>
  </si>
  <si>
    <t>Count of EMJM Scholarship</t>
  </si>
  <si>
    <t>Selected IM</t>
  </si>
  <si>
    <t>No</t>
  </si>
  <si>
    <t>Awarded</t>
  </si>
  <si>
    <t>Awaiting</t>
  </si>
  <si>
    <t>N/A</t>
  </si>
  <si>
    <t>Blank</t>
  </si>
  <si>
    <t>Intermath</t>
  </si>
  <si>
    <t>MM</t>
  </si>
  <si>
    <t>RM</t>
  </si>
  <si>
    <t>Category</t>
  </si>
  <si>
    <t>Double Yes</t>
  </si>
  <si>
    <t>Single Yes</t>
  </si>
  <si>
    <t>Triple Yes</t>
  </si>
  <si>
    <t>Count of Category</t>
  </si>
  <si>
    <t>Triple No</t>
  </si>
  <si>
    <t>Percentage</t>
  </si>
  <si>
    <t>No Decision</t>
  </si>
  <si>
    <t>AWAITING</t>
  </si>
  <si>
    <t>N/A.</t>
  </si>
  <si>
    <t>N/A,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</si>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</sst>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6" x14ac:knownFonts="1">
    <font>
      <sz val="10"/>
      <color rgb="FF000000"/>
      <name val="Times New Roman"/>
      <charset val="204"/>
    </font>
    <font>
      <b/>
      <sz val="10"/>
      <name val="Calibri"/>
    </font>
    <font>
      <b/>
      <sz val="9"/>
      <name val="Calibri"/>
    </font>
    <font>
      <sz val="10"/>
      <color rgb="FF000000"/>
      <name val="Calibri"/>
      <family val="2"/>
    </font>
    <font>
      <sz val="10"/>
      <name val="Calibri"/>
    </font>
    <font>
      <sz val="9"/>
      <color rgb="FF000000"/>
      <name val="Calibri"/>
      <family val="2"/>
    </font>
    <font>
      <sz val="9"/>
      <name val="Calibri"/>
    </font>
    <font>
      <b/>
      <sz val="10"/>
      <name val="Calibri"/>
      <family val="1"/>
    </font>
    <font>
      <b/>
      <sz val="9"/>
      <name val="Calibri"/>
      <family val="1"/>
    </font>
    <font>
      <sz val="10"/>
      <name val="Calibri"/>
      <family val="1"/>
    </font>
    <font>
      <sz val="9"/>
      <name val="Calibri"/>
      <family val="1"/>
    </font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"/>
      <color theme="6" tint="-0.499984740745262"/>
      <name val="Times New Roman"/>
      <family val="1"/>
    </font>
    <font>
      <sz val="10"/>
      <color theme="9" tint="-0.249977111117893"/>
      <name val="Times New Roman"/>
      <family val="1"/>
    </font>
    <font>
      <sz val="10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D0D0D0"/>
      </patternFill>
    </fill>
    <fill>
      <patternFill patternType="solid">
        <fgColor rgb="FFD0D0D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53">
    <xf numFmtId="0" fontId="0" fillId="0" borderId="0" xfId="0" applyAlignment="1">
      <alignment horizontal="left" vertical="top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right" vertical="top" shrinkToFit="1"/>
    </xf>
    <xf numFmtId="0" fontId="2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10" fillId="0" borderId="1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right" vertical="top" shrinkToFi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right" vertical="top" wrapText="1"/>
    </xf>
    <xf numFmtId="0" fontId="2" fillId="2" borderId="6" xfId="0" applyFont="1" applyFill="1" applyBorder="1" applyAlignment="1">
      <alignment horizontal="left" vertical="top" wrapText="1" indent="1"/>
    </xf>
    <xf numFmtId="1" fontId="3" fillId="0" borderId="7" xfId="0" applyNumberFormat="1" applyFont="1" applyBorder="1" applyAlignment="1">
      <alignment horizontal="center" vertical="top" shrinkToFit="1"/>
    </xf>
    <xf numFmtId="0" fontId="0" fillId="0" borderId="8" xfId="0" applyBorder="1" applyAlignment="1">
      <alignment horizontal="left" vertical="center" wrapText="1"/>
    </xf>
    <xf numFmtId="0" fontId="4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left" vertical="center" wrapText="1"/>
    </xf>
    <xf numFmtId="1" fontId="0" fillId="0" borderId="0" xfId="0" applyNumberFormat="1" applyAlignment="1">
      <alignment horizontal="left" vertical="top"/>
    </xf>
    <xf numFmtId="0" fontId="9" fillId="0" borderId="1" xfId="0" applyFont="1" applyBorder="1" applyAlignment="1">
      <alignment horizontal="center" vertical="top" wrapText="1"/>
    </xf>
    <xf numFmtId="0" fontId="0" fillId="0" borderId="0" xfId="0" pivotButton="1" applyAlignment="1">
      <alignment horizontal="left" vertical="top"/>
    </xf>
    <xf numFmtId="0" fontId="8" fillId="2" borderId="5" xfId="0" applyFont="1" applyFill="1" applyBorder="1" applyAlignment="1">
      <alignment horizontal="center" vertical="top" wrapText="1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164" fontId="0" fillId="0" borderId="0" xfId="1" applyNumberFormat="1" applyFont="1" applyAlignment="1">
      <alignment horizontal="left" vertical="top"/>
    </xf>
    <xf numFmtId="0" fontId="0" fillId="0" borderId="0" xfId="0" applyAlignment="1">
      <alignment horizontal="left" vertical="center" wrapText="1"/>
    </xf>
    <xf numFmtId="0" fontId="2" fillId="3" borderId="5" xfId="0" applyFont="1" applyFill="1" applyBorder="1" applyAlignment="1">
      <alignment horizontal="center" vertical="top" wrapText="1"/>
    </xf>
    <xf numFmtId="1" fontId="3" fillId="0" borderId="0" xfId="0" applyNumberFormat="1" applyFont="1" applyAlignment="1">
      <alignment horizontal="center" vertical="top" shrinkToFit="1"/>
    </xf>
    <xf numFmtId="0" fontId="4" fillId="0" borderId="0" xfId="0" applyFont="1" applyAlignment="1">
      <alignment horizontal="center" vertical="top" wrapText="1"/>
    </xf>
    <xf numFmtId="0" fontId="2" fillId="2" borderId="19" xfId="0" applyFont="1" applyFill="1" applyBorder="1" applyAlignment="1">
      <alignment horizontal="left" vertical="top" wrapText="1" indent="1"/>
    </xf>
    <xf numFmtId="0" fontId="0" fillId="0" borderId="19" xfId="0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9" fontId="0" fillId="0" borderId="0" xfId="2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15" fillId="4" borderId="0" xfId="0" applyFont="1" applyFill="1" applyAlignment="1">
      <alignment horizontal="center" vertical="top"/>
    </xf>
    <xf numFmtId="0" fontId="0" fillId="5" borderId="0" xfId="0" applyFill="1" applyAlignment="1">
      <alignment horizontal="left" vertical="top"/>
    </xf>
    <xf numFmtId="0" fontId="15" fillId="5" borderId="0" xfId="0" applyFont="1" applyFill="1" applyAlignment="1">
      <alignment horizontal="center" vertical="top"/>
    </xf>
    <xf numFmtId="0" fontId="13" fillId="5" borderId="0" xfId="0" applyFont="1" applyFill="1" applyAlignment="1">
      <alignment horizontal="left" vertical="top"/>
    </xf>
    <xf numFmtId="0" fontId="14" fillId="5" borderId="0" xfId="0" applyFont="1" applyFill="1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0" borderId="0" xfId="0" applyAlignment="1">
      <alignment horizontal="center" vertical="top"/>
    </xf>
    <xf numFmtId="164" fontId="0" fillId="0" borderId="0" xfId="0" applyNumberFormat="1" applyAlignment="1">
      <alignment horizontal="left" vertical="top"/>
    </xf>
  </cellXfs>
  <cellStyles count="3">
    <cellStyle name="Comma" xfId="1" builtinId="3"/>
    <cellStyle name="Normal" xfId="0" builtinId="0"/>
    <cellStyle name="Percent" xfId="2" builtinId="5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9" tint="-0.249977111117893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9" tint="-0.249977111117893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indexed="64"/>
          <bgColor theme="2" tint="-0.499984740745262"/>
        </patternFill>
      </fill>
      <alignment horizontal="center" vertical="top" textRotation="0" wrapText="0" indent="0" justifyLastLine="0" shrinkToFit="0" readingOrder="0"/>
    </dxf>
    <dxf>
      <numFmt numFmtId="0" formatCode="General"/>
    </dxf>
    <dxf>
      <numFmt numFmtId="0" formatCode="General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center" vertical="top" textRotation="0" wrapText="0" indent="0" justifyLastLine="0" shrinkToFit="1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D0D0D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colors>
    <mruColors>
      <color rgb="FFCC9900"/>
      <color rgb="FF00CC99"/>
      <color rgb="FFFF0066"/>
      <color rgb="FF3366FF"/>
      <color rgb="FFCC00FF"/>
      <color rgb="FFEAEAEA"/>
      <color rgb="FFCCCCFF"/>
      <color rgb="FF66FFFF"/>
      <color rgb="FFFF7C80"/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Sheet3!$O$4</c:f>
              <c:strCache>
                <c:ptCount val="1"/>
                <c:pt idx="0">
                  <c:v>Percentage</c:v>
                </c:pt>
              </c:strCache>
            </c:strRef>
          </c:tx>
          <c:explosion val="14"/>
          <c:dPt>
            <c:idx val="0"/>
            <c:bubble3D val="0"/>
            <c:spPr>
              <a:solidFill>
                <a:srgbClr val="FFC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916-4B70-9BEB-EBB1E8481B39}"/>
              </c:ext>
            </c:extLst>
          </c:dPt>
          <c:dPt>
            <c:idx val="1"/>
            <c:bubble3D val="0"/>
            <c:spPr>
              <a:solidFill>
                <a:srgbClr val="CCCCFF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916-4B70-9BEB-EBB1E8481B39}"/>
              </c:ext>
            </c:extLst>
          </c:dPt>
          <c:dPt>
            <c:idx val="2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916-4B70-9BEB-EBB1E8481B39}"/>
              </c:ext>
            </c:extLst>
          </c:dPt>
          <c:dPt>
            <c:idx val="3"/>
            <c:bubble3D val="0"/>
            <c:spPr>
              <a:solidFill>
                <a:srgbClr val="0099CC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916-4B70-9BEB-EBB1E8481B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NG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Sheet3!$N$5:$N$8</c:f>
              <c:strCache>
                <c:ptCount val="4"/>
                <c:pt idx="0">
                  <c:v>Double Yes</c:v>
                </c:pt>
                <c:pt idx="1">
                  <c:v>Single Yes</c:v>
                </c:pt>
                <c:pt idx="2">
                  <c:v>Triple No</c:v>
                </c:pt>
                <c:pt idx="3">
                  <c:v>Triple Yes</c:v>
                </c:pt>
              </c:strCache>
            </c:strRef>
          </c:cat>
          <c:val>
            <c:numRef>
              <c:f>Sheet3!$O$5:$O$8</c:f>
              <c:numCache>
                <c:formatCode>0%</c:formatCode>
                <c:ptCount val="4"/>
                <c:pt idx="0">
                  <c:v>2.8397565922920892E-2</c:v>
                </c:pt>
                <c:pt idx="1">
                  <c:v>4.8275862068965517E-2</c:v>
                </c:pt>
                <c:pt idx="2">
                  <c:v>0.87058823529411766</c:v>
                </c:pt>
                <c:pt idx="3">
                  <c:v>5.2738336713995942E-2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916-4B70-9BEB-EBB1E8481B3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272"/>
      </c:pieChart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NG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Sheet3!$I$4</c:f>
              <c:strCache>
                <c:ptCount val="1"/>
                <c:pt idx="0">
                  <c:v>Awarded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Sheet3!$J$4</c:f>
              <c:numCache>
                <c:formatCode>_-* #,##0_-;\-* #,##0_-;_-* "-"??_-;_-@_-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8F-4D93-858F-426524CB7BA2}"/>
            </c:ext>
          </c:extLst>
        </c:ser>
        <c:ser>
          <c:idx val="1"/>
          <c:order val="1"/>
          <c:tx>
            <c:strRef>
              <c:f>Sheet3!$I$5</c:f>
              <c:strCache>
                <c:ptCount val="1"/>
                <c:pt idx="0">
                  <c:v>Awaiting</c:v>
                </c:pt>
              </c:strCache>
            </c:strRef>
          </c:tx>
          <c:spPr>
            <a:solidFill>
              <a:srgbClr val="FFC000">
                <a:alpha val="85000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Sheet3!$J$5</c:f>
              <c:numCache>
                <c:formatCode>_-* #,##0_-;\-* #,##0_-;_-* "-"??_-;_-@_-</c:formatCode>
                <c:ptCount val="1"/>
                <c:pt idx="0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8F-4D93-858F-426524CB7BA2}"/>
            </c:ext>
          </c:extLst>
        </c:ser>
        <c:ser>
          <c:idx val="2"/>
          <c:order val="2"/>
          <c:tx>
            <c:strRef>
              <c:f>Sheet3!$I$6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Sheet3!$J$6</c:f>
              <c:numCache>
                <c:formatCode>_-* #,##0_-;\-* #,##0_-;_-* "-"??_-;_-@_-</c:formatCode>
                <c:ptCount val="1"/>
                <c:pt idx="0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8F-4D93-858F-426524CB7BA2}"/>
            </c:ext>
          </c:extLst>
        </c:ser>
        <c:ser>
          <c:idx val="3"/>
          <c:order val="3"/>
          <c:tx>
            <c:strRef>
              <c:f>Sheet3!$I$7</c:f>
              <c:strCache>
                <c:ptCount val="1"/>
                <c:pt idx="0">
                  <c:v>No Decision</c:v>
                </c:pt>
              </c:strCache>
            </c:strRef>
          </c:tx>
          <c:spPr>
            <a:solidFill>
              <a:schemeClr val="bg2">
                <a:lumMod val="75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Sheet3!$J$7</c:f>
              <c:numCache>
                <c:formatCode>_-* #,##0_-;\-* #,##0_-;_-* "-"??_-;_-@_-</c:formatCode>
                <c:ptCount val="1"/>
                <c:pt idx="0">
                  <c:v>2146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8F-4D93-858F-426524CB7BA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48826544"/>
        <c:axId val="548827024"/>
      </c:barChart>
      <c:catAx>
        <c:axId val="54882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48827024"/>
        <c:crosses val="autoZero"/>
        <c:auto val="1"/>
        <c:lblAlgn val="ctr"/>
        <c:lblOffset val="100"/>
        <c:noMultiLvlLbl val="0"/>
      </c:catAx>
      <c:valAx>
        <c:axId val="548827024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54882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NG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035972480465689"/>
          <c:y val="8.0031450938902141E-2"/>
          <c:w val="0.79975721118027465"/>
          <c:h val="0.8786379064348744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CC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848-4645-A2E5-266555755D9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9848-4645-A2E5-266555755D95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848-4645-A2E5-266555755D95}"/>
              </c:ext>
            </c:extLst>
          </c:dPt>
          <c:dPt>
            <c:idx val="3"/>
            <c:invertIfNegative val="0"/>
            <c:bubble3D val="0"/>
            <c:spPr>
              <a:solidFill>
                <a:srgbClr val="FF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9848-4645-A2E5-266555755D95}"/>
              </c:ext>
            </c:extLst>
          </c:dPt>
          <c:dPt>
            <c:idx val="4"/>
            <c:invertIfNegative val="0"/>
            <c:bubble3D val="0"/>
            <c:spPr>
              <a:solidFill>
                <a:srgbClr val="3366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848-4645-A2E5-266555755D95}"/>
              </c:ext>
            </c:extLst>
          </c:dPt>
          <c:dPt>
            <c:idx val="5"/>
            <c:invertIfNegative val="0"/>
            <c:bubble3D val="0"/>
            <c:spPr>
              <a:solidFill>
                <a:srgbClr val="EAEAE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9848-4645-A2E5-266555755D95}"/>
              </c:ext>
            </c:extLst>
          </c:dPt>
          <c:dPt>
            <c:idx val="6"/>
            <c:invertIfNegative val="0"/>
            <c:bubble3D val="0"/>
            <c:spPr>
              <a:solidFill>
                <a:srgbClr val="CCCC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848-4645-A2E5-266555755D95}"/>
              </c:ext>
            </c:extLst>
          </c:dPt>
          <c:dPt>
            <c:idx val="7"/>
            <c:invertIfNegative val="0"/>
            <c:bubble3D val="0"/>
            <c:spPr>
              <a:solidFill>
                <a:srgbClr val="CC99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848-4645-A2E5-266555755D95}"/>
              </c:ext>
            </c:extLst>
          </c:dPt>
          <c:dPt>
            <c:idx val="8"/>
            <c:invertIfNegative val="0"/>
            <c:bubble3D val="0"/>
            <c:spPr>
              <a:solidFill>
                <a:srgbClr val="CC00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848-4645-A2E5-266555755D95}"/>
              </c:ext>
            </c:extLst>
          </c:dPt>
          <c:dPt>
            <c:idx val="9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848-4645-A2E5-266555755D95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848-4645-A2E5-266555755D95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848-4645-A2E5-266555755D95}"/>
              </c:ext>
            </c:extLst>
          </c:dPt>
          <c:dPt>
            <c:idx val="1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848-4645-A2E5-266555755D95}"/>
              </c:ext>
            </c:extLst>
          </c:dPt>
          <c:dPt>
            <c:idx val="1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848-4645-A2E5-266555755D95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848-4645-A2E5-266555755D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Sheet3!$D$67:$D$81</c:f>
              <c:strCache>
                <c:ptCount val="15"/>
                <c:pt idx="0">
                  <c:v>Italy</c:v>
                </c:pt>
                <c:pt idx="1">
                  <c:v>Croatia</c:v>
                </c:pt>
                <c:pt idx="2">
                  <c:v>Spain</c:v>
                </c:pt>
                <c:pt idx="3">
                  <c:v>Australia</c:v>
                </c:pt>
                <c:pt idx="4">
                  <c:v>Vietnam</c:v>
                </c:pt>
                <c:pt idx="5">
                  <c:v>Koreasouth</c:v>
                </c:pt>
                <c:pt idx="6">
                  <c:v>USA</c:v>
                </c:pt>
                <c:pt idx="7">
                  <c:v>Russia</c:v>
                </c:pt>
                <c:pt idx="8">
                  <c:v>Germany</c:v>
                </c:pt>
                <c:pt idx="9">
                  <c:v>Kazakhstan</c:v>
                </c:pt>
                <c:pt idx="10">
                  <c:v>India</c:v>
                </c:pt>
                <c:pt idx="11">
                  <c:v>Southafrica</c:v>
                </c:pt>
                <c:pt idx="12">
                  <c:v>Colombia</c:v>
                </c:pt>
                <c:pt idx="13">
                  <c:v>Cameroon</c:v>
                </c:pt>
                <c:pt idx="14">
                  <c:v>Kosovo</c:v>
                </c:pt>
              </c:strCache>
            </c:strRef>
          </c:cat>
          <c:val>
            <c:numRef>
              <c:f>Sheet3!$E$67:$E$81</c:f>
              <c:numCache>
                <c:formatCode>General</c:formatCode>
                <c:ptCount val="15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8-4645-A2E5-266555755D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85496095"/>
        <c:axId val="385496575"/>
      </c:barChart>
      <c:catAx>
        <c:axId val="385496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NG"/>
          </a:p>
        </c:txPr>
        <c:crossAx val="385496575"/>
        <c:crosses val="autoZero"/>
        <c:auto val="1"/>
        <c:lblAlgn val="ctr"/>
        <c:lblOffset val="100"/>
        <c:noMultiLvlLbl val="0"/>
      </c:catAx>
      <c:valAx>
        <c:axId val="3854965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8549609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plotArea>
      <cx:plotAreaRegion>
        <cx:series layoutId="funnel" uniqueId="{41788647-9C0E-468F-BCAF-0B43BE6FD7D8}">
          <cx:dataPt idx="1">
            <cx:spPr>
              <a:solidFill>
                <a:srgbClr val="9BBB59">
                  <a:lumMod val="50000"/>
                </a:srgbClr>
              </a:solidFill>
            </cx:spPr>
          </cx:dataPt>
          <cx:dataPt idx="2">
            <cx:spPr>
              <a:solidFill>
                <a:srgbClr val="F79646">
                  <a:lumMod val="75000"/>
                </a:srgbClr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2000" b="1"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 sz="2000" b="1" i="0" u="none" strike="noStrike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0" value="1"/>
            <cx:dataLabel idx="1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2000"/>
                  </a:pPr>
                  <a:r>
                    <a:rPr lang="en-US" sz="2000" b="1" i="0" u="none" strike="noStrike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11</a:t>
                  </a:r>
                </a:p>
              </cx:txPr>
            </cx:dataLabel>
          </cx:dataLabels>
          <cx:dataId val="0"/>
        </cx:series>
      </cx:plotAreaRegion>
      <cx:axis id="0">
        <cx:catScaling gapWidth="0.150000006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="1"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10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image" Target="../media/image3.png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0</xdr:row>
      <xdr:rowOff>95250</xdr:rowOff>
    </xdr:from>
    <xdr:to>
      <xdr:col>23</xdr:col>
      <xdr:colOff>324970</xdr:colOff>
      <xdr:row>6</xdr:row>
      <xdr:rowOff>123825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4081A40-B43F-3B26-CD77-281A4F73587D}"/>
            </a:ext>
          </a:extLst>
        </xdr:cNvPr>
        <xdr:cNvSpPr/>
      </xdr:nvSpPr>
      <xdr:spPr>
        <a:xfrm>
          <a:off x="1587500" y="95250"/>
          <a:ext cx="12072470" cy="981075"/>
        </a:xfrm>
        <a:prstGeom prst="roundRect">
          <a:avLst/>
        </a:prstGeom>
        <a:solidFill>
          <a:schemeClr val="bg2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 b="1" i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Erasmus Mundus (EMJM) Scholarship </a:t>
          </a:r>
          <a:endParaRPr lang="en-NG" sz="40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530225</xdr:colOff>
      <xdr:row>15</xdr:row>
      <xdr:rowOff>100853</xdr:rowOff>
    </xdr:from>
    <xdr:to>
      <xdr:col>14</xdr:col>
      <xdr:colOff>87993</xdr:colOff>
      <xdr:row>34</xdr:row>
      <xdr:rowOff>49542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47DA34A-FB56-945B-61FD-352FA9374C96}"/>
            </a:ext>
          </a:extLst>
        </xdr:cNvPr>
        <xdr:cNvSpPr/>
      </xdr:nvSpPr>
      <xdr:spPr>
        <a:xfrm>
          <a:off x="1090519" y="2454088"/>
          <a:ext cx="6841592" cy="2929454"/>
        </a:xfrm>
        <a:prstGeom prst="rect">
          <a:avLst/>
        </a:prstGeom>
        <a:solidFill>
          <a:schemeClr val="bg1"/>
        </a:solidFill>
        <a:ln w="12700">
          <a:solidFill>
            <a:schemeClr val="accent5">
              <a:lumMod val="75000"/>
            </a:schemeClr>
          </a:solidFill>
          <a:prstDash val="sysDash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14</xdr:col>
      <xdr:colOff>381000</xdr:colOff>
      <xdr:row>16</xdr:row>
      <xdr:rowOff>103717</xdr:rowOff>
    </xdr:from>
    <xdr:to>
      <xdr:col>23</xdr:col>
      <xdr:colOff>340285</xdr:colOff>
      <xdr:row>34</xdr:row>
      <xdr:rowOff>46568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8B2A80E-33C9-E655-2626-912419C4137C}"/>
            </a:ext>
          </a:extLst>
        </xdr:cNvPr>
        <xdr:cNvSpPr/>
      </xdr:nvSpPr>
      <xdr:spPr>
        <a:xfrm>
          <a:off x="8693727" y="2689899"/>
          <a:ext cx="4946922" cy="2852305"/>
        </a:xfrm>
        <a:prstGeom prst="rect">
          <a:avLst/>
        </a:prstGeom>
        <a:solidFill>
          <a:schemeClr val="bg1"/>
        </a:solidFill>
        <a:ln w="12700">
          <a:solidFill>
            <a:schemeClr val="accent5">
              <a:lumMod val="75000"/>
            </a:schemeClr>
          </a:solidFill>
          <a:prstDash val="sysDash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</xdr:col>
      <xdr:colOff>520888</xdr:colOff>
      <xdr:row>35</xdr:row>
      <xdr:rowOff>18144</xdr:rowOff>
    </xdr:from>
    <xdr:to>
      <xdr:col>8</xdr:col>
      <xdr:colOff>437030</xdr:colOff>
      <xdr:row>54</xdr:row>
      <xdr:rowOff>140045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EA4D6DA-2C67-8E06-BB0F-DF85F2ED1434}"/>
            </a:ext>
          </a:extLst>
        </xdr:cNvPr>
        <xdr:cNvSpPr/>
      </xdr:nvSpPr>
      <xdr:spPr>
        <a:xfrm>
          <a:off x="1645745" y="5733144"/>
          <a:ext cx="3853142" cy="3224330"/>
        </a:xfrm>
        <a:prstGeom prst="rect">
          <a:avLst/>
        </a:prstGeom>
        <a:solidFill>
          <a:schemeClr val="bg1"/>
        </a:solidFill>
        <a:ln w="12700">
          <a:solidFill>
            <a:schemeClr val="accent5">
              <a:lumMod val="75000"/>
            </a:schemeClr>
          </a:solidFill>
          <a:prstDash val="sysDash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8</xdr:col>
      <xdr:colOff>530599</xdr:colOff>
      <xdr:row>37</xdr:row>
      <xdr:rowOff>21207</xdr:rowOff>
    </xdr:from>
    <xdr:to>
      <xdr:col>16</xdr:col>
      <xdr:colOff>104215</xdr:colOff>
      <xdr:row>54</xdr:row>
      <xdr:rowOff>136867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2D2E379-E706-86E8-DBB4-35C476D24BC8}"/>
            </a:ext>
          </a:extLst>
        </xdr:cNvPr>
        <xdr:cNvSpPr/>
      </xdr:nvSpPr>
      <xdr:spPr>
        <a:xfrm>
          <a:off x="5592456" y="6062778"/>
          <a:ext cx="4073045" cy="2891518"/>
        </a:xfrm>
        <a:prstGeom prst="rect">
          <a:avLst/>
        </a:prstGeom>
        <a:solidFill>
          <a:schemeClr val="bg1"/>
        </a:solidFill>
        <a:ln w="12700">
          <a:solidFill>
            <a:schemeClr val="accent5">
              <a:lumMod val="75000"/>
            </a:schemeClr>
          </a:solidFill>
          <a:prstDash val="sysDash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16</xdr:col>
      <xdr:colOff>188259</xdr:colOff>
      <xdr:row>37</xdr:row>
      <xdr:rowOff>21209</xdr:rowOff>
    </xdr:from>
    <xdr:to>
      <xdr:col>23</xdr:col>
      <xdr:colOff>334869</xdr:colOff>
      <xdr:row>54</xdr:row>
      <xdr:rowOff>127344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AB9D9D10-6D4E-603E-8E4E-9150D30689F9}"/>
            </a:ext>
          </a:extLst>
        </xdr:cNvPr>
        <xdr:cNvSpPr/>
      </xdr:nvSpPr>
      <xdr:spPr>
        <a:xfrm>
          <a:off x="9749545" y="6062780"/>
          <a:ext cx="4083610" cy="2881993"/>
        </a:xfrm>
        <a:prstGeom prst="rect">
          <a:avLst/>
        </a:prstGeom>
        <a:solidFill>
          <a:schemeClr val="bg1"/>
        </a:solidFill>
        <a:ln w="12700">
          <a:solidFill>
            <a:schemeClr val="accent5">
              <a:lumMod val="75000"/>
            </a:schemeClr>
          </a:solidFill>
          <a:prstDash val="sysDash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0</xdr:col>
      <xdr:colOff>285750</xdr:colOff>
      <xdr:row>0</xdr:row>
      <xdr:rowOff>107497</xdr:rowOff>
    </xdr:from>
    <xdr:to>
      <xdr:col>1</xdr:col>
      <xdr:colOff>396875</xdr:colOff>
      <xdr:row>55</xdr:row>
      <xdr:rowOff>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148B948-6947-6ED2-CBA2-3DFCB1DE64AD}"/>
            </a:ext>
          </a:extLst>
        </xdr:cNvPr>
        <xdr:cNvSpPr/>
      </xdr:nvSpPr>
      <xdr:spPr>
        <a:xfrm>
          <a:off x="841375" y="107497"/>
          <a:ext cx="666750" cy="8623753"/>
        </a:xfrm>
        <a:prstGeom prst="roundRect">
          <a:avLst/>
        </a:prstGeom>
        <a:solidFill>
          <a:srgbClr val="EAEAE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wordArtVert" rtlCol="0" anchor="t"/>
        <a:lstStyle/>
        <a:p>
          <a:pPr algn="ctr"/>
          <a:r>
            <a:rPr lang="en-US" sz="2800" b="1" i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Selection</a:t>
          </a:r>
          <a:r>
            <a:rPr lang="en-US" sz="2800" b="1" i="0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Summary</a:t>
          </a:r>
          <a:endParaRPr lang="en-NG" sz="2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533400</xdr:colOff>
      <xdr:row>7</xdr:row>
      <xdr:rowOff>120650</xdr:rowOff>
    </xdr:from>
    <xdr:to>
      <xdr:col>23</xdr:col>
      <xdr:colOff>313765</xdr:colOff>
      <xdr:row>14</xdr:row>
      <xdr:rowOff>142929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918F625C-6028-D1E4-4D16-DBF8BC1B314C}"/>
            </a:ext>
          </a:extLst>
        </xdr:cNvPr>
        <xdr:cNvGrpSpPr/>
      </xdr:nvGrpSpPr>
      <xdr:grpSpPr>
        <a:xfrm>
          <a:off x="1093694" y="1222001"/>
          <a:ext cx="12110011" cy="1114106"/>
          <a:chOff x="1653988" y="1218826"/>
          <a:chExt cx="12106836" cy="1120456"/>
        </a:xfrm>
        <a:solidFill>
          <a:schemeClr val="bg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120B0D8B-49E1-6EF6-52AC-E37440089B50}"/>
              </a:ext>
            </a:extLst>
          </xdr:cNvPr>
          <xdr:cNvSpPr/>
        </xdr:nvSpPr>
        <xdr:spPr>
          <a:xfrm>
            <a:off x="3368487" y="1222001"/>
            <a:ext cx="1587686" cy="1095002"/>
          </a:xfrm>
          <a:prstGeom prst="rect">
            <a:avLst/>
          </a:prstGeom>
          <a:grpFill/>
          <a:ln w="12700">
            <a:solidFill>
              <a:schemeClr val="accent5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INTERMATH</a:t>
            </a:r>
          </a:p>
          <a:p>
            <a:pPr algn="ctr"/>
            <a:r>
              <a:rPr lang="en-US" sz="12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(YES) </a:t>
            </a:r>
            <a:endParaRPr lang="en-NG" sz="12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A72EE78F-B071-0AAE-9573-6D011A01C1A7}"/>
              </a:ext>
            </a:extLst>
          </xdr:cNvPr>
          <xdr:cNvSpPr/>
        </xdr:nvSpPr>
        <xdr:spPr>
          <a:xfrm>
            <a:off x="5107080" y="1218826"/>
            <a:ext cx="1587685" cy="1120456"/>
          </a:xfrm>
          <a:prstGeom prst="rect">
            <a:avLst/>
          </a:prstGeom>
          <a:grpFill/>
          <a:ln w="12700">
            <a:solidFill>
              <a:schemeClr val="accent5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MATH</a:t>
            </a:r>
            <a:r>
              <a:rPr lang="en-US" sz="1200" b="1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MODELLING (YES)</a:t>
            </a:r>
            <a:endParaRPr lang="en-NG" sz="12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60F7E196-0E79-7A51-2DA4-C64C2E6F63FD}"/>
              </a:ext>
            </a:extLst>
          </xdr:cNvPr>
          <xdr:cNvSpPr/>
        </xdr:nvSpPr>
        <xdr:spPr>
          <a:xfrm>
            <a:off x="6837829" y="1218826"/>
            <a:ext cx="1604228" cy="1101352"/>
          </a:xfrm>
          <a:prstGeom prst="rect">
            <a:avLst/>
          </a:prstGeom>
          <a:grpFill/>
          <a:ln w="12700">
            <a:solidFill>
              <a:schemeClr val="accent5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REAL MATH</a:t>
            </a:r>
          </a:p>
          <a:p>
            <a:pPr algn="ctr"/>
            <a:r>
              <a:rPr lang="en-US" sz="12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       (YES)	</a:t>
            </a:r>
            <a:endParaRPr lang="en-NG" sz="12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454EBDB5-1ACF-2D4D-084B-83E6385013D4}"/>
              </a:ext>
            </a:extLst>
          </xdr:cNvPr>
          <xdr:cNvSpPr/>
        </xdr:nvSpPr>
        <xdr:spPr>
          <a:xfrm>
            <a:off x="8572871" y="1218826"/>
            <a:ext cx="1578160" cy="1091774"/>
          </a:xfrm>
          <a:prstGeom prst="rect">
            <a:avLst/>
          </a:prstGeom>
          <a:grpFill/>
          <a:ln w="12700">
            <a:solidFill>
              <a:schemeClr val="accent5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DECISION (AWARDED)	</a:t>
            </a:r>
            <a:endParaRPr lang="en-NG" sz="12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DFDB9F03-C98D-7911-FB49-B527ECDACF7B}"/>
              </a:ext>
            </a:extLst>
          </xdr:cNvPr>
          <xdr:cNvSpPr/>
        </xdr:nvSpPr>
        <xdr:spPr>
          <a:xfrm>
            <a:off x="10282701" y="1222001"/>
            <a:ext cx="1577938" cy="1095002"/>
          </a:xfrm>
          <a:prstGeom prst="rect">
            <a:avLst/>
          </a:prstGeom>
          <a:grpFill/>
          <a:ln w="12700">
            <a:solidFill>
              <a:schemeClr val="accent5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200" b="1">
                <a:solidFill>
                  <a:sysClr val="windowText" lastClr="000000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DECISION (</a:t>
            </a:r>
            <a:r>
              <a:rPr lang="en-US" sz="12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AWAITING)</a:t>
            </a:r>
            <a:endParaRPr lang="en-NG" sz="12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4C13118D-4977-1388-E43D-CB946E298B5C}"/>
              </a:ext>
            </a:extLst>
          </xdr:cNvPr>
          <xdr:cNvSpPr/>
        </xdr:nvSpPr>
        <xdr:spPr>
          <a:xfrm>
            <a:off x="11993282" y="1218826"/>
            <a:ext cx="1767542" cy="1101352"/>
          </a:xfrm>
          <a:prstGeom prst="rect">
            <a:avLst/>
          </a:prstGeom>
          <a:grpFill/>
          <a:ln w="12700">
            <a:solidFill>
              <a:schemeClr val="accent5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DECISION</a:t>
            </a:r>
          </a:p>
          <a:p>
            <a:pPr algn="ctr"/>
            <a:r>
              <a:rPr lang="en-US" sz="12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(N/A)</a:t>
            </a:r>
            <a:endParaRPr lang="en-NG" sz="12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DA945D1F-D7EF-C2F6-7248-ED70708291F4}"/>
              </a:ext>
            </a:extLst>
          </xdr:cNvPr>
          <xdr:cNvGrpSpPr/>
        </xdr:nvGrpSpPr>
        <xdr:grpSpPr>
          <a:xfrm>
            <a:off x="1653988" y="1222001"/>
            <a:ext cx="1584511" cy="1095002"/>
            <a:chOff x="1653988" y="1218826"/>
            <a:chExt cx="1584511" cy="1101352"/>
          </a:xfrm>
          <a:grpFill/>
        </xdr:grpSpPr>
        <xdr:sp macro="" textlink="">
          <xdr:nvSpPr>
            <xdr:cNvPr id="3" name="Rectangle 2">
              <a:extLst>
                <a:ext uri="{FF2B5EF4-FFF2-40B4-BE49-F238E27FC236}">
                  <a16:creationId xmlns:a16="http://schemas.microsoft.com/office/drawing/2014/main" id="{408ABC08-2FA5-C002-BC0A-B52AC2276C52}"/>
                </a:ext>
              </a:extLst>
            </xdr:cNvPr>
            <xdr:cNvSpPr/>
          </xdr:nvSpPr>
          <xdr:spPr>
            <a:xfrm>
              <a:off x="1653988" y="1218826"/>
              <a:ext cx="1584511" cy="1101352"/>
            </a:xfrm>
            <a:prstGeom prst="rect">
              <a:avLst/>
            </a:prstGeom>
            <a:grpFill/>
            <a:ln w="12700">
              <a:solidFill>
                <a:schemeClr val="accent5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200" b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TOTAL CANDIDATE</a:t>
              </a:r>
              <a:endParaRPr lang="en-NG" sz="12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Sheet3!C4">
          <xdr:nvSpPr>
            <xdr:cNvPr id="5" name="TextBox 4">
              <a:extLst>
                <a:ext uri="{FF2B5EF4-FFF2-40B4-BE49-F238E27FC236}">
                  <a16:creationId xmlns:a16="http://schemas.microsoft.com/office/drawing/2014/main" id="{63208B1E-5AC1-F681-3791-BD1055B8ED56}"/>
                </a:ext>
              </a:extLst>
            </xdr:cNvPr>
            <xdr:cNvSpPr txBox="1"/>
          </xdr:nvSpPr>
          <xdr:spPr>
            <a:xfrm>
              <a:off x="1664821" y="1695433"/>
              <a:ext cx="1564634" cy="568185"/>
            </a:xfrm>
            <a:prstGeom prst="rect">
              <a:avLst/>
            </a:prstGeom>
            <a:grpFill/>
            <a:ln w="12700" cmpd="sng">
              <a:solidFill>
                <a:schemeClr val="accent5">
                  <a:lumMod val="75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45C0B8F4-F564-4129-982B-F5C7B291738A}" type="TxLink">
                <a:rPr lang="en-US" sz="2800" b="1" i="0" u="none" strike="noStrike">
                  <a:solidFill>
                    <a:sysClr val="windowText" lastClr="000000"/>
                  </a:solidFill>
                  <a:latin typeface="Times New Roman"/>
                  <a:cs typeface="Times New Roman"/>
                </a:rPr>
                <a:pPr algn="ctr"/>
                <a:t>2465</a:t>
              </a:fld>
              <a:endParaRPr lang="en-NG" sz="3600" b="1">
                <a:solidFill>
                  <a:sysClr val="windowText" lastClr="000000"/>
                </a:solidFill>
              </a:endParaRPr>
            </a:p>
          </xdr:txBody>
        </xdr:sp>
      </xdr:grpSp>
      <xdr:sp macro="" textlink="Sheet3!J9">
        <xdr:nvSpPr>
          <xdr:cNvPr id="6" name="TextBox 5">
            <a:extLst>
              <a:ext uri="{FF2B5EF4-FFF2-40B4-BE49-F238E27FC236}">
                <a16:creationId xmlns:a16="http://schemas.microsoft.com/office/drawing/2014/main" id="{7D4E096A-7CC9-028B-A652-F890070310D7}"/>
              </a:ext>
            </a:extLst>
          </xdr:cNvPr>
          <xdr:cNvSpPr txBox="1"/>
        </xdr:nvSpPr>
        <xdr:spPr>
          <a:xfrm>
            <a:off x="3389218" y="1674718"/>
            <a:ext cx="1541369" cy="590737"/>
          </a:xfrm>
          <a:prstGeom prst="rect">
            <a:avLst/>
          </a:prstGeom>
          <a:grpFill/>
          <a:ln w="12700" cmpd="sng">
            <a:solidFill>
              <a:schemeClr val="accent5">
                <a:lumMod val="75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A9D55FE9-7B66-4B14-A823-B637210B8D85}" type="TxLink">
              <a:rPr lang="en-US" sz="2800" b="1" i="0" u="none" strike="noStrike">
                <a:solidFill>
                  <a:sysClr val="windowText" lastClr="000000"/>
                </a:solidFill>
                <a:latin typeface="Times New Roman"/>
                <a:cs typeface="Times New Roman"/>
              </a:rPr>
              <a:pPr algn="ctr"/>
              <a:t>130</a:t>
            </a:fld>
            <a:endParaRPr lang="en-NG" sz="9600" b="1">
              <a:solidFill>
                <a:sysClr val="windowText" lastClr="000000"/>
              </a:solidFill>
            </a:endParaRPr>
          </a:p>
        </xdr:txBody>
      </xdr:sp>
      <xdr:sp macro="" textlink="Sheet3!J10">
        <xdr:nvSpPr>
          <xdr:cNvPr id="18" name="TextBox 17">
            <a:extLst>
              <a:ext uri="{FF2B5EF4-FFF2-40B4-BE49-F238E27FC236}">
                <a16:creationId xmlns:a16="http://schemas.microsoft.com/office/drawing/2014/main" id="{9999C609-1390-0A23-A541-BB05FCD67A9F}"/>
              </a:ext>
            </a:extLst>
          </xdr:cNvPr>
          <xdr:cNvSpPr txBox="1"/>
        </xdr:nvSpPr>
        <xdr:spPr>
          <a:xfrm>
            <a:off x="5119965" y="1692277"/>
            <a:ext cx="1528669" cy="584387"/>
          </a:xfrm>
          <a:prstGeom prst="rect">
            <a:avLst/>
          </a:prstGeom>
          <a:grpFill/>
          <a:ln w="12700" cmpd="sng">
            <a:solidFill>
              <a:schemeClr val="accent5">
                <a:lumMod val="75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EE845AF1-7CEC-4165-B9E2-BEF924BA6E08}" type="TxLink">
              <a:rPr lang="en-US" sz="2800" b="1" i="0" u="none" strike="noStrike">
                <a:solidFill>
                  <a:sysClr val="windowText" lastClr="000000"/>
                </a:solidFill>
                <a:latin typeface="Times New Roman"/>
                <a:cs typeface="Times New Roman"/>
              </a:rPr>
              <a:pPr algn="ctr"/>
              <a:t>200</a:t>
            </a:fld>
            <a:endParaRPr lang="en-NG" sz="9600" b="1">
              <a:solidFill>
                <a:sysClr val="windowText" lastClr="000000"/>
              </a:solidFill>
            </a:endParaRPr>
          </a:p>
        </xdr:txBody>
      </xdr:sp>
      <xdr:sp macro="" textlink="Sheet3!J11">
        <xdr:nvSpPr>
          <xdr:cNvPr id="19" name="TextBox 18">
            <a:extLst>
              <a:ext uri="{FF2B5EF4-FFF2-40B4-BE49-F238E27FC236}">
                <a16:creationId xmlns:a16="http://schemas.microsoft.com/office/drawing/2014/main" id="{41C4E0E3-B231-0AD4-DDEB-9FFA596F93D2}"/>
              </a:ext>
            </a:extLst>
          </xdr:cNvPr>
          <xdr:cNvSpPr txBox="1"/>
        </xdr:nvSpPr>
        <xdr:spPr>
          <a:xfrm>
            <a:off x="6863548" y="1675277"/>
            <a:ext cx="1556875" cy="590737"/>
          </a:xfrm>
          <a:prstGeom prst="rect">
            <a:avLst/>
          </a:prstGeom>
          <a:grpFill/>
          <a:ln w="12700" cmpd="sng">
            <a:solidFill>
              <a:schemeClr val="accent5">
                <a:lumMod val="75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09620F79-04CD-4CB3-9FDC-56716BF76FAD}" type="TxLink">
              <a:rPr lang="en-US" sz="2800" b="1" i="0" u="none" strike="noStrike">
                <a:solidFill>
                  <a:sysClr val="windowText" lastClr="000000"/>
                </a:solidFill>
                <a:latin typeface="Times New Roman"/>
                <a:cs typeface="Times New Roman"/>
              </a:rPr>
              <a:pPr algn="ctr"/>
              <a:t>319</a:t>
            </a:fld>
            <a:endParaRPr lang="en-NG" sz="9600" b="1">
              <a:solidFill>
                <a:sysClr val="windowText" lastClr="000000"/>
              </a:solidFill>
            </a:endParaRPr>
          </a:p>
        </xdr:txBody>
      </xdr:sp>
      <xdr:sp macro="" textlink="Sheet3!J4">
        <xdr:nvSpPr>
          <xdr:cNvPr id="20" name="TextBox 19">
            <a:extLst>
              <a:ext uri="{FF2B5EF4-FFF2-40B4-BE49-F238E27FC236}">
                <a16:creationId xmlns:a16="http://schemas.microsoft.com/office/drawing/2014/main" id="{442BD689-882D-4334-1F5D-CDE372CA6B03}"/>
              </a:ext>
            </a:extLst>
          </xdr:cNvPr>
          <xdr:cNvSpPr txBox="1"/>
        </xdr:nvSpPr>
        <xdr:spPr>
          <a:xfrm>
            <a:off x="8586315" y="1670794"/>
            <a:ext cx="1558184" cy="590737"/>
          </a:xfrm>
          <a:prstGeom prst="rect">
            <a:avLst/>
          </a:prstGeom>
          <a:grpFill/>
          <a:ln w="12700" cmpd="sng">
            <a:solidFill>
              <a:schemeClr val="accent5">
                <a:lumMod val="75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2C0DA8AE-429E-4A2F-8712-5C67C31C47F5}" type="TxLink">
              <a:rPr lang="en-US" sz="2800" b="1" i="0" u="none" strike="noStrike">
                <a:solidFill>
                  <a:sysClr val="windowText" lastClr="000000"/>
                </a:solidFill>
                <a:latin typeface="Times New Roman"/>
                <a:cs typeface="Times New Roman"/>
              </a:rPr>
              <a:pPr algn="ctr"/>
              <a:t> 20 </a:t>
            </a:fld>
            <a:endParaRPr lang="en-NG" sz="9600" b="1">
              <a:solidFill>
                <a:sysClr val="windowText" lastClr="000000"/>
              </a:solidFill>
            </a:endParaRPr>
          </a:p>
        </xdr:txBody>
      </xdr:sp>
      <xdr:sp macro="" textlink="Sheet3!J5">
        <xdr:nvSpPr>
          <xdr:cNvPr id="21" name="TextBox 20">
            <a:extLst>
              <a:ext uri="{FF2B5EF4-FFF2-40B4-BE49-F238E27FC236}">
                <a16:creationId xmlns:a16="http://schemas.microsoft.com/office/drawing/2014/main" id="{38931B8F-6E65-3F64-CB1E-19360A575158}"/>
              </a:ext>
            </a:extLst>
          </xdr:cNvPr>
          <xdr:cNvSpPr txBox="1"/>
        </xdr:nvSpPr>
        <xdr:spPr>
          <a:xfrm>
            <a:off x="10305856" y="1675836"/>
            <a:ext cx="1538762" cy="584387"/>
          </a:xfrm>
          <a:prstGeom prst="rect">
            <a:avLst/>
          </a:prstGeom>
          <a:grpFill/>
          <a:ln w="12700" cmpd="sng">
            <a:solidFill>
              <a:schemeClr val="accent5">
                <a:lumMod val="75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745FB692-1B73-409E-9857-3025A44A3585}" type="TxLink">
              <a:rPr lang="en-US" sz="2800" b="1" i="0" u="none" strike="noStrike">
                <a:solidFill>
                  <a:sysClr val="windowText" lastClr="000000"/>
                </a:solidFill>
                <a:latin typeface="Times New Roman"/>
                <a:cs typeface="Times New Roman"/>
              </a:rPr>
              <a:pPr algn="ctr"/>
              <a:t> 110 </a:t>
            </a:fld>
            <a:endParaRPr lang="en-NG" sz="9600" b="1">
              <a:solidFill>
                <a:sysClr val="windowText" lastClr="000000"/>
              </a:solidFill>
            </a:endParaRPr>
          </a:p>
        </xdr:txBody>
      </xdr:sp>
      <xdr:sp macro="" textlink="Sheet3!J6">
        <xdr:nvSpPr>
          <xdr:cNvPr id="22" name="TextBox 21">
            <a:extLst>
              <a:ext uri="{FF2B5EF4-FFF2-40B4-BE49-F238E27FC236}">
                <a16:creationId xmlns:a16="http://schemas.microsoft.com/office/drawing/2014/main" id="{78D5088D-DAFB-F300-FE62-99A7F9BEE551}"/>
              </a:ext>
            </a:extLst>
          </xdr:cNvPr>
          <xdr:cNvSpPr txBox="1"/>
        </xdr:nvSpPr>
        <xdr:spPr>
          <a:xfrm>
            <a:off x="12023716" y="1674528"/>
            <a:ext cx="1709840" cy="590737"/>
          </a:xfrm>
          <a:prstGeom prst="rect">
            <a:avLst/>
          </a:prstGeom>
          <a:grpFill/>
          <a:ln w="12700" cmpd="sng">
            <a:solidFill>
              <a:schemeClr val="accent5">
                <a:lumMod val="75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E9D842E5-A025-4C1A-A351-71F7BC81C880}" type="TxLink">
              <a:rPr lang="en-US" sz="2800" b="1" i="0" u="none" strike="noStrike">
                <a:solidFill>
                  <a:srgbClr val="000000"/>
                </a:solidFill>
                <a:latin typeface="Times New Roman"/>
                <a:cs typeface="Times New Roman"/>
              </a:rPr>
              <a:pPr algn="ctr"/>
              <a:t> 189 </a:t>
            </a:fld>
            <a:endParaRPr lang="en-NG" sz="28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13</xdr:col>
      <xdr:colOff>225561</xdr:colOff>
      <xdr:row>15</xdr:row>
      <xdr:rowOff>19081</xdr:rowOff>
    </xdr:from>
    <xdr:to>
      <xdr:col>23</xdr:col>
      <xdr:colOff>317500</xdr:colOff>
      <xdr:row>35</xdr:row>
      <xdr:rowOff>57557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F504E8DD-7BC9-4538-BAEA-B19A027D44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492125</xdr:colOff>
      <xdr:row>33</xdr:row>
      <xdr:rowOff>111125</xdr:rowOff>
    </xdr:from>
    <xdr:to>
      <xdr:col>8</xdr:col>
      <xdr:colOff>498116</xdr:colOff>
      <xdr:row>54</xdr:row>
      <xdr:rowOff>97520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D40F3A9E-74D7-496B-A47E-F8C99CFFF0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216477</xdr:colOff>
      <xdr:row>37</xdr:row>
      <xdr:rowOff>40411</xdr:rowOff>
    </xdr:from>
    <xdr:to>
      <xdr:col>23</xdr:col>
      <xdr:colOff>343477</xdr:colOff>
      <xdr:row>54</xdr:row>
      <xdr:rowOff>122878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6" name="Chart 35">
              <a:extLst>
                <a:ext uri="{FF2B5EF4-FFF2-40B4-BE49-F238E27FC236}">
                  <a16:creationId xmlns:a16="http://schemas.microsoft.com/office/drawing/2014/main" id="{DFC46ADC-F3A7-46E3-A96E-6B6FCAEE87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11252" y="6031636"/>
              <a:ext cx="4057650" cy="28383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19380</xdr:colOff>
      <xdr:row>37</xdr:row>
      <xdr:rowOff>34427</xdr:rowOff>
    </xdr:from>
    <xdr:to>
      <xdr:col>16</xdr:col>
      <xdr:colOff>121432</xdr:colOff>
      <xdr:row>54</xdr:row>
      <xdr:rowOff>116374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E3E150EB-4070-40D6-9F9F-E148D952C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5630" y="5908177"/>
          <a:ext cx="3991427" cy="2780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54429</xdr:colOff>
      <xdr:row>34</xdr:row>
      <xdr:rowOff>129475</xdr:rowOff>
    </xdr:from>
    <xdr:to>
      <xdr:col>20</xdr:col>
      <xdr:colOff>217714</xdr:colOff>
      <xdr:row>37</xdr:row>
      <xdr:rowOff>20618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76C0AFA0-FF6D-88A3-65E9-A6C522CBAB4D}"/>
            </a:ext>
          </a:extLst>
        </xdr:cNvPr>
        <xdr:cNvSpPr/>
      </xdr:nvSpPr>
      <xdr:spPr>
        <a:xfrm>
          <a:off x="7258793" y="5625111"/>
          <a:ext cx="4596739" cy="376052"/>
        </a:xfrm>
        <a:prstGeom prst="rect">
          <a:avLst/>
        </a:prstGeom>
        <a:solidFill>
          <a:schemeClr val="bg1"/>
        </a:solidFill>
        <a:ln w="12700">
          <a:solidFill>
            <a:schemeClr val="accent5">
              <a:lumMod val="75000"/>
            </a:schemeClr>
          </a:solidFill>
          <a:prstDash val="sysDash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NIGERIANS DECISION</a:t>
          </a:r>
          <a:endParaRPr lang="en-NG" sz="20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336176</xdr:colOff>
      <xdr:row>15</xdr:row>
      <xdr:rowOff>131669</xdr:rowOff>
    </xdr:from>
    <xdr:to>
      <xdr:col>14</xdr:col>
      <xdr:colOff>47811</xdr:colOff>
      <xdr:row>18</xdr:row>
      <xdr:rowOff>100854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FEEE6403-EA69-CEB1-8432-9D4C95B869F6}"/>
            </a:ext>
          </a:extLst>
        </xdr:cNvPr>
        <xdr:cNvSpPr/>
      </xdr:nvSpPr>
      <xdr:spPr>
        <a:xfrm>
          <a:off x="5939117" y="2484904"/>
          <a:ext cx="1952812" cy="439832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AWARDED COUNTRIES</a:t>
          </a:r>
          <a:endParaRPr lang="en-NG" sz="12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22</xdr:col>
      <xdr:colOff>156935</xdr:colOff>
      <xdr:row>31</xdr:row>
      <xdr:rowOff>9527</xdr:rowOff>
    </xdr:from>
    <xdr:to>
      <xdr:col>23</xdr:col>
      <xdr:colOff>508407</xdr:colOff>
      <xdr:row>35</xdr:row>
      <xdr:rowOff>81644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33618018-70F3-F926-CB58-E383C1A94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30578" y="5071384"/>
          <a:ext cx="909365" cy="725260"/>
        </a:xfrm>
        <a:prstGeom prst="rect">
          <a:avLst/>
        </a:prstGeom>
      </xdr:spPr>
    </xdr:pic>
    <xdr:clientData/>
  </xdr:twoCellAnchor>
  <xdr:twoCellAnchor>
    <xdr:from>
      <xdr:col>1</xdr:col>
      <xdr:colOff>335412</xdr:colOff>
      <xdr:row>14</xdr:row>
      <xdr:rowOff>33178</xdr:rowOff>
    </xdr:from>
    <xdr:to>
      <xdr:col>13</xdr:col>
      <xdr:colOff>445060</xdr:colOff>
      <xdr:row>34</xdr:row>
      <xdr:rowOff>152027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98187C7-C8CD-4F95-917F-3F7EFA97EA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ubakar Toyeeb O" refreshedDate="46130.885989467592" createdVersion="8" refreshedVersion="8" minRefreshableVersion="3" recordCount="2465" xr:uid="{9F69535E-384E-4BDA-ADEF-5CAD43950823}">
  <cacheSource type="worksheet">
    <worksheetSource name="Table1"/>
  </cacheSource>
  <cacheFields count="9">
    <cacheField name="ID PICA" numFmtId="1">
      <sharedItems containsSemiMixedTypes="0" containsString="0" containsNumber="1" containsInteger="1" minValue="2410224" maxValue="2523830" count="2465">
        <n v="2503059"/>
        <n v="2522846"/>
        <n v="2457953"/>
        <n v="2514655"/>
        <n v="2521687"/>
        <n v="2486151"/>
        <n v="2414635"/>
        <n v="2478579"/>
        <n v="2522956"/>
        <n v="2490947"/>
        <n v="2490010"/>
        <n v="2486337"/>
        <n v="2522335"/>
        <n v="2483617"/>
        <n v="2456884"/>
        <n v="2516349"/>
        <n v="2425475"/>
        <n v="2469483"/>
        <n v="2511648"/>
        <n v="2497447"/>
        <n v="2491678"/>
        <n v="2513320"/>
        <n v="2427464"/>
        <n v="2517800"/>
        <n v="2517057"/>
        <n v="2440071"/>
        <n v="2490347"/>
        <n v="2448658"/>
        <n v="2520562"/>
        <n v="2467815"/>
        <n v="2490480"/>
        <n v="2521772"/>
        <n v="2514041"/>
        <n v="2464307"/>
        <n v="2456649"/>
        <n v="2514333"/>
        <n v="2448166"/>
        <n v="2472522"/>
        <n v="2516519"/>
        <n v="2518101"/>
        <n v="2503679"/>
        <n v="2415967"/>
        <n v="2482958"/>
        <n v="2494855"/>
        <n v="2512536"/>
        <n v="2518888"/>
        <n v="2462922"/>
        <n v="2507876"/>
        <n v="2417146"/>
        <n v="2484132"/>
        <n v="2429543"/>
        <n v="2472759"/>
        <n v="2520544"/>
        <n v="2508483"/>
        <n v="2465842"/>
        <n v="2522761"/>
        <n v="2415083"/>
        <n v="2489925"/>
        <n v="2513155"/>
        <n v="2521664"/>
        <n v="2512983"/>
        <n v="2483280"/>
        <n v="2465578"/>
        <n v="2513497"/>
        <n v="2516686"/>
        <n v="2501634"/>
        <n v="2414632"/>
        <n v="2488268"/>
        <n v="2477173"/>
        <n v="2422851"/>
        <n v="2424414"/>
        <n v="2514214"/>
        <n v="2479832"/>
        <n v="2520864"/>
        <n v="2446194"/>
        <n v="2491969"/>
        <n v="2516644"/>
        <n v="2523553"/>
        <n v="2523326"/>
        <n v="2496685"/>
        <n v="2514630"/>
        <n v="2517413"/>
        <n v="2497443"/>
        <n v="2516619"/>
        <n v="2514555"/>
        <n v="2523359"/>
        <n v="2512400"/>
        <n v="2489553"/>
        <n v="2425331"/>
        <n v="2478217"/>
        <n v="2518606"/>
        <n v="2423189"/>
        <n v="2514641"/>
        <n v="2493659"/>
        <n v="2505479"/>
        <n v="2511951"/>
        <n v="2465983"/>
        <n v="2438563"/>
        <n v="2426158"/>
        <n v="2520846"/>
        <n v="2520908"/>
        <n v="2509734"/>
        <n v="2463475"/>
        <n v="2510396"/>
        <n v="2463779"/>
        <n v="2449553"/>
        <n v="2511304"/>
        <n v="2469881"/>
        <n v="2486137"/>
        <n v="2516200"/>
        <n v="2466055"/>
        <n v="2438716"/>
        <n v="2414601"/>
        <n v="2448800"/>
        <n v="2459039"/>
        <n v="2498989"/>
        <n v="2422070"/>
        <n v="2515437"/>
        <n v="2414563"/>
        <n v="2495429"/>
        <n v="2489632"/>
        <n v="2480509"/>
        <n v="2517631"/>
        <n v="2517698"/>
        <n v="2414590"/>
        <n v="2497518"/>
        <n v="2518596"/>
        <n v="2444879"/>
        <n v="2418433"/>
        <n v="2495825"/>
        <n v="2488255"/>
        <n v="2507234"/>
        <n v="2522557"/>
        <n v="2418687"/>
        <n v="2515154"/>
        <n v="2506235"/>
        <n v="2522804"/>
        <n v="2520756"/>
        <n v="2508202"/>
        <n v="2522297"/>
        <n v="2497480"/>
        <n v="2520471"/>
        <n v="2508348"/>
        <n v="2483659"/>
        <n v="2449149"/>
        <n v="2513280"/>
        <n v="2509034"/>
        <n v="2417615"/>
        <n v="2508689"/>
        <n v="2518062"/>
        <n v="2451868"/>
        <n v="2449389"/>
        <n v="2517340"/>
        <n v="2493948"/>
        <n v="2489555"/>
        <n v="2456782"/>
        <n v="2508702"/>
        <n v="2500205"/>
        <n v="2415548"/>
        <n v="2414702"/>
        <n v="2503723"/>
        <n v="2512920"/>
        <n v="2429384"/>
        <n v="2421386"/>
        <n v="2483773"/>
        <n v="2523141"/>
        <n v="2429648"/>
        <n v="2486637"/>
        <n v="2414741"/>
        <n v="2500873"/>
        <n v="2460706"/>
        <n v="2503224"/>
        <n v="2523681"/>
        <n v="2461270"/>
        <n v="2520436"/>
        <n v="2507046"/>
        <n v="2416993"/>
        <n v="2480650"/>
        <n v="2517205"/>
        <n v="2490540"/>
        <n v="2488790"/>
        <n v="2468821"/>
        <n v="2507896"/>
        <n v="2459982"/>
        <n v="2473177"/>
        <n v="2521480"/>
        <n v="2503720"/>
        <n v="2481921"/>
        <n v="2522644"/>
        <n v="2513175"/>
        <n v="2489898"/>
        <n v="2464145"/>
        <n v="2477150"/>
        <n v="2418690"/>
        <n v="2438505"/>
        <n v="2458917"/>
        <n v="2519870"/>
        <n v="2429757"/>
        <n v="2464712"/>
        <n v="2466048"/>
        <n v="2420617"/>
        <n v="2516943"/>
        <n v="2447477"/>
        <n v="2479782"/>
        <n v="2493479"/>
        <n v="2418220"/>
        <n v="2498065"/>
        <n v="2415258"/>
        <n v="2507039"/>
        <n v="2466047"/>
        <n v="2523414"/>
        <n v="2489547"/>
        <n v="2490177"/>
        <n v="2510930"/>
        <n v="2470530"/>
        <n v="2419381"/>
        <n v="2498503"/>
        <n v="2461750"/>
        <n v="2521082"/>
        <n v="2522965"/>
        <n v="2479655"/>
        <n v="2517704"/>
        <n v="2448085"/>
        <n v="2522435"/>
        <n v="2507295"/>
        <n v="2521043"/>
        <n v="2467254"/>
        <n v="2500680"/>
        <n v="2523034"/>
        <n v="2464189"/>
        <n v="2489398"/>
        <n v="2523546"/>
        <n v="2419944"/>
        <n v="2484105"/>
        <n v="2523170"/>
        <n v="2517438"/>
        <n v="2420882"/>
        <n v="2522983"/>
        <n v="2457531"/>
        <n v="2475039"/>
        <n v="2419405"/>
        <n v="2509118"/>
        <n v="2469579"/>
        <n v="2494400"/>
        <n v="2464252"/>
        <n v="2450203"/>
        <n v="2445816"/>
        <n v="2469056"/>
        <n v="2507882"/>
        <n v="2522001"/>
        <n v="2417391"/>
        <n v="2434117"/>
        <n v="2424251"/>
        <n v="2464142"/>
        <n v="2519763"/>
        <n v="2470505"/>
        <n v="2511122"/>
        <n v="2415046"/>
        <n v="2441989"/>
        <n v="2495377"/>
        <n v="2461169"/>
        <n v="2414548"/>
        <n v="2486714"/>
        <n v="2498008"/>
        <n v="2461416"/>
        <n v="2429237"/>
        <n v="2435252"/>
        <n v="2463467"/>
        <n v="2438638"/>
        <n v="2482203"/>
        <n v="2425681"/>
        <n v="2469687"/>
        <n v="2440463"/>
        <n v="2473691"/>
        <n v="2421789"/>
        <n v="2422720"/>
        <n v="2520740"/>
        <n v="2491077"/>
        <n v="2461653"/>
        <n v="2488646"/>
        <n v="2508205"/>
        <n v="2520987"/>
        <n v="2446537"/>
        <n v="2477293"/>
        <n v="2465852"/>
        <n v="2500866"/>
        <n v="2468957"/>
        <n v="2485451"/>
        <n v="2432586"/>
        <n v="2455352"/>
        <n v="2513736"/>
        <n v="2495111"/>
        <n v="2496976"/>
        <n v="2498144"/>
        <n v="2482851"/>
        <n v="2498861"/>
        <n v="2490478"/>
        <n v="2492668"/>
        <n v="2493277"/>
        <n v="2459362"/>
        <n v="2470327"/>
        <n v="2449617"/>
        <n v="2462313"/>
        <n v="2482139"/>
        <n v="2458981"/>
        <n v="2521561"/>
        <n v="2516732"/>
        <n v="2521388"/>
        <n v="2513322"/>
        <n v="2465170"/>
        <n v="2501864"/>
        <n v="2472071"/>
        <n v="2483870"/>
        <n v="2521510"/>
        <n v="2517188"/>
        <n v="2511617"/>
        <n v="2489496"/>
        <n v="2521338"/>
        <n v="2511830"/>
        <n v="2410224"/>
        <n v="2414547"/>
        <n v="2414551"/>
        <n v="2414561"/>
        <n v="2414564"/>
        <n v="2414568"/>
        <n v="2414574"/>
        <n v="2414588"/>
        <n v="2414591"/>
        <n v="2414605"/>
        <n v="2414670"/>
        <n v="2414709"/>
        <n v="2414723"/>
        <n v="2414726"/>
        <n v="2414775"/>
        <n v="2414798"/>
        <n v="2414817"/>
        <n v="2414872"/>
        <n v="2414969"/>
        <n v="2415000"/>
        <n v="2415004"/>
        <n v="2415017"/>
        <n v="2415062"/>
        <n v="2415065"/>
        <n v="2415085"/>
        <n v="2415112"/>
        <n v="2415117"/>
        <n v="2415143"/>
        <n v="2415160"/>
        <n v="2415167"/>
        <n v="2415168"/>
        <n v="2415178"/>
        <n v="2415180"/>
        <n v="2415185"/>
        <n v="2415187"/>
        <n v="2415192"/>
        <n v="2415198"/>
        <n v="2415277"/>
        <n v="2415280"/>
        <n v="2415289"/>
        <n v="2415343"/>
        <n v="2415354"/>
        <n v="2415376"/>
        <n v="2415387"/>
        <n v="2415417"/>
        <n v="2415478"/>
        <n v="2415526"/>
        <n v="2415538"/>
        <n v="2415542"/>
        <n v="2415661"/>
        <n v="2415664"/>
        <n v="2415666"/>
        <n v="2415704"/>
        <n v="2415705"/>
        <n v="2415715"/>
        <n v="2415725"/>
        <n v="2415741"/>
        <n v="2415799"/>
        <n v="2415810"/>
        <n v="2415813"/>
        <n v="2415824"/>
        <n v="2415885"/>
        <n v="2415908"/>
        <n v="2415911"/>
        <n v="2415929"/>
        <n v="2415930"/>
        <n v="2415940"/>
        <n v="2415989"/>
        <n v="2415997"/>
        <n v="2416014"/>
        <n v="2416081"/>
        <n v="2416101"/>
        <n v="2416119"/>
        <n v="2416162"/>
        <n v="2416193"/>
        <n v="2416204"/>
        <n v="2416213"/>
        <n v="2416215"/>
        <n v="2416236"/>
        <n v="2416442"/>
        <n v="2416455"/>
        <n v="2416474"/>
        <n v="2416479"/>
        <n v="2416812"/>
        <n v="2416937"/>
        <n v="2417051"/>
        <n v="2417139"/>
        <n v="2417143"/>
        <n v="2417166"/>
        <n v="2417242"/>
        <n v="2417263"/>
        <n v="2417307"/>
        <n v="2417389"/>
        <n v="2417398"/>
        <n v="2417458"/>
        <n v="2417462"/>
        <n v="2417496"/>
        <n v="2417507"/>
        <n v="2417508"/>
        <n v="2417509"/>
        <n v="2417561"/>
        <n v="2417626"/>
        <n v="2417791"/>
        <n v="2417853"/>
        <n v="2417904"/>
        <n v="2418085"/>
        <n v="2418090"/>
        <n v="2418175"/>
        <n v="2418277"/>
        <n v="2418381"/>
        <n v="2418465"/>
        <n v="2418488"/>
        <n v="2418508"/>
        <n v="2418575"/>
        <n v="2418647"/>
        <n v="2418672"/>
        <n v="2418681"/>
        <n v="2418706"/>
        <n v="2418726"/>
        <n v="2418765"/>
        <n v="2418789"/>
        <n v="2418874"/>
        <n v="2418925"/>
        <n v="2418995"/>
        <n v="2419014"/>
        <n v="2419288"/>
        <n v="2419307"/>
        <n v="2419319"/>
        <n v="2419522"/>
        <n v="2419607"/>
        <n v="2419661"/>
        <n v="2419689"/>
        <n v="2419804"/>
        <n v="2419826"/>
        <n v="2419830"/>
        <n v="2419841"/>
        <n v="2419849"/>
        <n v="2419857"/>
        <n v="2420072"/>
        <n v="2420395"/>
        <n v="2420561"/>
        <n v="2420642"/>
        <n v="2420643"/>
        <n v="2420770"/>
        <n v="2420783"/>
        <n v="2420812"/>
        <n v="2420876"/>
        <n v="2420885"/>
        <n v="2420903"/>
        <n v="2420904"/>
        <n v="2420941"/>
        <n v="2421051"/>
        <n v="2421101"/>
        <n v="2421149"/>
        <n v="2421153"/>
        <n v="2421302"/>
        <n v="2421317"/>
        <n v="2421365"/>
        <n v="2421486"/>
        <n v="2421663"/>
        <n v="2421682"/>
        <n v="2421763"/>
        <n v="2421771"/>
        <n v="2421793"/>
        <n v="2421836"/>
        <n v="2421847"/>
        <n v="2421848"/>
        <n v="2421852"/>
        <n v="2421855"/>
        <n v="2421861"/>
        <n v="2421863"/>
        <n v="2421866"/>
        <n v="2421879"/>
        <n v="2421896"/>
        <n v="2421913"/>
        <n v="2421929"/>
        <n v="2421979"/>
        <n v="2421981"/>
        <n v="2422008"/>
        <n v="2422025"/>
        <n v="2422174"/>
        <n v="2422219"/>
        <n v="2422239"/>
        <n v="2422271"/>
        <n v="2422351"/>
        <n v="2422358"/>
        <n v="2422386"/>
        <n v="2422398"/>
        <n v="2422399"/>
        <n v="2422404"/>
        <n v="2422431"/>
        <n v="2422447"/>
        <n v="2422478"/>
        <n v="2422524"/>
        <n v="2422576"/>
        <n v="2422613"/>
        <n v="2422626"/>
        <n v="2422689"/>
        <n v="2422752"/>
        <n v="2422766"/>
        <n v="2422843"/>
        <n v="2422863"/>
        <n v="2422909"/>
        <n v="2422950"/>
        <n v="2422958"/>
        <n v="2422963"/>
        <n v="2422965"/>
        <n v="2423454"/>
        <n v="2423640"/>
        <n v="2423656"/>
        <n v="2423680"/>
        <n v="2424081"/>
        <n v="2424286"/>
        <n v="2424315"/>
        <n v="2424539"/>
        <n v="2424580"/>
        <n v="2424658"/>
        <n v="2424801"/>
        <n v="2424918"/>
        <n v="2425431"/>
        <n v="2425486"/>
        <n v="2425522"/>
        <n v="2425554"/>
        <n v="2425656"/>
        <n v="2425698"/>
        <n v="2425719"/>
        <n v="2425824"/>
        <n v="2425955"/>
        <n v="2425981"/>
        <n v="2426514"/>
        <n v="2426616"/>
        <n v="2426635"/>
        <n v="2426645"/>
        <n v="2426690"/>
        <n v="2426757"/>
        <n v="2426871"/>
        <n v="2426950"/>
        <n v="2426994"/>
        <n v="2427143"/>
        <n v="2427169"/>
        <n v="2427265"/>
        <n v="2427349"/>
        <n v="2427453"/>
        <n v="2427482"/>
        <n v="2427648"/>
        <n v="2427732"/>
        <n v="2427785"/>
        <n v="2427842"/>
        <n v="2427871"/>
        <n v="2428102"/>
        <n v="2428159"/>
        <n v="2428168"/>
        <n v="2428228"/>
        <n v="2428535"/>
        <n v="2428666"/>
        <n v="2428708"/>
        <n v="2428730"/>
        <n v="2428745"/>
        <n v="2428889"/>
        <n v="2428973"/>
        <n v="2429046"/>
        <n v="2429744"/>
        <n v="2429775"/>
        <n v="2429928"/>
        <n v="2430025"/>
        <n v="2430059"/>
        <n v="2430120"/>
        <n v="2430166"/>
        <n v="2430197"/>
        <n v="2430243"/>
        <n v="2430279"/>
        <n v="2430304"/>
        <n v="2430326"/>
        <n v="2430415"/>
        <n v="2430429"/>
        <n v="2430487"/>
        <n v="2430501"/>
        <n v="2430530"/>
        <n v="2430603"/>
        <n v="2430662"/>
        <n v="2430688"/>
        <n v="2430716"/>
        <n v="2430765"/>
        <n v="2430784"/>
        <n v="2430799"/>
        <n v="2430809"/>
        <n v="2430865"/>
        <n v="2430895"/>
        <n v="2430999"/>
        <n v="2431019"/>
        <n v="2431061"/>
        <n v="2431282"/>
        <n v="2431400"/>
        <n v="2431753"/>
        <n v="2431885"/>
        <n v="2431898"/>
        <n v="2432039"/>
        <n v="2432436"/>
        <n v="2432440"/>
        <n v="2432699"/>
        <n v="2432759"/>
        <n v="2432771"/>
        <n v="2432796"/>
        <n v="2432905"/>
        <n v="2432971"/>
        <n v="2432992"/>
        <n v="2433007"/>
        <n v="2433187"/>
        <n v="2433299"/>
        <n v="2433531"/>
        <n v="2433672"/>
        <n v="2433806"/>
        <n v="2433873"/>
        <n v="2433907"/>
        <n v="2433989"/>
        <n v="2434015"/>
        <n v="2434037"/>
        <n v="2434088"/>
        <n v="2434211"/>
        <n v="2434222"/>
        <n v="2434244"/>
        <n v="2434246"/>
        <n v="2434403"/>
        <n v="2434447"/>
        <n v="2434943"/>
        <n v="2435067"/>
        <n v="2435096"/>
        <n v="2435209"/>
        <n v="2435282"/>
        <n v="2435404"/>
        <n v="2435663"/>
        <n v="2435684"/>
        <n v="2436231"/>
        <n v="2436249"/>
        <n v="2436371"/>
        <n v="2436602"/>
        <n v="2436785"/>
        <n v="2436991"/>
        <n v="2437059"/>
        <n v="2437084"/>
        <n v="2437234"/>
        <n v="2437336"/>
        <n v="2437390"/>
        <n v="2437890"/>
        <n v="2437899"/>
        <n v="2437906"/>
        <n v="2438000"/>
        <n v="2438047"/>
        <n v="2438048"/>
        <n v="2438123"/>
        <n v="2438313"/>
        <n v="2438415"/>
        <n v="2438418"/>
        <n v="2438421"/>
        <n v="2438599"/>
        <n v="2438653"/>
        <n v="2438788"/>
        <n v="2438795"/>
        <n v="2438984"/>
        <n v="2439198"/>
        <n v="2439301"/>
        <n v="2439380"/>
        <n v="2439603"/>
        <n v="2439776"/>
        <n v="2439828"/>
        <n v="2439906"/>
        <n v="2439978"/>
        <n v="2440111"/>
        <n v="2440113"/>
        <n v="2440262"/>
        <n v="2440305"/>
        <n v="2440339"/>
        <n v="2440395"/>
        <n v="2440399"/>
        <n v="2440447"/>
        <n v="2440638"/>
        <n v="2441050"/>
        <n v="2441126"/>
        <n v="2441162"/>
        <n v="2441377"/>
        <n v="2441581"/>
        <n v="2441683"/>
        <n v="2441720"/>
        <n v="2441812"/>
        <n v="2442077"/>
        <n v="2442155"/>
        <n v="2442164"/>
        <n v="2442241"/>
        <n v="2442244"/>
        <n v="2442291"/>
        <n v="2442540"/>
        <n v="2442647"/>
        <n v="2442736"/>
        <n v="2442773"/>
        <n v="2442786"/>
        <n v="2442960"/>
        <n v="2443076"/>
        <n v="2443164"/>
        <n v="2443525"/>
        <n v="2443545"/>
        <n v="2443688"/>
        <n v="2443719"/>
        <n v="2443787"/>
        <n v="2443808"/>
        <n v="2443822"/>
        <n v="2443897"/>
        <n v="2443912"/>
        <n v="2444043"/>
        <n v="2444133"/>
        <n v="2444280"/>
        <n v="2444317"/>
        <n v="2444439"/>
        <n v="2444453"/>
        <n v="2444463"/>
        <n v="2444600"/>
        <n v="2444612"/>
        <n v="2444642"/>
        <n v="2444651"/>
        <n v="2444718"/>
        <n v="2444740"/>
        <n v="2444756"/>
        <n v="2444759"/>
        <n v="2444793"/>
        <n v="2444947"/>
        <n v="2445112"/>
        <n v="2445211"/>
        <n v="2445214"/>
        <n v="2445443"/>
        <n v="2445522"/>
        <n v="2445529"/>
        <n v="2445561"/>
        <n v="2445600"/>
        <n v="2445739"/>
        <n v="2445781"/>
        <n v="2445792"/>
        <n v="2445911"/>
        <n v="2445924"/>
        <n v="2445936"/>
        <n v="2445938"/>
        <n v="2445952"/>
        <n v="2445986"/>
        <n v="2446106"/>
        <n v="2446199"/>
        <n v="2446298"/>
        <n v="2446322"/>
        <n v="2446345"/>
        <n v="2446606"/>
        <n v="2446742"/>
        <n v="2446776"/>
        <n v="2446786"/>
        <n v="2446810"/>
        <n v="2446822"/>
        <n v="2446889"/>
        <n v="2447310"/>
        <n v="2447521"/>
        <n v="2448007"/>
        <n v="2448043"/>
        <n v="2448077"/>
        <n v="2448103"/>
        <n v="2448318"/>
        <n v="2448358"/>
        <n v="2448366"/>
        <n v="2448377"/>
        <n v="2448554"/>
        <n v="2448815"/>
        <n v="2449008"/>
        <n v="2449063"/>
        <n v="2449125"/>
        <n v="2449132"/>
        <n v="2449210"/>
        <n v="2449328"/>
        <n v="2449376"/>
        <n v="2449545"/>
        <n v="2449953"/>
        <n v="2450047"/>
        <n v="2450083"/>
        <n v="2450111"/>
        <n v="2450267"/>
        <n v="2450308"/>
        <n v="2450494"/>
        <n v="2450515"/>
        <n v="2450599"/>
        <n v="2450895"/>
        <n v="2451038"/>
        <n v="2451140"/>
        <n v="2451174"/>
        <n v="2451308"/>
        <n v="2451477"/>
        <n v="2451516"/>
        <n v="2451560"/>
        <n v="2451901"/>
        <n v="2451922"/>
        <n v="2451940"/>
        <n v="2452169"/>
        <n v="2452173"/>
        <n v="2452207"/>
        <n v="2452229"/>
        <n v="2452469"/>
        <n v="2452535"/>
        <n v="2452546"/>
        <n v="2452565"/>
        <n v="2452688"/>
        <n v="2452869"/>
        <n v="2453032"/>
        <n v="2453086"/>
        <n v="2453151"/>
        <n v="2453214"/>
        <n v="2453253"/>
        <n v="2453329"/>
        <n v="2453360"/>
        <n v="2453492"/>
        <n v="2453528"/>
        <n v="2453548"/>
        <n v="2453564"/>
        <n v="2453612"/>
        <n v="2453621"/>
        <n v="2453629"/>
        <n v="2453697"/>
        <n v="2453796"/>
        <n v="2453845"/>
        <n v="2454171"/>
        <n v="2454558"/>
        <n v="2454692"/>
        <n v="2454747"/>
        <n v="2454762"/>
        <n v="2454764"/>
        <n v="2454878"/>
        <n v="2455242"/>
        <n v="2455445"/>
        <n v="2455525"/>
        <n v="2455557"/>
        <n v="2455608"/>
        <n v="2455743"/>
        <n v="2456179"/>
        <n v="2456183"/>
        <n v="2456332"/>
        <n v="2456447"/>
        <n v="2456481"/>
        <n v="2456501"/>
        <n v="2456506"/>
        <n v="2456547"/>
        <n v="2456550"/>
        <n v="2456583"/>
        <n v="2456653"/>
        <n v="2456678"/>
        <n v="2456738"/>
        <n v="2456821"/>
        <n v="2456867"/>
        <n v="2456890"/>
        <n v="2456923"/>
        <n v="2456944"/>
        <n v="2457153"/>
        <n v="2457176"/>
        <n v="2457220"/>
        <n v="2457231"/>
        <n v="2457308"/>
        <n v="2457358"/>
        <n v="2457375"/>
        <n v="2457380"/>
        <n v="2457388"/>
        <n v="2457433"/>
        <n v="2457453"/>
        <n v="2457472"/>
        <n v="2457511"/>
        <n v="2457580"/>
        <n v="2457610"/>
        <n v="2457697"/>
        <n v="2457711"/>
        <n v="2457770"/>
        <n v="2457856"/>
        <n v="2457913"/>
        <n v="2457920"/>
        <n v="2458029"/>
        <n v="2458059"/>
        <n v="2458150"/>
        <n v="2458190"/>
        <n v="2458318"/>
        <n v="2458515"/>
        <n v="2458631"/>
        <n v="2458664"/>
        <n v="2458746"/>
        <n v="2458747"/>
        <n v="2458771"/>
        <n v="2458929"/>
        <n v="2458961"/>
        <n v="2458990"/>
        <n v="2459048"/>
        <n v="2459050"/>
        <n v="2459052"/>
        <n v="2459066"/>
        <n v="2459108"/>
        <n v="2459115"/>
        <n v="2459117"/>
        <n v="2459180"/>
        <n v="2459246"/>
        <n v="2459493"/>
        <n v="2459544"/>
        <n v="2459626"/>
        <n v="2459643"/>
        <n v="2459655"/>
        <n v="2459670"/>
        <n v="2459743"/>
        <n v="2459767"/>
        <n v="2459786"/>
        <n v="2459794"/>
        <n v="2459868"/>
        <n v="2459909"/>
        <n v="2459916"/>
        <n v="2459941"/>
        <n v="2460080"/>
        <n v="2460090"/>
        <n v="2460110"/>
        <n v="2460119"/>
        <n v="2460122"/>
        <n v="2460265"/>
        <n v="2460277"/>
        <n v="2460287"/>
        <n v="2460338"/>
        <n v="2460340"/>
        <n v="2460356"/>
        <n v="2460391"/>
        <n v="2460403"/>
        <n v="2460426"/>
        <n v="2460721"/>
        <n v="2460722"/>
        <n v="2460766"/>
        <n v="2460902"/>
        <n v="2460942"/>
        <n v="2460943"/>
        <n v="2460950"/>
        <n v="2460952"/>
        <n v="2461002"/>
        <n v="2461035"/>
        <n v="2461039"/>
        <n v="2461064"/>
        <n v="2461074"/>
        <n v="2461149"/>
        <n v="2461219"/>
        <n v="2461223"/>
        <n v="2461226"/>
        <n v="2461247"/>
        <n v="2461303"/>
        <n v="2461310"/>
        <n v="2461315"/>
        <n v="2461321"/>
        <n v="2461333"/>
        <n v="2461397"/>
        <n v="2461408"/>
        <n v="2461504"/>
        <n v="2461541"/>
        <n v="2461572"/>
        <n v="2461613"/>
        <n v="2461621"/>
        <n v="2461626"/>
        <n v="2461703"/>
        <n v="2461717"/>
        <n v="2461763"/>
        <n v="2461764"/>
        <n v="2461772"/>
        <n v="2461787"/>
        <n v="2461794"/>
        <n v="2461826"/>
        <n v="2461828"/>
        <n v="2461845"/>
        <n v="2461905"/>
        <n v="2462104"/>
        <n v="2462178"/>
        <n v="2462207"/>
        <n v="2462220"/>
        <n v="2462256"/>
        <n v="2462331"/>
        <n v="2462348"/>
        <n v="2462373"/>
        <n v="2462386"/>
        <n v="2462400"/>
        <n v="2462430"/>
        <n v="2462436"/>
        <n v="2462439"/>
        <n v="2462444"/>
        <n v="2462448"/>
        <n v="2462451"/>
        <n v="2462453"/>
        <n v="2462454"/>
        <n v="2462468"/>
        <n v="2462526"/>
        <n v="2462542"/>
        <n v="2462570"/>
        <n v="2462616"/>
        <n v="2462648"/>
        <n v="2462695"/>
        <n v="2462720"/>
        <n v="2462765"/>
        <n v="2462904"/>
        <n v="2462906"/>
        <n v="2462916"/>
        <n v="2462928"/>
        <n v="2462929"/>
        <n v="2462931"/>
        <n v="2462973"/>
        <n v="2463038"/>
        <n v="2463048"/>
        <n v="2463050"/>
        <n v="2463076"/>
        <n v="2463127"/>
        <n v="2463144"/>
        <n v="2463175"/>
        <n v="2463199"/>
        <n v="2463207"/>
        <n v="2463212"/>
        <n v="2463219"/>
        <n v="2463242"/>
        <n v="2463245"/>
        <n v="2463299"/>
        <n v="2463347"/>
        <n v="2463403"/>
        <n v="2463410"/>
        <n v="2463411"/>
        <n v="2463439"/>
        <n v="2463492"/>
        <n v="2463556"/>
        <n v="2463581"/>
        <n v="2463640"/>
        <n v="2463671"/>
        <n v="2463802"/>
        <n v="2463810"/>
        <n v="2463831"/>
        <n v="2463833"/>
        <n v="2463999"/>
        <n v="2464003"/>
        <n v="2464036"/>
        <n v="2464051"/>
        <n v="2464053"/>
        <n v="2464057"/>
        <n v="2464068"/>
        <n v="2464123"/>
        <n v="2464236"/>
        <n v="2464256"/>
        <n v="2464277"/>
        <n v="2464309"/>
        <n v="2464329"/>
        <n v="2464334"/>
        <n v="2464362"/>
        <n v="2464381"/>
        <n v="2464384"/>
        <n v="2464423"/>
        <n v="2464424"/>
        <n v="2464518"/>
        <n v="2464534"/>
        <n v="2464537"/>
        <n v="2464541"/>
        <n v="2464545"/>
        <n v="2464546"/>
        <n v="2464582"/>
        <n v="2464608"/>
        <n v="2464618"/>
        <n v="2464623"/>
        <n v="2464666"/>
        <n v="2464667"/>
        <n v="2464724"/>
        <n v="2464730"/>
        <n v="2464770"/>
        <n v="2464789"/>
        <n v="2464822"/>
        <n v="2464828"/>
        <n v="2464832"/>
        <n v="2464882"/>
        <n v="2464883"/>
        <n v="2465032"/>
        <n v="2465041"/>
        <n v="2465050"/>
        <n v="2465051"/>
        <n v="2465172"/>
        <n v="2465179"/>
        <n v="2465265"/>
        <n v="2465295"/>
        <n v="2465349"/>
        <n v="2465417"/>
        <n v="2465474"/>
        <n v="2465526"/>
        <n v="2465528"/>
        <n v="2465569"/>
        <n v="2465685"/>
        <n v="2465686"/>
        <n v="2465741"/>
        <n v="2465773"/>
        <n v="2465775"/>
        <n v="2465805"/>
        <n v="2465866"/>
        <n v="2465876"/>
        <n v="2465947"/>
        <n v="2465985"/>
        <n v="2465990"/>
        <n v="2466024"/>
        <n v="2466070"/>
        <n v="2466085"/>
        <n v="2466142"/>
        <n v="2466342"/>
        <n v="2466346"/>
        <n v="2466371"/>
        <n v="2466419"/>
        <n v="2466558"/>
        <n v="2466584"/>
        <n v="2466605"/>
        <n v="2466610"/>
        <n v="2466644"/>
        <n v="2466688"/>
        <n v="2466834"/>
        <n v="2467079"/>
        <n v="2467180"/>
        <n v="2467211"/>
        <n v="2467264"/>
        <n v="2467276"/>
        <n v="2467416"/>
        <n v="2467430"/>
        <n v="2467866"/>
        <n v="2468000"/>
        <n v="2468119"/>
        <n v="2468231"/>
        <n v="2468239"/>
        <n v="2468395"/>
        <n v="2468440"/>
        <n v="2468447"/>
        <n v="2468511"/>
        <n v="2468697"/>
        <n v="2468987"/>
        <n v="2469089"/>
        <n v="2469120"/>
        <n v="2469224"/>
        <n v="2469238"/>
        <n v="2469251"/>
        <n v="2469360"/>
        <n v="2469461"/>
        <n v="2469476"/>
        <n v="2469486"/>
        <n v="2469488"/>
        <n v="2469489"/>
        <n v="2469500"/>
        <n v="2469638"/>
        <n v="2469659"/>
        <n v="2469668"/>
        <n v="2469803"/>
        <n v="2469826"/>
        <n v="2469899"/>
        <n v="2469911"/>
        <n v="2469995"/>
        <n v="2470036"/>
        <n v="2470049"/>
        <n v="2470116"/>
        <n v="2470188"/>
        <n v="2470213"/>
        <n v="2470244"/>
        <n v="2470251"/>
        <n v="2470266"/>
        <n v="2470377"/>
        <n v="2470386"/>
        <n v="2470407"/>
        <n v="2470422"/>
        <n v="2470494"/>
        <n v="2470578"/>
        <n v="2470583"/>
        <n v="2470602"/>
        <n v="2471287"/>
        <n v="2471349"/>
        <n v="2471390"/>
        <n v="2471603"/>
        <n v="2471637"/>
        <n v="2471665"/>
        <n v="2471692"/>
        <n v="2471774"/>
        <n v="2471789"/>
        <n v="2471887"/>
        <n v="2472006"/>
        <n v="2472052"/>
        <n v="2472117"/>
        <n v="2472230"/>
        <n v="2472316"/>
        <n v="2472470"/>
        <n v="2472483"/>
        <n v="2472530"/>
        <n v="2472532"/>
        <n v="2472592"/>
        <n v="2472716"/>
        <n v="2472733"/>
        <n v="2473015"/>
        <n v="2473093"/>
        <n v="2473181"/>
        <n v="2473252"/>
        <n v="2473302"/>
        <n v="2473579"/>
        <n v="2473601"/>
        <n v="2473656"/>
        <n v="2473665"/>
        <n v="2473713"/>
        <n v="2473957"/>
        <n v="2474141"/>
        <n v="2474192"/>
        <n v="2474522"/>
        <n v="2474579"/>
        <n v="2474584"/>
        <n v="2474633"/>
        <n v="2474698"/>
        <n v="2474791"/>
        <n v="2474912"/>
        <n v="2474945"/>
        <n v="2474974"/>
        <n v="2474975"/>
        <n v="2475016"/>
        <n v="2475044"/>
        <n v="2475241"/>
        <n v="2475487"/>
        <n v="2475505"/>
        <n v="2475513"/>
        <n v="2475668"/>
        <n v="2475799"/>
        <n v="2475819"/>
        <n v="2475877"/>
        <n v="2475959"/>
        <n v="2475963"/>
        <n v="2475985"/>
        <n v="2476003"/>
        <n v="2476018"/>
        <n v="2476019"/>
        <n v="2476026"/>
        <n v="2476030"/>
        <n v="2476110"/>
        <n v="2476262"/>
        <n v="2476314"/>
        <n v="2476379"/>
        <n v="2476445"/>
        <n v="2476455"/>
        <n v="2476531"/>
        <n v="2476537"/>
        <n v="2476540"/>
        <n v="2476562"/>
        <n v="2476618"/>
        <n v="2476625"/>
        <n v="2476642"/>
        <n v="2476648"/>
        <n v="2476699"/>
        <n v="2476754"/>
        <n v="2476927"/>
        <n v="2477068"/>
        <n v="2477069"/>
        <n v="2477071"/>
        <n v="2477092"/>
        <n v="2477099"/>
        <n v="2477280"/>
        <n v="2477361"/>
        <n v="2477425"/>
        <n v="2477516"/>
        <n v="2477658"/>
        <n v="2477737"/>
        <n v="2477765"/>
        <n v="2477794"/>
        <n v="2478203"/>
        <n v="2478218"/>
        <n v="2478238"/>
        <n v="2478265"/>
        <n v="2478387"/>
        <n v="2478412"/>
        <n v="2478577"/>
        <n v="2478611"/>
        <n v="2478628"/>
        <n v="2478898"/>
        <n v="2479006"/>
        <n v="2479191"/>
        <n v="2479200"/>
        <n v="2479256"/>
        <n v="2479273"/>
        <n v="2479285"/>
        <n v="2479330"/>
        <n v="2479341"/>
        <n v="2479432"/>
        <n v="2479504"/>
        <n v="2479561"/>
        <n v="2479611"/>
        <n v="2479674"/>
        <n v="2479704"/>
        <n v="2479784"/>
        <n v="2479834"/>
        <n v="2479864"/>
        <n v="2479935"/>
        <n v="2480095"/>
        <n v="2480214"/>
        <n v="2480386"/>
        <n v="2480662"/>
        <n v="2480726"/>
        <n v="2480734"/>
        <n v="2480779"/>
        <n v="2480792"/>
        <n v="2480800"/>
        <n v="2480845"/>
        <n v="2480881"/>
        <n v="2480910"/>
        <n v="2480963"/>
        <n v="2480984"/>
        <n v="2481021"/>
        <n v="2481036"/>
        <n v="2481040"/>
        <n v="2481064"/>
        <n v="2481218"/>
        <n v="2481305"/>
        <n v="2481368"/>
        <n v="2481638"/>
        <n v="2481651"/>
        <n v="2481654"/>
        <n v="2481718"/>
        <n v="2481833"/>
        <n v="2481877"/>
        <n v="2481899"/>
        <n v="2481918"/>
        <n v="2481919"/>
        <n v="2481940"/>
        <n v="2481971"/>
        <n v="2481977"/>
        <n v="2481989"/>
        <n v="2482037"/>
        <n v="2482500"/>
        <n v="2482557"/>
        <n v="2482565"/>
        <n v="2482600"/>
        <n v="2482710"/>
        <n v="2482734"/>
        <n v="2482794"/>
        <n v="2482799"/>
        <n v="2482804"/>
        <n v="2482811"/>
        <n v="2482825"/>
        <n v="2482858"/>
        <n v="2483016"/>
        <n v="2483019"/>
        <n v="2483080"/>
        <n v="2483090"/>
        <n v="2483096"/>
        <n v="2483128"/>
        <n v="2483137"/>
        <n v="2483163"/>
        <n v="2483165"/>
        <n v="2483210"/>
        <n v="2483262"/>
        <n v="2483266"/>
        <n v="2483289"/>
        <n v="2483335"/>
        <n v="2483366"/>
        <n v="2483375"/>
        <n v="2483385"/>
        <n v="2483417"/>
        <n v="2483423"/>
        <n v="2483461"/>
        <n v="2483536"/>
        <n v="2483538"/>
        <n v="2483542"/>
        <n v="2483549"/>
        <n v="2483579"/>
        <n v="2483622"/>
        <n v="2483644"/>
        <n v="2483666"/>
        <n v="2483675"/>
        <n v="2483676"/>
        <n v="2483681"/>
        <n v="2483698"/>
        <n v="2483706"/>
        <n v="2483725"/>
        <n v="2483740"/>
        <n v="2483747"/>
        <n v="2483756"/>
        <n v="2483759"/>
        <n v="2483825"/>
        <n v="2483875"/>
        <n v="2483884"/>
        <n v="2483887"/>
        <n v="2483894"/>
        <n v="2483985"/>
        <n v="2484040"/>
        <n v="2484339"/>
        <n v="2484424"/>
        <n v="2484441"/>
        <n v="2484678"/>
        <n v="2484720"/>
        <n v="2484750"/>
        <n v="2484765"/>
        <n v="2484796"/>
        <n v="2484809"/>
        <n v="2484875"/>
        <n v="2484988"/>
        <n v="2485001"/>
        <n v="2485009"/>
        <n v="2485010"/>
        <n v="2485015"/>
        <n v="2485065"/>
        <n v="2485444"/>
        <n v="2485565"/>
        <n v="2485600"/>
        <n v="2485631"/>
        <n v="2485851"/>
        <n v="2485870"/>
        <n v="2485905"/>
        <n v="2485914"/>
        <n v="2486146"/>
        <n v="2486205"/>
        <n v="2486431"/>
        <n v="2486555"/>
        <n v="2486899"/>
        <n v="2486925"/>
        <n v="2486940"/>
        <n v="2486942"/>
        <n v="2487004"/>
        <n v="2487111"/>
        <n v="2487141"/>
        <n v="2487143"/>
        <n v="2487250"/>
        <n v="2487260"/>
        <n v="2487281"/>
        <n v="2487288"/>
        <n v="2487312"/>
        <n v="2487314"/>
        <n v="2487422"/>
        <n v="2487429"/>
        <n v="2487621"/>
        <n v="2487696"/>
        <n v="2488082"/>
        <n v="2488111"/>
        <n v="2488143"/>
        <n v="2488253"/>
        <n v="2488281"/>
        <n v="2488307"/>
        <n v="2488585"/>
        <n v="2488815"/>
        <n v="2488916"/>
        <n v="2488953"/>
        <n v="2488954"/>
        <n v="2489007"/>
        <n v="2489038"/>
        <n v="2489108"/>
        <n v="2489240"/>
        <n v="2489253"/>
        <n v="2489269"/>
        <n v="2489301"/>
        <n v="2489305"/>
        <n v="2489316"/>
        <n v="2489342"/>
        <n v="2489400"/>
        <n v="2489417"/>
        <n v="2489425"/>
        <n v="2489563"/>
        <n v="2489588"/>
        <n v="2489594"/>
        <n v="2489626"/>
        <n v="2489647"/>
        <n v="2489705"/>
        <n v="2489767"/>
        <n v="2489778"/>
        <n v="2489791"/>
        <n v="2489813"/>
        <n v="2489841"/>
        <n v="2489852"/>
        <n v="2489863"/>
        <n v="2489872"/>
        <n v="2489882"/>
        <n v="2489883"/>
        <n v="2489933"/>
        <n v="2489941"/>
        <n v="2489942"/>
        <n v="2489958"/>
        <n v="2489967"/>
        <n v="2489975"/>
        <n v="2489978"/>
        <n v="2490022"/>
        <n v="2490051"/>
        <n v="2490052"/>
        <n v="2490053"/>
        <n v="2490070"/>
        <n v="2490076"/>
        <n v="2490103"/>
        <n v="2490116"/>
        <n v="2490128"/>
        <n v="2490137"/>
        <n v="2490140"/>
        <n v="2490207"/>
        <n v="2490234"/>
        <n v="2490251"/>
        <n v="2490283"/>
        <n v="2490320"/>
        <n v="2490389"/>
        <n v="2490418"/>
        <n v="2490426"/>
        <n v="2490437"/>
        <n v="2490469"/>
        <n v="2490539"/>
        <n v="2490591"/>
        <n v="2490603"/>
        <n v="2491070"/>
        <n v="2491088"/>
        <n v="2491092"/>
        <n v="2491428"/>
        <n v="2491459"/>
        <n v="2491499"/>
        <n v="2491634"/>
        <n v="2491693"/>
        <n v="2491733"/>
        <n v="2491739"/>
        <n v="2491740"/>
        <n v="2491789"/>
        <n v="2491814"/>
        <n v="2491849"/>
        <n v="2491885"/>
        <n v="2491951"/>
        <n v="2491975"/>
        <n v="2491983"/>
        <n v="2491984"/>
        <n v="2491987"/>
        <n v="2491992"/>
        <n v="2491995"/>
        <n v="2492001"/>
        <n v="2492006"/>
        <n v="2492007"/>
        <n v="2492009"/>
        <n v="2492158"/>
        <n v="2492324"/>
        <n v="2492376"/>
        <n v="2492425"/>
        <n v="2492640"/>
        <n v="2492657"/>
        <n v="2492688"/>
        <n v="2492766"/>
        <n v="2492824"/>
        <n v="2492925"/>
        <n v="2493054"/>
        <n v="2493179"/>
        <n v="2493228"/>
        <n v="2493453"/>
        <n v="2493471"/>
        <n v="2493472"/>
        <n v="2493473"/>
        <n v="2493504"/>
        <n v="2493506"/>
        <n v="2493520"/>
        <n v="2493526"/>
        <n v="2493539"/>
        <n v="2493546"/>
        <n v="2493557"/>
        <n v="2493560"/>
        <n v="2493571"/>
        <n v="2493636"/>
        <n v="2493657"/>
        <n v="2493685"/>
        <n v="2493753"/>
        <n v="2493836"/>
        <n v="2494033"/>
        <n v="2494189"/>
        <n v="2494193"/>
        <n v="2494204"/>
        <n v="2494303"/>
        <n v="2494312"/>
        <n v="2494405"/>
        <n v="2494463"/>
        <n v="2494486"/>
        <n v="2494504"/>
        <n v="2494589"/>
        <n v="2494648"/>
        <n v="2494841"/>
        <n v="2494852"/>
        <n v="2494856"/>
        <n v="2494971"/>
        <n v="2495037"/>
        <n v="2495049"/>
        <n v="2495246"/>
        <n v="2495369"/>
        <n v="2495427"/>
        <n v="2495456"/>
        <n v="2495487"/>
        <n v="2495534"/>
        <n v="2495549"/>
        <n v="2495583"/>
        <n v="2495650"/>
        <n v="2495837"/>
        <n v="2495841"/>
        <n v="2495842"/>
        <n v="2495852"/>
        <n v="2495986"/>
        <n v="2496089"/>
        <n v="2496100"/>
        <n v="2496104"/>
        <n v="2496106"/>
        <n v="2496126"/>
        <n v="2496145"/>
        <n v="2496161"/>
        <n v="2496193"/>
        <n v="2496264"/>
        <n v="2496341"/>
        <n v="2496530"/>
        <n v="2496543"/>
        <n v="2496545"/>
        <n v="2496566"/>
        <n v="2496585"/>
        <n v="2496632"/>
        <n v="2496863"/>
        <n v="2496892"/>
        <n v="2497062"/>
        <n v="2497227"/>
        <n v="2497239"/>
        <n v="2497256"/>
        <n v="2497257"/>
        <n v="2497277"/>
        <n v="2497287"/>
        <n v="2497314"/>
        <n v="2497350"/>
        <n v="2497360"/>
        <n v="2497383"/>
        <n v="2497405"/>
        <n v="2497433"/>
        <n v="2497468"/>
        <n v="2497479"/>
        <n v="2497481"/>
        <n v="2497498"/>
        <n v="2497521"/>
        <n v="2497548"/>
        <n v="2497636"/>
        <n v="2497703"/>
        <n v="2497712"/>
        <n v="2497873"/>
        <n v="2497952"/>
        <n v="2497982"/>
        <n v="2498021"/>
        <n v="2498039"/>
        <n v="2498072"/>
        <n v="2498078"/>
        <n v="2498133"/>
        <n v="2498156"/>
        <n v="2498157"/>
        <n v="2498189"/>
        <n v="2498221"/>
        <n v="2498259"/>
        <n v="2498270"/>
        <n v="2498280"/>
        <n v="2498298"/>
        <n v="2498301"/>
        <n v="2498325"/>
        <n v="2498354"/>
        <n v="2498363"/>
        <n v="2498385"/>
        <n v="2498435"/>
        <n v="2498695"/>
        <n v="2498728"/>
        <n v="2498806"/>
        <n v="2498839"/>
        <n v="2498878"/>
        <n v="2498948"/>
        <n v="2499031"/>
        <n v="2499036"/>
        <n v="2499040"/>
        <n v="2499063"/>
        <n v="2499155"/>
        <n v="2499182"/>
        <n v="2499188"/>
        <n v="2499189"/>
        <n v="2499190"/>
        <n v="2499193"/>
        <n v="2499332"/>
        <n v="2499446"/>
        <n v="2499463"/>
        <n v="2499521"/>
        <n v="2499538"/>
        <n v="2499751"/>
        <n v="2499804"/>
        <n v="2499915"/>
        <n v="2499968"/>
        <n v="2500108"/>
        <n v="2500217"/>
        <n v="2500229"/>
        <n v="2500274"/>
        <n v="2500280"/>
        <n v="2500418"/>
        <n v="2500426"/>
        <n v="2500487"/>
        <n v="2500508"/>
        <n v="2500571"/>
        <n v="2500614"/>
        <n v="2500830"/>
        <n v="2500891"/>
        <n v="2500955"/>
        <n v="2501014"/>
        <n v="2501025"/>
        <n v="2501101"/>
        <n v="2501177"/>
        <n v="2501180"/>
        <n v="2501393"/>
        <n v="2501453"/>
        <n v="2501537"/>
        <n v="2501568"/>
        <n v="2501691"/>
        <n v="2501965"/>
        <n v="2502120"/>
        <n v="2502178"/>
        <n v="2502186"/>
        <n v="2502266"/>
        <n v="2502282"/>
        <n v="2502300"/>
        <n v="2502390"/>
        <n v="2502453"/>
        <n v="2502534"/>
        <n v="2502570"/>
        <n v="2502576"/>
        <n v="2502598"/>
        <n v="2502600"/>
        <n v="2502608"/>
        <n v="2502615"/>
        <n v="2502619"/>
        <n v="2502649"/>
        <n v="2502684"/>
        <n v="2502757"/>
        <n v="2502769"/>
        <n v="2502777"/>
        <n v="2502985"/>
        <n v="2503097"/>
        <n v="2503174"/>
        <n v="2503175"/>
        <n v="2503191"/>
        <n v="2503217"/>
        <n v="2503261"/>
        <n v="2503384"/>
        <n v="2503400"/>
        <n v="2503470"/>
        <n v="2503502"/>
        <n v="2503537"/>
        <n v="2503542"/>
        <n v="2503662"/>
        <n v="2503746"/>
        <n v="2503892"/>
        <n v="2503895"/>
        <n v="2504010"/>
        <n v="2504101"/>
        <n v="2504183"/>
        <n v="2504210"/>
        <n v="2504218"/>
        <n v="2504222"/>
        <n v="2504227"/>
        <n v="2504237"/>
        <n v="2504247"/>
        <n v="2504270"/>
        <n v="2504292"/>
        <n v="2504303"/>
        <n v="2504328"/>
        <n v="2504358"/>
        <n v="2504402"/>
        <n v="2504512"/>
        <n v="2504557"/>
        <n v="2504572"/>
        <n v="2504575"/>
        <n v="2504656"/>
        <n v="2504708"/>
        <n v="2504789"/>
        <n v="2504853"/>
        <n v="2504929"/>
        <n v="2504974"/>
        <n v="2505201"/>
        <n v="2505240"/>
        <n v="2505388"/>
        <n v="2505394"/>
        <n v="2505418"/>
        <n v="2505532"/>
        <n v="2505583"/>
        <n v="2505621"/>
        <n v="2505656"/>
        <n v="2505830"/>
        <n v="2505831"/>
        <n v="2505921"/>
        <n v="2505938"/>
        <n v="2506251"/>
        <n v="2506307"/>
        <n v="2506461"/>
        <n v="2506561"/>
        <n v="2506673"/>
        <n v="2506737"/>
        <n v="2506842"/>
        <n v="2506876"/>
        <n v="2506881"/>
        <n v="2506883"/>
        <n v="2506953"/>
        <n v="2506968"/>
        <n v="2506973"/>
        <n v="2507023"/>
        <n v="2507101"/>
        <n v="2507104"/>
        <n v="2507128"/>
        <n v="2507157"/>
        <n v="2507189"/>
        <n v="2507263"/>
        <n v="2507339"/>
        <n v="2507362"/>
        <n v="2507436"/>
        <n v="2507458"/>
        <n v="2507460"/>
        <n v="2507489"/>
        <n v="2507591"/>
        <n v="2507596"/>
        <n v="2507615"/>
        <n v="2507632"/>
        <n v="2507642"/>
        <n v="2507647"/>
        <n v="2507662"/>
        <n v="2507663"/>
        <n v="2507665"/>
        <n v="2507667"/>
        <n v="2507704"/>
        <n v="2507724"/>
        <n v="2507800"/>
        <n v="2507883"/>
        <n v="2507890"/>
        <n v="2507895"/>
        <n v="2507898"/>
        <n v="2507901"/>
        <n v="2507913"/>
        <n v="2507972"/>
        <n v="2507988"/>
        <n v="2507997"/>
        <n v="2508002"/>
        <n v="2508004"/>
        <n v="2508062"/>
        <n v="2508126"/>
        <n v="2508156"/>
        <n v="2508163"/>
        <n v="2508238"/>
        <n v="2508239"/>
        <n v="2508308"/>
        <n v="2508392"/>
        <n v="2508408"/>
        <n v="2508578"/>
        <n v="2508586"/>
        <n v="2508588"/>
        <n v="2508671"/>
        <n v="2508681"/>
        <n v="2508693"/>
        <n v="2508694"/>
        <n v="2508718"/>
        <n v="2508760"/>
        <n v="2508963"/>
        <n v="2509015"/>
        <n v="2509074"/>
        <n v="2509244"/>
        <n v="2509403"/>
        <n v="2509435"/>
        <n v="2509449"/>
        <n v="2509461"/>
        <n v="2509541"/>
        <n v="2509671"/>
        <n v="2509792"/>
        <n v="2509860"/>
        <n v="2509883"/>
        <n v="2510005"/>
        <n v="2510011"/>
        <n v="2510053"/>
        <n v="2510057"/>
        <n v="2510058"/>
        <n v="2510074"/>
        <n v="2510105"/>
        <n v="2510110"/>
        <n v="2510124"/>
        <n v="2510127"/>
        <n v="2510146"/>
        <n v="2510155"/>
        <n v="2510165"/>
        <n v="2510183"/>
        <n v="2510210"/>
        <n v="2510218"/>
        <n v="2510245"/>
        <n v="2510260"/>
        <n v="2510352"/>
        <n v="2510354"/>
        <n v="2510371"/>
        <n v="2510373"/>
        <n v="2510381"/>
        <n v="2510392"/>
        <n v="2510394"/>
        <n v="2510397"/>
        <n v="2510400"/>
        <n v="2510403"/>
        <n v="2510407"/>
        <n v="2510423"/>
        <n v="2510474"/>
        <n v="2510482"/>
        <n v="2510610"/>
        <n v="2510870"/>
        <n v="2510934"/>
        <n v="2510935"/>
        <n v="2510937"/>
        <n v="2510969"/>
        <n v="2511009"/>
        <n v="2511010"/>
        <n v="2511091"/>
        <n v="2511094"/>
        <n v="2511194"/>
        <n v="2511226"/>
        <n v="2511433"/>
        <n v="2511474"/>
        <n v="2511505"/>
        <n v="2511541"/>
        <n v="2511560"/>
        <n v="2511615"/>
        <n v="2511627"/>
        <n v="2511651"/>
        <n v="2511657"/>
        <n v="2511666"/>
        <n v="2511671"/>
        <n v="2511687"/>
        <n v="2511692"/>
        <n v="2511700"/>
        <n v="2511702"/>
        <n v="2511705"/>
        <n v="2511712"/>
        <n v="2511719"/>
        <n v="2511725"/>
        <n v="2511731"/>
        <n v="2511732"/>
        <n v="2511738"/>
        <n v="2511777"/>
        <n v="2511781"/>
        <n v="2511797"/>
        <n v="2511825"/>
        <n v="2511847"/>
        <n v="2511848"/>
        <n v="2511896"/>
        <n v="2511957"/>
        <n v="2511963"/>
        <n v="2512036"/>
        <n v="2512066"/>
        <n v="2512070"/>
        <n v="2512237"/>
        <n v="2512335"/>
        <n v="2512371"/>
        <n v="2512436"/>
        <n v="2512439"/>
        <n v="2512558"/>
        <n v="2512680"/>
        <n v="2512724"/>
        <n v="2512745"/>
        <n v="2512759"/>
        <n v="2512781"/>
        <n v="2512945"/>
        <n v="2513014"/>
        <n v="2513024"/>
        <n v="2513043"/>
        <n v="2513055"/>
        <n v="2513057"/>
        <n v="2513156"/>
        <n v="2513213"/>
        <n v="2513309"/>
        <n v="2513324"/>
        <n v="2513339"/>
        <n v="2513340"/>
        <n v="2513375"/>
        <n v="2513514"/>
        <n v="2513563"/>
        <n v="2513569"/>
        <n v="2513606"/>
        <n v="2513642"/>
        <n v="2513724"/>
        <n v="2513758"/>
        <n v="2513768"/>
        <n v="2513777"/>
        <n v="2513965"/>
        <n v="2513984"/>
        <n v="2514086"/>
        <n v="2514216"/>
        <n v="2514334"/>
        <n v="2514374"/>
        <n v="2514382"/>
        <n v="2514396"/>
        <n v="2514423"/>
        <n v="2514469"/>
        <n v="2514478"/>
        <n v="2514505"/>
        <n v="2514547"/>
        <n v="2514567"/>
        <n v="2514592"/>
        <n v="2514633"/>
        <n v="2514666"/>
        <n v="2514755"/>
        <n v="2514790"/>
        <n v="2514791"/>
        <n v="2514795"/>
        <n v="2514801"/>
        <n v="2514804"/>
        <n v="2514874"/>
        <n v="2514877"/>
        <n v="2514888"/>
        <n v="2514922"/>
        <n v="2514928"/>
        <n v="2514934"/>
        <n v="2514944"/>
        <n v="2514945"/>
        <n v="2514951"/>
        <n v="2514957"/>
        <n v="2514962"/>
        <n v="2515036"/>
        <n v="2515067"/>
        <n v="2515108"/>
        <n v="2515115"/>
        <n v="2515247"/>
        <n v="2515313"/>
        <n v="2515323"/>
        <n v="2515350"/>
        <n v="2515495"/>
        <n v="2515707"/>
        <n v="2515789"/>
        <n v="2515794"/>
        <n v="2515971"/>
        <n v="2516001"/>
        <n v="2516041"/>
        <n v="2516101"/>
        <n v="2516168"/>
        <n v="2516171"/>
        <n v="2516197"/>
        <n v="2516260"/>
        <n v="2516296"/>
        <n v="2516333"/>
        <n v="2516390"/>
        <n v="2516398"/>
        <n v="2516421"/>
        <n v="2516426"/>
        <n v="2516514"/>
        <n v="2516520"/>
        <n v="2516581"/>
        <n v="2516585"/>
        <n v="2516611"/>
        <n v="2516616"/>
        <n v="2516646"/>
        <n v="2516668"/>
        <n v="2516694"/>
        <n v="2516702"/>
        <n v="2516720"/>
        <n v="2516743"/>
        <n v="2516744"/>
        <n v="2516746"/>
        <n v="2516798"/>
        <n v="2516821"/>
        <n v="2516838"/>
        <n v="2516841"/>
        <n v="2516870"/>
        <n v="2516881"/>
        <n v="2516916"/>
        <n v="2516948"/>
        <n v="2516958"/>
        <n v="2516979"/>
        <n v="2517107"/>
        <n v="2517130"/>
        <n v="2517158"/>
        <n v="2517186"/>
        <n v="2517198"/>
        <n v="2517206"/>
        <n v="2517207"/>
        <n v="2517233"/>
        <n v="2517287"/>
        <n v="2517333"/>
        <n v="2517361"/>
        <n v="2517366"/>
        <n v="2517385"/>
        <n v="2517401"/>
        <n v="2517443"/>
        <n v="2517482"/>
        <n v="2517489"/>
        <n v="2517496"/>
        <n v="2517503"/>
        <n v="2517504"/>
        <n v="2517510"/>
        <n v="2517524"/>
        <n v="2517529"/>
        <n v="2517577"/>
        <n v="2517580"/>
        <n v="2517591"/>
        <n v="2517608"/>
        <n v="2517618"/>
        <n v="2517632"/>
        <n v="2517636"/>
        <n v="2517672"/>
        <n v="2517673"/>
        <n v="2517676"/>
        <n v="2517685"/>
        <n v="2517689"/>
        <n v="2517693"/>
        <n v="2517694"/>
        <n v="2517721"/>
        <n v="2517732"/>
        <n v="2517741"/>
        <n v="2517743"/>
        <n v="2517744"/>
        <n v="2517750"/>
        <n v="2517768"/>
        <n v="2517779"/>
        <n v="2517812"/>
        <n v="2517815"/>
        <n v="2517820"/>
        <n v="2517834"/>
        <n v="2517838"/>
        <n v="2517851"/>
        <n v="2517854"/>
        <n v="2517874"/>
        <n v="2517876"/>
        <n v="2517887"/>
        <n v="2517904"/>
        <n v="2517933"/>
        <n v="2517938"/>
        <n v="2517948"/>
        <n v="2517950"/>
        <n v="2517964"/>
        <n v="2517966"/>
        <n v="2517989"/>
        <n v="2517997"/>
        <n v="2517999"/>
        <n v="2518003"/>
        <n v="2518004"/>
        <n v="2518005"/>
        <n v="2518020"/>
        <n v="2518023"/>
        <n v="2518032"/>
        <n v="2518034"/>
        <n v="2518087"/>
        <n v="2518099"/>
        <n v="2518109"/>
        <n v="2518128"/>
        <n v="2518145"/>
        <n v="2518168"/>
        <n v="2518182"/>
        <n v="2518184"/>
        <n v="2518199"/>
        <n v="2518266"/>
        <n v="2518289"/>
        <n v="2518303"/>
        <n v="2518307"/>
        <n v="2518342"/>
        <n v="2518399"/>
        <n v="2518433"/>
        <n v="2518440"/>
        <n v="2518457"/>
        <n v="2518459"/>
        <n v="2518509"/>
        <n v="2518510"/>
        <n v="2518515"/>
        <n v="2518522"/>
        <n v="2518528"/>
        <n v="2518530"/>
        <n v="2518537"/>
        <n v="2518563"/>
        <n v="2518577"/>
        <n v="2518581"/>
        <n v="2518605"/>
        <n v="2518645"/>
        <n v="2518670"/>
        <n v="2518671"/>
        <n v="2518673"/>
        <n v="2518699"/>
        <n v="2518821"/>
        <n v="2518841"/>
        <n v="2518863"/>
        <n v="2518871"/>
        <n v="2518877"/>
        <n v="2518880"/>
        <n v="2518882"/>
        <n v="2518883"/>
        <n v="2518918"/>
        <n v="2518925"/>
        <n v="2518939"/>
        <n v="2518951"/>
        <n v="2518961"/>
        <n v="2518974"/>
        <n v="2519056"/>
        <n v="2519058"/>
        <n v="2519066"/>
        <n v="2519088"/>
        <n v="2519160"/>
        <n v="2519195"/>
        <n v="2519200"/>
        <n v="2519226"/>
        <n v="2519259"/>
        <n v="2519327"/>
        <n v="2519435"/>
        <n v="2519510"/>
        <n v="2519557"/>
        <n v="2519580"/>
        <n v="2519601"/>
        <n v="2519614"/>
        <n v="2519642"/>
        <n v="2519657"/>
        <n v="2519688"/>
        <n v="2519708"/>
        <n v="2519736"/>
        <n v="2519837"/>
        <n v="2519866"/>
        <n v="2519922"/>
        <n v="2519938"/>
        <n v="2519953"/>
        <n v="2519973"/>
        <n v="2519977"/>
        <n v="2519991"/>
        <n v="2520102"/>
        <n v="2520149"/>
        <n v="2520155"/>
        <n v="2520163"/>
        <n v="2520176"/>
        <n v="2520199"/>
        <n v="2520215"/>
        <n v="2520298"/>
        <n v="2520305"/>
        <n v="2520316"/>
        <n v="2520358"/>
        <n v="2520400"/>
        <n v="2520421"/>
        <n v="2520438"/>
        <n v="2520449"/>
        <n v="2520474"/>
        <n v="2520483"/>
        <n v="2520522"/>
        <n v="2520567"/>
        <n v="2520568"/>
        <n v="2520574"/>
        <n v="2520581"/>
        <n v="2520583"/>
        <n v="2520590"/>
        <n v="2520603"/>
        <n v="2520643"/>
        <n v="2520646"/>
        <n v="2520653"/>
        <n v="2520655"/>
        <n v="2520673"/>
        <n v="2520686"/>
        <n v="2520689"/>
        <n v="2520691"/>
        <n v="2520706"/>
        <n v="2520721"/>
        <n v="2520722"/>
        <n v="2520727"/>
        <n v="2520774"/>
        <n v="2520776"/>
        <n v="2520783"/>
        <n v="2520802"/>
        <n v="2520814"/>
        <n v="2520825"/>
        <n v="2520841"/>
        <n v="2520851"/>
        <n v="2520859"/>
        <n v="2520869"/>
        <n v="2520870"/>
        <n v="2520894"/>
        <n v="2520898"/>
        <n v="2520911"/>
        <n v="2520923"/>
        <n v="2520928"/>
        <n v="2520930"/>
        <n v="2520938"/>
        <n v="2520952"/>
        <n v="2520956"/>
        <n v="2520960"/>
        <n v="2520966"/>
        <n v="2520977"/>
        <n v="2520981"/>
        <n v="2520992"/>
        <n v="2520993"/>
        <n v="2520999"/>
        <n v="2521002"/>
        <n v="2521007"/>
        <n v="2521029"/>
        <n v="2521034"/>
        <n v="2521040"/>
        <n v="2521050"/>
        <n v="2521055"/>
        <n v="2521066"/>
        <n v="2521070"/>
        <n v="2521102"/>
        <n v="2521110"/>
        <n v="2521122"/>
        <n v="2521134"/>
        <n v="2521138"/>
        <n v="2521151"/>
        <n v="2521184"/>
        <n v="2521199"/>
        <n v="2521204"/>
        <n v="2521222"/>
        <n v="2521228"/>
        <n v="2521246"/>
        <n v="2521270"/>
        <n v="2521271"/>
        <n v="2521307"/>
        <n v="2521314"/>
        <n v="2521347"/>
        <n v="2521369"/>
        <n v="2521384"/>
        <n v="2521386"/>
        <n v="2521389"/>
        <n v="2521419"/>
        <n v="2521427"/>
        <n v="2521517"/>
        <n v="2521570"/>
        <n v="2521589"/>
        <n v="2521611"/>
        <n v="2521615"/>
        <n v="2521627"/>
        <n v="2521685"/>
        <n v="2521689"/>
        <n v="2521693"/>
        <n v="2521738"/>
        <n v="2521755"/>
        <n v="2521773"/>
        <n v="2521774"/>
        <n v="2521787"/>
        <n v="2521789"/>
        <n v="2521829"/>
        <n v="2521840"/>
        <n v="2521842"/>
        <n v="2521910"/>
        <n v="2521920"/>
        <n v="2521931"/>
        <n v="2521942"/>
        <n v="2521970"/>
        <n v="2522007"/>
        <n v="2522041"/>
        <n v="2522046"/>
        <n v="2522129"/>
        <n v="2522138"/>
        <n v="2522149"/>
        <n v="2522165"/>
        <n v="2522203"/>
        <n v="2522214"/>
        <n v="2522255"/>
        <n v="2522259"/>
        <n v="2522265"/>
        <n v="2522292"/>
        <n v="2522305"/>
        <n v="2522320"/>
        <n v="2522338"/>
        <n v="2522340"/>
        <n v="2522355"/>
        <n v="2522358"/>
        <n v="2522361"/>
        <n v="2522373"/>
        <n v="2522380"/>
        <n v="2522394"/>
        <n v="2522396"/>
        <n v="2522398"/>
        <n v="2522407"/>
        <n v="2522408"/>
        <n v="2522420"/>
        <n v="2522445"/>
        <n v="2522452"/>
        <n v="2522455"/>
        <n v="2522470"/>
        <n v="2522473"/>
        <n v="2522478"/>
        <n v="2522497"/>
        <n v="2522502"/>
        <n v="2522509"/>
        <n v="2522513"/>
        <n v="2522532"/>
        <n v="2522547"/>
        <n v="2522560"/>
        <n v="2522570"/>
        <n v="2522575"/>
        <n v="2522577"/>
        <n v="2522578"/>
        <n v="2522587"/>
        <n v="2522596"/>
        <n v="2522602"/>
        <n v="2522603"/>
        <n v="2522610"/>
        <n v="2522615"/>
        <n v="2522624"/>
        <n v="2522636"/>
        <n v="2522667"/>
        <n v="2522673"/>
        <n v="2522674"/>
        <n v="2522707"/>
        <n v="2522715"/>
        <n v="2522717"/>
        <n v="2522724"/>
        <n v="2522727"/>
        <n v="2522732"/>
        <n v="2522737"/>
        <n v="2522758"/>
        <n v="2522776"/>
        <n v="2522777"/>
        <n v="2522780"/>
        <n v="2522784"/>
        <n v="2522800"/>
        <n v="2522818"/>
        <n v="2522870"/>
        <n v="2522894"/>
        <n v="2522913"/>
        <n v="2522917"/>
        <n v="2522947"/>
        <n v="2522951"/>
        <n v="2522952"/>
        <n v="2522977"/>
        <n v="2522981"/>
        <n v="2522989"/>
        <n v="2522991"/>
        <n v="2522992"/>
        <n v="2522994"/>
        <n v="2522995"/>
        <n v="2522996"/>
        <n v="2523005"/>
        <n v="2523015"/>
        <n v="2523018"/>
        <n v="2523027"/>
        <n v="2523031"/>
        <n v="2523036"/>
        <n v="2523038"/>
        <n v="2523044"/>
        <n v="2523056"/>
        <n v="2523066"/>
        <n v="2523078"/>
        <n v="2523079"/>
        <n v="2523081"/>
        <n v="2523086"/>
        <n v="2523088"/>
        <n v="2523093"/>
        <n v="2523095"/>
        <n v="2523097"/>
        <n v="2523111"/>
        <n v="2523113"/>
        <n v="2523114"/>
        <n v="2523119"/>
        <n v="2523127"/>
        <n v="2523129"/>
        <n v="2523139"/>
        <n v="2523154"/>
        <n v="2523165"/>
        <n v="2523188"/>
        <n v="2523198"/>
        <n v="2523202"/>
        <n v="2523214"/>
        <n v="2523251"/>
        <n v="2523267"/>
        <n v="2523278"/>
        <n v="2523320"/>
        <n v="2523322"/>
        <n v="2523390"/>
        <n v="2523401"/>
        <n v="2523433"/>
        <n v="2523435"/>
        <n v="2523442"/>
        <n v="2523500"/>
        <n v="2523558"/>
        <n v="2523560"/>
        <n v="2523587"/>
        <n v="2523747"/>
        <n v="2523787"/>
        <n v="2523830"/>
      </sharedItems>
    </cacheField>
    <cacheField name="Nationality" numFmtId="0">
      <sharedItems count="65">
        <s v="Italy"/>
        <s v="Croatia"/>
        <s v="Spain"/>
        <s v="Australia"/>
        <s v="Vietnam"/>
        <s v="Koreasouth"/>
        <s v="United States Of America"/>
        <s v="Russia"/>
        <s v="Germany"/>
        <s v="Kazakhstan"/>
        <s v="India"/>
        <s v="United Kingdom"/>
        <s v="Ireland"/>
        <s v="China"/>
        <s v="Southafrica"/>
        <s v="Colombia"/>
        <s v="Ukraine"/>
        <s v="Pakistan"/>
        <s v="Argentina"/>
        <s v="Iran"/>
        <s v="Mexico"/>
        <s v="Cameroon"/>
        <s v="Belgium"/>
        <s v="Lebanon"/>
        <s v="Latvia"/>
        <s v="Turkey"/>
        <s v="Ethiopia"/>
        <s v="Nigeria"/>
        <s v="Bangladesh"/>
        <s v="Ecuador"/>
        <s v="France"/>
        <s v="Egypt"/>
        <s v="Uganda"/>
        <s v="State Of Palestine"/>
        <s v="Tunisia"/>
        <s v="Ghana"/>
        <s v="Srilanka"/>
        <s v="Brazil"/>
        <s v="Rwanda"/>
        <s v="Algeria"/>
        <s v="Kosovo"/>
        <s v="Indonesia"/>
        <s v="Sweden"/>
        <s v="Nepal"/>
        <s v="Macedonia"/>
        <s v="Lithuania"/>
        <s v="Chile"/>
        <s v="Cambodia"/>
        <s v="Kenya"/>
        <s v="Kyrgyzstan"/>
        <s v="Thailand"/>
        <s v="Poland"/>
        <s v="Malaysia"/>
        <s v="Congo"/>
        <s v="Zimbabwe"/>
        <s v="Switzerland"/>
        <s v="Serbia"/>
        <s v="Tanzania"/>
        <s v="Greece"/>
        <s v="Honduras"/>
        <s v="Morocco"/>
        <s v="Uzbekistan"/>
        <s v="The Gambia"/>
        <s v="Madagascar"/>
        <s v=""/>
      </sharedItems>
    </cacheField>
    <cacheField name="Selected IM" numFmtId="0">
      <sharedItems count="2">
        <s v="Yes"/>
        <s v="No"/>
      </sharedItems>
    </cacheField>
    <cacheField name="Selected MM" numFmtId="0">
      <sharedItems/>
    </cacheField>
    <cacheField name="Selected RM" numFmtId="0">
      <sharedItems count="2">
        <s v="Yes"/>
        <s v="No"/>
      </sharedItems>
    </cacheField>
    <cacheField name="SCORE" numFmtId="0">
      <sharedItems containsString="0" containsBlank="1" containsNumber="1" minValue="50" maxValue="99.55" count="320">
        <n v="99.55"/>
        <n v="99.16"/>
        <n v="98.74"/>
        <n v="96.69"/>
        <n v="96"/>
        <n v="95.83"/>
        <n v="95.62"/>
        <n v="94.59"/>
        <n v="94.32"/>
        <n v="94.27"/>
        <n v="93.81"/>
        <n v="92.43"/>
        <n v="92.27"/>
        <n v="91.25"/>
        <n v="91.19"/>
        <n v="90.64"/>
        <n v="90.44"/>
        <n v="90.37"/>
        <n v="90.3"/>
        <n v="90.21"/>
        <n v="90.14"/>
        <n v="89.93"/>
        <n v="89.85"/>
        <n v="89.76"/>
        <n v="89.46"/>
        <n v="89.35"/>
        <n v="89.3"/>
        <n v="89.23"/>
        <n v="89.14"/>
        <n v="88.89"/>
        <n v="88.79"/>
        <n v="88.69"/>
        <n v="88.63"/>
        <n v="88.57"/>
        <n v="88.5"/>
        <n v="88.34"/>
        <n v="88.25"/>
        <n v="88.14"/>
        <n v="88.01"/>
        <n v="87.91"/>
        <n v="87.83"/>
        <n v="87.58"/>
        <n v="87.5"/>
        <n v="87.45"/>
        <n v="87.4"/>
        <n v="87.35"/>
        <n v="87.3"/>
        <n v="87.25"/>
        <n v="87.19"/>
        <n v="87.13"/>
        <n v="87.05"/>
        <n v="87"/>
        <n v="86.95"/>
        <n v="86.9"/>
        <n v="86.84"/>
        <n v="86.77"/>
        <n v="86.45"/>
        <n v="86.34"/>
        <n v="86.2"/>
        <n v="86.15"/>
        <n v="86.1"/>
        <n v="86.05"/>
        <n v="86"/>
        <n v="85.95"/>
        <n v="85.9"/>
        <n v="85.85"/>
        <n v="85.8"/>
        <n v="85.75"/>
        <n v="85.7"/>
        <n v="85.63"/>
        <n v="85.57"/>
        <n v="85.5"/>
        <n v="85.44"/>
        <n v="85.38"/>
        <n v="85.22"/>
        <n v="84.99"/>
        <n v="84.9"/>
        <n v="84.85"/>
        <n v="84.78"/>
        <n v="84.72"/>
        <n v="84.67"/>
        <n v="84.6"/>
        <n v="84.55"/>
        <n v="84.5"/>
        <n v="84.45"/>
        <n v="84.4"/>
        <n v="84.3"/>
        <n v="84.2"/>
        <n v="84.09"/>
        <n v="83.94"/>
        <n v="83.88"/>
        <n v="83.81"/>
        <n v="83.6"/>
        <n v="83.54"/>
        <n v="83.44"/>
        <n v="83.27"/>
        <n v="82.87"/>
        <n v="82.56"/>
        <n v="82.45"/>
        <n v="82.37"/>
        <n v="82.32"/>
        <n v="82.25"/>
        <n v="82.2"/>
        <n v="82.15"/>
        <n v="82.1"/>
        <n v="82.05"/>
        <n v="82"/>
        <n v="81.95"/>
        <n v="81.900000000000006"/>
        <n v="81.8"/>
        <n v="81.44"/>
        <n v="81.349999999999994"/>
        <n v="81.05"/>
        <n v="80.959999999999994"/>
        <n v="80.900000000000006"/>
        <n v="80.83"/>
        <n v="80.78"/>
        <n v="80.7"/>
        <n v="80.5"/>
        <n v="80"/>
        <n v="79.5"/>
        <n v="79"/>
        <n v="78.5"/>
        <n v="78"/>
        <n v="77.5"/>
        <n v="77"/>
        <n v="76.5"/>
        <n v="76"/>
        <n v="75.5"/>
        <n v="75"/>
        <n v="74.900000000000006"/>
        <n v="74.8"/>
        <n v="74.650000000000006"/>
        <n v="74.55"/>
        <n v="74.400000000000006"/>
        <n v="74.3"/>
        <n v="74.2"/>
        <n v="74.099999999999994"/>
        <n v="74"/>
        <n v="73.849999999999994"/>
        <n v="73.7"/>
        <n v="73.599999999999994"/>
        <n v="73.5"/>
        <n v="73.400000000000006"/>
        <n v="73.25"/>
        <n v="73.099999999999994"/>
        <n v="73"/>
        <n v="72.900000000000006"/>
        <n v="72.75"/>
        <n v="72.599999999999994"/>
        <n v="72.5"/>
        <n v="72.400000000000006"/>
        <n v="72.3"/>
        <n v="72.2"/>
        <n v="72.099999999999994"/>
        <n v="72"/>
        <n v="71.849999999999994"/>
        <n v="71.7"/>
        <n v="71.55"/>
        <n v="71.400000000000006"/>
        <n v="71.25"/>
        <n v="71.099999999999994"/>
        <n v="71"/>
        <n v="70.849999999999994"/>
        <n v="70.599999999999994"/>
        <n v="70.5"/>
        <n v="70.349999999999994"/>
        <n v="70.2"/>
        <n v="70"/>
        <n v="69.849999999999994"/>
        <n v="69.75"/>
        <n v="69.650000000000006"/>
        <n v="69.5"/>
        <n v="69.400000000000006"/>
        <n v="69.3"/>
        <n v="69.2"/>
        <n v="69"/>
        <n v="68.900000000000006"/>
        <n v="68.75"/>
        <n v="68.650000000000006"/>
        <n v="68.5"/>
        <n v="68.400000000000006"/>
        <n v="68.25"/>
        <n v="68.150000000000006"/>
        <n v="68"/>
        <n v="67.900000000000006"/>
        <n v="67.8"/>
        <n v="67.650000000000006"/>
        <n v="67.5"/>
        <n v="67.349999999999994"/>
        <n v="67.2"/>
        <n v="67.099999999999994"/>
        <n v="67"/>
        <n v="66.900000000000006"/>
        <n v="66.75"/>
        <n v="66.5"/>
        <n v="66.400000000000006"/>
        <n v="66.25"/>
        <n v="66.099999999999994"/>
        <n v="66"/>
        <n v="65.8"/>
        <n v="65.599999999999994"/>
        <n v="65.400000000000006"/>
        <n v="65.2"/>
        <n v="65"/>
        <n v="64.8"/>
        <n v="64.650000000000006"/>
        <n v="64.5"/>
        <n v="64.400000000000006"/>
        <n v="64.3"/>
        <n v="64.150000000000006"/>
        <n v="64.05"/>
        <n v="63.9"/>
        <n v="63.7"/>
        <n v="63.5"/>
        <n v="63.35"/>
        <n v="63.15"/>
        <n v="63"/>
        <n v="62.85"/>
        <n v="62.7"/>
        <n v="62.5"/>
        <n v="62.25"/>
        <n v="62.1"/>
        <n v="61.9"/>
        <n v="61.75"/>
        <n v="61.5"/>
        <n v="61.35"/>
        <n v="61.2"/>
        <n v="61.05"/>
        <n v="60.9"/>
        <n v="60.75"/>
        <n v="60.6"/>
        <n v="60.5"/>
        <n v="60.4"/>
        <n v="60.25"/>
        <n v="60.1"/>
        <n v="60"/>
        <n v="59.9"/>
        <n v="59.8"/>
        <n v="59.6"/>
        <n v="59.4"/>
        <n v="59.25"/>
        <n v="59.1"/>
        <n v="59"/>
        <n v="58.85"/>
        <n v="58.7"/>
        <n v="58.55"/>
        <n v="58.4"/>
        <n v="58.25"/>
        <n v="58.1"/>
        <n v="57.95"/>
        <n v="57.8"/>
        <n v="57.65"/>
        <n v="57.5"/>
        <n v="57.25"/>
        <n v="57.1"/>
        <n v="57"/>
        <n v="56.9"/>
        <n v="56.8"/>
        <n v="56.65"/>
        <n v="56.5"/>
        <n v="56.4"/>
        <n v="56.25"/>
        <n v="56.1"/>
        <n v="56"/>
        <n v="55.85"/>
        <n v="55.75"/>
        <n v="55.6"/>
        <n v="55.4"/>
        <n v="55.3"/>
        <n v="55.2"/>
        <n v="55.1"/>
        <n v="55"/>
        <n v="54.9"/>
        <n v="54.75"/>
        <n v="54.6"/>
        <n v="54.5"/>
        <n v="54.4"/>
        <n v="54.25"/>
        <n v="54.1"/>
        <n v="54"/>
        <n v="53.85"/>
        <n v="53.75"/>
        <n v="53.6"/>
        <n v="53.5"/>
        <n v="53.35"/>
        <n v="53.25"/>
        <n v="53.1"/>
        <n v="53"/>
        <n v="52.85"/>
        <n v="52.7"/>
        <n v="52.6"/>
        <n v="52.55"/>
        <n v="52.3"/>
        <n v="52.15"/>
        <n v="52.05"/>
        <n v="51.95"/>
        <n v="51.85"/>
        <n v="51.75"/>
        <n v="51.6"/>
        <n v="51.55"/>
        <n v="51.5"/>
        <n v="51.45"/>
        <n v="51.4"/>
        <n v="51.3"/>
        <n v="51.25"/>
        <n v="51.15"/>
        <n v="51"/>
        <n v="50.9"/>
        <n v="50.8"/>
        <n v="50.7"/>
        <n v="50.6"/>
        <n v="50.5"/>
        <n v="50.4"/>
        <n v="50.3"/>
        <n v="50.25"/>
        <n v="50.2"/>
        <n v="50.1"/>
        <n v="50"/>
        <m/>
      </sharedItems>
    </cacheField>
    <cacheField name="EMJM Scholarship" numFmtId="0">
      <sharedItems containsBlank="1" count="4">
        <s v="Awarded"/>
        <s v="Waiting List"/>
        <s v="N/A"/>
        <m/>
      </sharedItems>
    </cacheField>
    <cacheField name="Ranking" numFmtId="0">
      <sharedItems containsString="0" containsBlank="1" containsNumber="1" containsInteger="1" minValue="1" maxValue="319" count="3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m/>
      </sharedItems>
    </cacheField>
    <cacheField name="Category" numFmtId="0">
      <sharedItems count="5">
        <s v="Triple Yes"/>
        <s v="Double Yes"/>
        <s v="Single Yes"/>
        <s v="Triple No"/>
        <s v="N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65">
  <r>
    <x v="0"/>
    <x v="0"/>
    <x v="0"/>
    <s v="Yes"/>
    <x v="0"/>
    <x v="0"/>
    <x v="0"/>
    <x v="0"/>
    <x v="0"/>
  </r>
  <r>
    <x v="1"/>
    <x v="0"/>
    <x v="0"/>
    <s v="Yes"/>
    <x v="0"/>
    <x v="1"/>
    <x v="0"/>
    <x v="1"/>
    <x v="0"/>
  </r>
  <r>
    <x v="2"/>
    <x v="1"/>
    <x v="0"/>
    <s v="Yes"/>
    <x v="0"/>
    <x v="2"/>
    <x v="0"/>
    <x v="2"/>
    <x v="0"/>
  </r>
  <r>
    <x v="3"/>
    <x v="2"/>
    <x v="0"/>
    <s v="Yes"/>
    <x v="0"/>
    <x v="3"/>
    <x v="0"/>
    <x v="3"/>
    <x v="0"/>
  </r>
  <r>
    <x v="4"/>
    <x v="3"/>
    <x v="0"/>
    <s v="Yes"/>
    <x v="0"/>
    <x v="4"/>
    <x v="0"/>
    <x v="4"/>
    <x v="0"/>
  </r>
  <r>
    <x v="5"/>
    <x v="4"/>
    <x v="0"/>
    <s v="Yes"/>
    <x v="0"/>
    <x v="5"/>
    <x v="0"/>
    <x v="5"/>
    <x v="0"/>
  </r>
  <r>
    <x v="6"/>
    <x v="5"/>
    <x v="0"/>
    <s v="Yes"/>
    <x v="0"/>
    <x v="6"/>
    <x v="0"/>
    <x v="6"/>
    <x v="0"/>
  </r>
  <r>
    <x v="7"/>
    <x v="6"/>
    <x v="0"/>
    <s v="Yes"/>
    <x v="0"/>
    <x v="7"/>
    <x v="0"/>
    <x v="7"/>
    <x v="0"/>
  </r>
  <r>
    <x v="8"/>
    <x v="7"/>
    <x v="0"/>
    <s v="Yes"/>
    <x v="0"/>
    <x v="8"/>
    <x v="0"/>
    <x v="8"/>
    <x v="0"/>
  </r>
  <r>
    <x v="9"/>
    <x v="2"/>
    <x v="0"/>
    <s v="Yes"/>
    <x v="0"/>
    <x v="9"/>
    <x v="0"/>
    <x v="9"/>
    <x v="0"/>
  </r>
  <r>
    <x v="10"/>
    <x v="8"/>
    <x v="0"/>
    <s v="Yes"/>
    <x v="0"/>
    <x v="10"/>
    <x v="0"/>
    <x v="10"/>
    <x v="0"/>
  </r>
  <r>
    <x v="11"/>
    <x v="2"/>
    <x v="0"/>
    <s v="Yes"/>
    <x v="0"/>
    <x v="11"/>
    <x v="1"/>
    <x v="11"/>
    <x v="0"/>
  </r>
  <r>
    <x v="12"/>
    <x v="0"/>
    <x v="0"/>
    <s v="Yes"/>
    <x v="0"/>
    <x v="12"/>
    <x v="1"/>
    <x v="12"/>
    <x v="0"/>
  </r>
  <r>
    <x v="13"/>
    <x v="9"/>
    <x v="0"/>
    <s v="Yes"/>
    <x v="0"/>
    <x v="13"/>
    <x v="0"/>
    <x v="13"/>
    <x v="0"/>
  </r>
  <r>
    <x v="14"/>
    <x v="9"/>
    <x v="0"/>
    <s v="Yes"/>
    <x v="0"/>
    <x v="14"/>
    <x v="0"/>
    <x v="14"/>
    <x v="0"/>
  </r>
  <r>
    <x v="15"/>
    <x v="8"/>
    <x v="0"/>
    <s v="Yes"/>
    <x v="0"/>
    <x v="15"/>
    <x v="0"/>
    <x v="15"/>
    <x v="0"/>
  </r>
  <r>
    <x v="16"/>
    <x v="10"/>
    <x v="0"/>
    <s v="Yes"/>
    <x v="0"/>
    <x v="16"/>
    <x v="0"/>
    <x v="16"/>
    <x v="0"/>
  </r>
  <r>
    <x v="17"/>
    <x v="4"/>
    <x v="0"/>
    <s v="Yes"/>
    <x v="0"/>
    <x v="17"/>
    <x v="0"/>
    <x v="17"/>
    <x v="0"/>
  </r>
  <r>
    <x v="18"/>
    <x v="11"/>
    <x v="0"/>
    <s v="Yes"/>
    <x v="0"/>
    <x v="18"/>
    <x v="1"/>
    <x v="18"/>
    <x v="0"/>
  </r>
  <r>
    <x v="19"/>
    <x v="10"/>
    <x v="0"/>
    <s v="Yes"/>
    <x v="0"/>
    <x v="19"/>
    <x v="1"/>
    <x v="19"/>
    <x v="0"/>
  </r>
  <r>
    <x v="20"/>
    <x v="12"/>
    <x v="0"/>
    <s v="Yes"/>
    <x v="0"/>
    <x v="20"/>
    <x v="1"/>
    <x v="20"/>
    <x v="0"/>
  </r>
  <r>
    <x v="21"/>
    <x v="13"/>
    <x v="0"/>
    <s v="Yes"/>
    <x v="0"/>
    <x v="21"/>
    <x v="1"/>
    <x v="21"/>
    <x v="0"/>
  </r>
  <r>
    <x v="22"/>
    <x v="6"/>
    <x v="0"/>
    <s v="Yes"/>
    <x v="0"/>
    <x v="22"/>
    <x v="1"/>
    <x v="22"/>
    <x v="0"/>
  </r>
  <r>
    <x v="23"/>
    <x v="14"/>
    <x v="0"/>
    <s v="Yes"/>
    <x v="0"/>
    <x v="23"/>
    <x v="0"/>
    <x v="23"/>
    <x v="0"/>
  </r>
  <r>
    <x v="24"/>
    <x v="7"/>
    <x v="0"/>
    <s v="Yes"/>
    <x v="0"/>
    <x v="24"/>
    <x v="1"/>
    <x v="24"/>
    <x v="0"/>
  </r>
  <r>
    <x v="25"/>
    <x v="6"/>
    <x v="0"/>
    <s v="Yes"/>
    <x v="0"/>
    <x v="25"/>
    <x v="1"/>
    <x v="25"/>
    <x v="0"/>
  </r>
  <r>
    <x v="26"/>
    <x v="2"/>
    <x v="0"/>
    <s v="Yes"/>
    <x v="0"/>
    <x v="26"/>
    <x v="1"/>
    <x v="26"/>
    <x v="0"/>
  </r>
  <r>
    <x v="27"/>
    <x v="9"/>
    <x v="0"/>
    <s v="Yes"/>
    <x v="0"/>
    <x v="27"/>
    <x v="1"/>
    <x v="27"/>
    <x v="0"/>
  </r>
  <r>
    <x v="28"/>
    <x v="2"/>
    <x v="0"/>
    <s v="Yes"/>
    <x v="0"/>
    <x v="28"/>
    <x v="1"/>
    <x v="28"/>
    <x v="0"/>
  </r>
  <r>
    <x v="29"/>
    <x v="13"/>
    <x v="0"/>
    <s v="Yes"/>
    <x v="0"/>
    <x v="29"/>
    <x v="1"/>
    <x v="29"/>
    <x v="0"/>
  </r>
  <r>
    <x v="30"/>
    <x v="15"/>
    <x v="0"/>
    <s v="Yes"/>
    <x v="0"/>
    <x v="30"/>
    <x v="0"/>
    <x v="30"/>
    <x v="0"/>
  </r>
  <r>
    <x v="31"/>
    <x v="16"/>
    <x v="0"/>
    <s v="Yes"/>
    <x v="0"/>
    <x v="31"/>
    <x v="1"/>
    <x v="31"/>
    <x v="0"/>
  </r>
  <r>
    <x v="32"/>
    <x v="8"/>
    <x v="0"/>
    <s v="Yes"/>
    <x v="0"/>
    <x v="32"/>
    <x v="1"/>
    <x v="32"/>
    <x v="0"/>
  </r>
  <r>
    <x v="33"/>
    <x v="17"/>
    <x v="0"/>
    <s v="Yes"/>
    <x v="0"/>
    <x v="33"/>
    <x v="1"/>
    <x v="33"/>
    <x v="0"/>
  </r>
  <r>
    <x v="34"/>
    <x v="18"/>
    <x v="0"/>
    <s v="Yes"/>
    <x v="0"/>
    <x v="34"/>
    <x v="1"/>
    <x v="34"/>
    <x v="0"/>
  </r>
  <r>
    <x v="35"/>
    <x v="2"/>
    <x v="0"/>
    <s v="Yes"/>
    <x v="0"/>
    <x v="35"/>
    <x v="1"/>
    <x v="35"/>
    <x v="0"/>
  </r>
  <r>
    <x v="36"/>
    <x v="6"/>
    <x v="0"/>
    <s v="Yes"/>
    <x v="0"/>
    <x v="36"/>
    <x v="1"/>
    <x v="36"/>
    <x v="0"/>
  </r>
  <r>
    <x v="37"/>
    <x v="8"/>
    <x v="0"/>
    <s v="Yes"/>
    <x v="0"/>
    <x v="37"/>
    <x v="1"/>
    <x v="37"/>
    <x v="0"/>
  </r>
  <r>
    <x v="38"/>
    <x v="16"/>
    <x v="0"/>
    <s v="Yes"/>
    <x v="0"/>
    <x v="38"/>
    <x v="1"/>
    <x v="38"/>
    <x v="0"/>
  </r>
  <r>
    <x v="39"/>
    <x v="4"/>
    <x v="0"/>
    <s v="Yes"/>
    <x v="0"/>
    <x v="39"/>
    <x v="1"/>
    <x v="39"/>
    <x v="0"/>
  </r>
  <r>
    <x v="40"/>
    <x v="8"/>
    <x v="0"/>
    <s v="Yes"/>
    <x v="0"/>
    <x v="40"/>
    <x v="1"/>
    <x v="40"/>
    <x v="0"/>
  </r>
  <r>
    <x v="41"/>
    <x v="17"/>
    <x v="0"/>
    <s v="Yes"/>
    <x v="0"/>
    <x v="41"/>
    <x v="1"/>
    <x v="41"/>
    <x v="0"/>
  </r>
  <r>
    <x v="42"/>
    <x v="17"/>
    <x v="0"/>
    <s v="Yes"/>
    <x v="0"/>
    <x v="42"/>
    <x v="1"/>
    <x v="42"/>
    <x v="0"/>
  </r>
  <r>
    <x v="43"/>
    <x v="15"/>
    <x v="0"/>
    <s v="Yes"/>
    <x v="0"/>
    <x v="43"/>
    <x v="1"/>
    <x v="43"/>
    <x v="0"/>
  </r>
  <r>
    <x v="44"/>
    <x v="19"/>
    <x v="0"/>
    <s v="Yes"/>
    <x v="0"/>
    <x v="44"/>
    <x v="1"/>
    <x v="44"/>
    <x v="0"/>
  </r>
  <r>
    <x v="45"/>
    <x v="20"/>
    <x v="0"/>
    <s v="Yes"/>
    <x v="0"/>
    <x v="45"/>
    <x v="1"/>
    <x v="45"/>
    <x v="0"/>
  </r>
  <r>
    <x v="46"/>
    <x v="19"/>
    <x v="0"/>
    <s v="Yes"/>
    <x v="0"/>
    <x v="46"/>
    <x v="1"/>
    <x v="46"/>
    <x v="0"/>
  </r>
  <r>
    <x v="47"/>
    <x v="20"/>
    <x v="0"/>
    <s v="Yes"/>
    <x v="0"/>
    <x v="47"/>
    <x v="1"/>
    <x v="47"/>
    <x v="0"/>
  </r>
  <r>
    <x v="48"/>
    <x v="17"/>
    <x v="0"/>
    <s v="Yes"/>
    <x v="0"/>
    <x v="48"/>
    <x v="1"/>
    <x v="48"/>
    <x v="0"/>
  </r>
  <r>
    <x v="49"/>
    <x v="21"/>
    <x v="0"/>
    <s v="Yes"/>
    <x v="0"/>
    <x v="49"/>
    <x v="0"/>
    <x v="49"/>
    <x v="0"/>
  </r>
  <r>
    <x v="50"/>
    <x v="22"/>
    <x v="0"/>
    <s v="Yes"/>
    <x v="0"/>
    <x v="50"/>
    <x v="1"/>
    <x v="50"/>
    <x v="0"/>
  </r>
  <r>
    <x v="51"/>
    <x v="17"/>
    <x v="0"/>
    <s v="Yes"/>
    <x v="0"/>
    <x v="51"/>
    <x v="1"/>
    <x v="51"/>
    <x v="0"/>
  </r>
  <r>
    <x v="52"/>
    <x v="2"/>
    <x v="0"/>
    <s v="Yes"/>
    <x v="0"/>
    <x v="52"/>
    <x v="1"/>
    <x v="52"/>
    <x v="0"/>
  </r>
  <r>
    <x v="53"/>
    <x v="23"/>
    <x v="0"/>
    <s v="Yes"/>
    <x v="0"/>
    <x v="53"/>
    <x v="1"/>
    <x v="53"/>
    <x v="0"/>
  </r>
  <r>
    <x v="54"/>
    <x v="24"/>
    <x v="0"/>
    <s v="Yes"/>
    <x v="0"/>
    <x v="54"/>
    <x v="1"/>
    <x v="54"/>
    <x v="0"/>
  </r>
  <r>
    <x v="55"/>
    <x v="20"/>
    <x v="0"/>
    <s v="Yes"/>
    <x v="0"/>
    <x v="55"/>
    <x v="1"/>
    <x v="55"/>
    <x v="0"/>
  </r>
  <r>
    <x v="56"/>
    <x v="21"/>
    <x v="0"/>
    <s v="Yes"/>
    <x v="0"/>
    <x v="56"/>
    <x v="1"/>
    <x v="56"/>
    <x v="0"/>
  </r>
  <r>
    <x v="57"/>
    <x v="10"/>
    <x v="0"/>
    <s v="Yes"/>
    <x v="0"/>
    <x v="57"/>
    <x v="1"/>
    <x v="57"/>
    <x v="0"/>
  </r>
  <r>
    <x v="58"/>
    <x v="6"/>
    <x v="0"/>
    <s v="Yes"/>
    <x v="0"/>
    <x v="58"/>
    <x v="1"/>
    <x v="58"/>
    <x v="0"/>
  </r>
  <r>
    <x v="59"/>
    <x v="25"/>
    <x v="0"/>
    <s v="Yes"/>
    <x v="0"/>
    <x v="59"/>
    <x v="1"/>
    <x v="59"/>
    <x v="0"/>
  </r>
  <r>
    <x v="60"/>
    <x v="14"/>
    <x v="0"/>
    <s v="Yes"/>
    <x v="0"/>
    <x v="60"/>
    <x v="1"/>
    <x v="60"/>
    <x v="0"/>
  </r>
  <r>
    <x v="61"/>
    <x v="26"/>
    <x v="0"/>
    <s v="Yes"/>
    <x v="0"/>
    <x v="61"/>
    <x v="1"/>
    <x v="61"/>
    <x v="0"/>
  </r>
  <r>
    <x v="62"/>
    <x v="21"/>
    <x v="0"/>
    <s v="Yes"/>
    <x v="0"/>
    <x v="62"/>
    <x v="1"/>
    <x v="62"/>
    <x v="0"/>
  </r>
  <r>
    <x v="63"/>
    <x v="27"/>
    <x v="0"/>
    <s v="Yes"/>
    <x v="0"/>
    <x v="63"/>
    <x v="1"/>
    <x v="63"/>
    <x v="0"/>
  </r>
  <r>
    <x v="64"/>
    <x v="17"/>
    <x v="0"/>
    <s v="Yes"/>
    <x v="0"/>
    <x v="64"/>
    <x v="1"/>
    <x v="64"/>
    <x v="0"/>
  </r>
  <r>
    <x v="65"/>
    <x v="27"/>
    <x v="0"/>
    <s v="Yes"/>
    <x v="0"/>
    <x v="65"/>
    <x v="1"/>
    <x v="65"/>
    <x v="0"/>
  </r>
  <r>
    <x v="66"/>
    <x v="17"/>
    <x v="0"/>
    <s v="Yes"/>
    <x v="0"/>
    <x v="66"/>
    <x v="1"/>
    <x v="66"/>
    <x v="0"/>
  </r>
  <r>
    <x v="67"/>
    <x v="28"/>
    <x v="0"/>
    <s v="Yes"/>
    <x v="0"/>
    <x v="67"/>
    <x v="1"/>
    <x v="67"/>
    <x v="0"/>
  </r>
  <r>
    <x v="68"/>
    <x v="16"/>
    <x v="0"/>
    <s v="Yes"/>
    <x v="0"/>
    <x v="68"/>
    <x v="1"/>
    <x v="68"/>
    <x v="0"/>
  </r>
  <r>
    <x v="69"/>
    <x v="17"/>
    <x v="0"/>
    <s v="Yes"/>
    <x v="0"/>
    <x v="69"/>
    <x v="1"/>
    <x v="69"/>
    <x v="0"/>
  </r>
  <r>
    <x v="70"/>
    <x v="13"/>
    <x v="0"/>
    <s v="Yes"/>
    <x v="0"/>
    <x v="70"/>
    <x v="1"/>
    <x v="70"/>
    <x v="0"/>
  </r>
  <r>
    <x v="71"/>
    <x v="21"/>
    <x v="0"/>
    <s v="Yes"/>
    <x v="0"/>
    <x v="71"/>
    <x v="1"/>
    <x v="71"/>
    <x v="0"/>
  </r>
  <r>
    <x v="72"/>
    <x v="17"/>
    <x v="0"/>
    <s v="Yes"/>
    <x v="0"/>
    <x v="72"/>
    <x v="1"/>
    <x v="72"/>
    <x v="0"/>
  </r>
  <r>
    <x v="73"/>
    <x v="29"/>
    <x v="0"/>
    <s v="Yes"/>
    <x v="0"/>
    <x v="73"/>
    <x v="1"/>
    <x v="73"/>
    <x v="0"/>
  </r>
  <r>
    <x v="74"/>
    <x v="13"/>
    <x v="0"/>
    <s v="Yes"/>
    <x v="0"/>
    <x v="74"/>
    <x v="1"/>
    <x v="74"/>
    <x v="0"/>
  </r>
  <r>
    <x v="75"/>
    <x v="3"/>
    <x v="0"/>
    <s v="Yes"/>
    <x v="0"/>
    <x v="75"/>
    <x v="1"/>
    <x v="75"/>
    <x v="0"/>
  </r>
  <r>
    <x v="76"/>
    <x v="21"/>
    <x v="0"/>
    <s v="Yes"/>
    <x v="0"/>
    <x v="76"/>
    <x v="1"/>
    <x v="76"/>
    <x v="0"/>
  </r>
  <r>
    <x v="77"/>
    <x v="29"/>
    <x v="0"/>
    <s v="Yes"/>
    <x v="0"/>
    <x v="77"/>
    <x v="1"/>
    <x v="77"/>
    <x v="0"/>
  </r>
  <r>
    <x v="78"/>
    <x v="17"/>
    <x v="0"/>
    <s v="Yes"/>
    <x v="0"/>
    <x v="78"/>
    <x v="1"/>
    <x v="78"/>
    <x v="0"/>
  </r>
  <r>
    <x v="79"/>
    <x v="26"/>
    <x v="0"/>
    <s v="Yes"/>
    <x v="0"/>
    <x v="79"/>
    <x v="1"/>
    <x v="79"/>
    <x v="0"/>
  </r>
  <r>
    <x v="80"/>
    <x v="28"/>
    <x v="0"/>
    <s v="Yes"/>
    <x v="0"/>
    <x v="80"/>
    <x v="1"/>
    <x v="80"/>
    <x v="0"/>
  </r>
  <r>
    <x v="81"/>
    <x v="28"/>
    <x v="0"/>
    <s v="Yes"/>
    <x v="0"/>
    <x v="81"/>
    <x v="1"/>
    <x v="81"/>
    <x v="0"/>
  </r>
  <r>
    <x v="82"/>
    <x v="20"/>
    <x v="0"/>
    <s v="Yes"/>
    <x v="0"/>
    <x v="82"/>
    <x v="1"/>
    <x v="82"/>
    <x v="0"/>
  </r>
  <r>
    <x v="83"/>
    <x v="30"/>
    <x v="0"/>
    <s v="Yes"/>
    <x v="0"/>
    <x v="83"/>
    <x v="1"/>
    <x v="83"/>
    <x v="0"/>
  </r>
  <r>
    <x v="84"/>
    <x v="28"/>
    <x v="0"/>
    <s v="Yes"/>
    <x v="0"/>
    <x v="84"/>
    <x v="1"/>
    <x v="84"/>
    <x v="0"/>
  </r>
  <r>
    <x v="85"/>
    <x v="0"/>
    <x v="0"/>
    <s v="Yes"/>
    <x v="0"/>
    <x v="85"/>
    <x v="1"/>
    <x v="85"/>
    <x v="0"/>
  </r>
  <r>
    <x v="86"/>
    <x v="31"/>
    <x v="0"/>
    <s v="Yes"/>
    <x v="0"/>
    <x v="86"/>
    <x v="1"/>
    <x v="86"/>
    <x v="0"/>
  </r>
  <r>
    <x v="87"/>
    <x v="27"/>
    <x v="0"/>
    <s v="Yes"/>
    <x v="0"/>
    <x v="87"/>
    <x v="1"/>
    <x v="87"/>
    <x v="0"/>
  </r>
  <r>
    <x v="88"/>
    <x v="32"/>
    <x v="0"/>
    <s v="Yes"/>
    <x v="0"/>
    <x v="88"/>
    <x v="1"/>
    <x v="88"/>
    <x v="0"/>
  </r>
  <r>
    <x v="89"/>
    <x v="15"/>
    <x v="0"/>
    <s v="Yes"/>
    <x v="0"/>
    <x v="89"/>
    <x v="1"/>
    <x v="89"/>
    <x v="0"/>
  </r>
  <r>
    <x v="90"/>
    <x v="6"/>
    <x v="0"/>
    <s v="Yes"/>
    <x v="0"/>
    <x v="90"/>
    <x v="1"/>
    <x v="90"/>
    <x v="0"/>
  </r>
  <r>
    <x v="91"/>
    <x v="13"/>
    <x v="0"/>
    <s v="Yes"/>
    <x v="0"/>
    <x v="91"/>
    <x v="1"/>
    <x v="91"/>
    <x v="0"/>
  </r>
  <r>
    <x v="92"/>
    <x v="21"/>
    <x v="0"/>
    <s v="Yes"/>
    <x v="0"/>
    <x v="92"/>
    <x v="1"/>
    <x v="92"/>
    <x v="0"/>
  </r>
  <r>
    <x v="93"/>
    <x v="10"/>
    <x v="0"/>
    <s v="Yes"/>
    <x v="0"/>
    <x v="93"/>
    <x v="1"/>
    <x v="93"/>
    <x v="0"/>
  </r>
  <r>
    <x v="94"/>
    <x v="25"/>
    <x v="0"/>
    <s v="Yes"/>
    <x v="0"/>
    <x v="94"/>
    <x v="1"/>
    <x v="94"/>
    <x v="0"/>
  </r>
  <r>
    <x v="95"/>
    <x v="33"/>
    <x v="0"/>
    <s v="Yes"/>
    <x v="0"/>
    <x v="95"/>
    <x v="1"/>
    <x v="95"/>
    <x v="0"/>
  </r>
  <r>
    <x v="96"/>
    <x v="32"/>
    <x v="0"/>
    <s v="Yes"/>
    <x v="0"/>
    <x v="96"/>
    <x v="1"/>
    <x v="96"/>
    <x v="0"/>
  </r>
  <r>
    <x v="97"/>
    <x v="27"/>
    <x v="0"/>
    <s v="Yes"/>
    <x v="0"/>
    <x v="97"/>
    <x v="1"/>
    <x v="97"/>
    <x v="0"/>
  </r>
  <r>
    <x v="98"/>
    <x v="19"/>
    <x v="0"/>
    <s v="Yes"/>
    <x v="0"/>
    <x v="98"/>
    <x v="1"/>
    <x v="98"/>
    <x v="0"/>
  </r>
  <r>
    <x v="99"/>
    <x v="34"/>
    <x v="0"/>
    <s v="Yes"/>
    <x v="0"/>
    <x v="99"/>
    <x v="1"/>
    <x v="99"/>
    <x v="0"/>
  </r>
  <r>
    <x v="100"/>
    <x v="15"/>
    <x v="0"/>
    <s v="Yes"/>
    <x v="0"/>
    <x v="100"/>
    <x v="1"/>
    <x v="100"/>
    <x v="0"/>
  </r>
  <r>
    <x v="101"/>
    <x v="10"/>
    <x v="0"/>
    <s v="Yes"/>
    <x v="0"/>
    <x v="101"/>
    <x v="1"/>
    <x v="101"/>
    <x v="0"/>
  </r>
  <r>
    <x v="102"/>
    <x v="31"/>
    <x v="0"/>
    <s v="Yes"/>
    <x v="0"/>
    <x v="102"/>
    <x v="1"/>
    <x v="102"/>
    <x v="0"/>
  </r>
  <r>
    <x v="103"/>
    <x v="15"/>
    <x v="0"/>
    <s v="Yes"/>
    <x v="0"/>
    <x v="103"/>
    <x v="1"/>
    <x v="103"/>
    <x v="0"/>
  </r>
  <r>
    <x v="104"/>
    <x v="35"/>
    <x v="0"/>
    <s v="Yes"/>
    <x v="0"/>
    <x v="104"/>
    <x v="1"/>
    <x v="104"/>
    <x v="0"/>
  </r>
  <r>
    <x v="105"/>
    <x v="36"/>
    <x v="0"/>
    <s v="Yes"/>
    <x v="0"/>
    <x v="105"/>
    <x v="1"/>
    <x v="105"/>
    <x v="0"/>
  </r>
  <r>
    <x v="106"/>
    <x v="15"/>
    <x v="0"/>
    <s v="Yes"/>
    <x v="0"/>
    <x v="106"/>
    <x v="1"/>
    <x v="106"/>
    <x v="0"/>
  </r>
  <r>
    <x v="107"/>
    <x v="37"/>
    <x v="0"/>
    <s v="Yes"/>
    <x v="0"/>
    <x v="107"/>
    <x v="1"/>
    <x v="107"/>
    <x v="0"/>
  </r>
  <r>
    <x v="108"/>
    <x v="27"/>
    <x v="0"/>
    <s v="Yes"/>
    <x v="0"/>
    <x v="108"/>
    <x v="1"/>
    <x v="108"/>
    <x v="0"/>
  </r>
  <r>
    <x v="109"/>
    <x v="29"/>
    <x v="0"/>
    <s v="Yes"/>
    <x v="0"/>
    <x v="109"/>
    <x v="1"/>
    <x v="109"/>
    <x v="0"/>
  </r>
  <r>
    <x v="110"/>
    <x v="38"/>
    <x v="0"/>
    <s v="Yes"/>
    <x v="0"/>
    <x v="110"/>
    <x v="1"/>
    <x v="110"/>
    <x v="0"/>
  </r>
  <r>
    <x v="111"/>
    <x v="19"/>
    <x v="0"/>
    <s v="Yes"/>
    <x v="0"/>
    <x v="111"/>
    <x v="1"/>
    <x v="111"/>
    <x v="0"/>
  </r>
  <r>
    <x v="112"/>
    <x v="27"/>
    <x v="0"/>
    <s v="Yes"/>
    <x v="0"/>
    <x v="112"/>
    <x v="1"/>
    <x v="112"/>
    <x v="0"/>
  </r>
  <r>
    <x v="113"/>
    <x v="32"/>
    <x v="0"/>
    <s v="Yes"/>
    <x v="0"/>
    <x v="113"/>
    <x v="1"/>
    <x v="113"/>
    <x v="0"/>
  </r>
  <r>
    <x v="114"/>
    <x v="15"/>
    <x v="0"/>
    <s v="Yes"/>
    <x v="0"/>
    <x v="114"/>
    <x v="1"/>
    <x v="114"/>
    <x v="0"/>
  </r>
  <r>
    <x v="115"/>
    <x v="39"/>
    <x v="0"/>
    <s v="Yes"/>
    <x v="0"/>
    <x v="115"/>
    <x v="1"/>
    <x v="115"/>
    <x v="0"/>
  </r>
  <r>
    <x v="116"/>
    <x v="32"/>
    <x v="0"/>
    <s v="Yes"/>
    <x v="0"/>
    <x v="116"/>
    <x v="1"/>
    <x v="116"/>
    <x v="0"/>
  </r>
  <r>
    <x v="117"/>
    <x v="40"/>
    <x v="0"/>
    <s v="Yes"/>
    <x v="0"/>
    <x v="117"/>
    <x v="0"/>
    <x v="117"/>
    <x v="0"/>
  </r>
  <r>
    <x v="118"/>
    <x v="27"/>
    <x v="0"/>
    <s v="Yes"/>
    <x v="0"/>
    <x v="118"/>
    <x v="1"/>
    <x v="118"/>
    <x v="0"/>
  </r>
  <r>
    <x v="119"/>
    <x v="27"/>
    <x v="0"/>
    <s v="Yes"/>
    <x v="0"/>
    <x v="119"/>
    <x v="1"/>
    <x v="119"/>
    <x v="0"/>
  </r>
  <r>
    <x v="120"/>
    <x v="27"/>
    <x v="0"/>
    <s v="Yes"/>
    <x v="0"/>
    <x v="120"/>
    <x v="1"/>
    <x v="120"/>
    <x v="0"/>
  </r>
  <r>
    <x v="121"/>
    <x v="38"/>
    <x v="0"/>
    <s v="Yes"/>
    <x v="0"/>
    <x v="121"/>
    <x v="1"/>
    <x v="121"/>
    <x v="0"/>
  </r>
  <r>
    <x v="122"/>
    <x v="35"/>
    <x v="0"/>
    <s v="Yes"/>
    <x v="0"/>
    <x v="122"/>
    <x v="1"/>
    <x v="122"/>
    <x v="0"/>
  </r>
  <r>
    <x v="123"/>
    <x v="36"/>
    <x v="0"/>
    <s v="Yes"/>
    <x v="0"/>
    <x v="123"/>
    <x v="1"/>
    <x v="123"/>
    <x v="0"/>
  </r>
  <r>
    <x v="124"/>
    <x v="27"/>
    <x v="0"/>
    <s v="Yes"/>
    <x v="0"/>
    <x v="124"/>
    <x v="1"/>
    <x v="124"/>
    <x v="0"/>
  </r>
  <r>
    <x v="125"/>
    <x v="21"/>
    <x v="0"/>
    <s v="Yes"/>
    <x v="0"/>
    <x v="125"/>
    <x v="1"/>
    <x v="125"/>
    <x v="0"/>
  </r>
  <r>
    <x v="126"/>
    <x v="21"/>
    <x v="0"/>
    <s v="Yes"/>
    <x v="0"/>
    <x v="126"/>
    <x v="1"/>
    <x v="126"/>
    <x v="0"/>
  </r>
  <r>
    <x v="127"/>
    <x v="27"/>
    <x v="0"/>
    <s v="Yes"/>
    <x v="0"/>
    <x v="127"/>
    <x v="1"/>
    <x v="127"/>
    <x v="0"/>
  </r>
  <r>
    <x v="128"/>
    <x v="35"/>
    <x v="0"/>
    <s v="Yes"/>
    <x v="0"/>
    <x v="128"/>
    <x v="1"/>
    <x v="128"/>
    <x v="0"/>
  </r>
  <r>
    <x v="129"/>
    <x v="39"/>
    <x v="0"/>
    <s v="Yes"/>
    <x v="0"/>
    <x v="129"/>
    <x v="1"/>
    <x v="129"/>
    <x v="0"/>
  </r>
  <r>
    <x v="130"/>
    <x v="41"/>
    <x v="1"/>
    <s v="Yes"/>
    <x v="0"/>
    <x v="130"/>
    <x v="2"/>
    <x v="130"/>
    <x v="1"/>
  </r>
  <r>
    <x v="131"/>
    <x v="4"/>
    <x v="1"/>
    <s v="Yes"/>
    <x v="0"/>
    <x v="131"/>
    <x v="2"/>
    <x v="131"/>
    <x v="1"/>
  </r>
  <r>
    <x v="132"/>
    <x v="4"/>
    <x v="1"/>
    <s v="Yes"/>
    <x v="0"/>
    <x v="132"/>
    <x v="2"/>
    <x v="132"/>
    <x v="1"/>
  </r>
  <r>
    <x v="133"/>
    <x v="37"/>
    <x v="1"/>
    <s v="Yes"/>
    <x v="0"/>
    <x v="133"/>
    <x v="2"/>
    <x v="133"/>
    <x v="1"/>
  </r>
  <r>
    <x v="134"/>
    <x v="2"/>
    <x v="1"/>
    <s v="Yes"/>
    <x v="0"/>
    <x v="134"/>
    <x v="2"/>
    <x v="134"/>
    <x v="1"/>
  </r>
  <r>
    <x v="135"/>
    <x v="9"/>
    <x v="1"/>
    <s v="Yes"/>
    <x v="0"/>
    <x v="135"/>
    <x v="2"/>
    <x v="135"/>
    <x v="1"/>
  </r>
  <r>
    <x v="136"/>
    <x v="9"/>
    <x v="1"/>
    <s v="Yes"/>
    <x v="0"/>
    <x v="136"/>
    <x v="2"/>
    <x v="136"/>
    <x v="1"/>
  </r>
  <r>
    <x v="137"/>
    <x v="42"/>
    <x v="1"/>
    <s v="Yes"/>
    <x v="0"/>
    <x v="137"/>
    <x v="2"/>
    <x v="137"/>
    <x v="1"/>
  </r>
  <r>
    <x v="138"/>
    <x v="43"/>
    <x v="1"/>
    <s v="Yes"/>
    <x v="0"/>
    <x v="138"/>
    <x v="2"/>
    <x v="138"/>
    <x v="1"/>
  </r>
  <r>
    <x v="139"/>
    <x v="13"/>
    <x v="1"/>
    <s v="Yes"/>
    <x v="0"/>
    <x v="139"/>
    <x v="2"/>
    <x v="139"/>
    <x v="1"/>
  </r>
  <r>
    <x v="140"/>
    <x v="4"/>
    <x v="1"/>
    <s v="Yes"/>
    <x v="0"/>
    <x v="140"/>
    <x v="2"/>
    <x v="140"/>
    <x v="1"/>
  </r>
  <r>
    <x v="141"/>
    <x v="17"/>
    <x v="1"/>
    <s v="Yes"/>
    <x v="0"/>
    <x v="141"/>
    <x v="2"/>
    <x v="141"/>
    <x v="1"/>
  </r>
  <r>
    <x v="142"/>
    <x v="17"/>
    <x v="1"/>
    <s v="Yes"/>
    <x v="0"/>
    <x v="142"/>
    <x v="2"/>
    <x v="142"/>
    <x v="1"/>
  </r>
  <r>
    <x v="143"/>
    <x v="17"/>
    <x v="1"/>
    <s v="Yes"/>
    <x v="0"/>
    <x v="143"/>
    <x v="2"/>
    <x v="143"/>
    <x v="1"/>
  </r>
  <r>
    <x v="144"/>
    <x v="28"/>
    <x v="1"/>
    <s v="Yes"/>
    <x v="0"/>
    <x v="144"/>
    <x v="2"/>
    <x v="144"/>
    <x v="1"/>
  </r>
  <r>
    <x v="145"/>
    <x v="44"/>
    <x v="1"/>
    <s v="Yes"/>
    <x v="0"/>
    <x v="145"/>
    <x v="2"/>
    <x v="145"/>
    <x v="1"/>
  </r>
  <r>
    <x v="146"/>
    <x v="30"/>
    <x v="1"/>
    <s v="Yes"/>
    <x v="0"/>
    <x v="146"/>
    <x v="2"/>
    <x v="146"/>
    <x v="1"/>
  </r>
  <r>
    <x v="147"/>
    <x v="17"/>
    <x v="1"/>
    <s v="Yes"/>
    <x v="0"/>
    <x v="147"/>
    <x v="2"/>
    <x v="147"/>
    <x v="1"/>
  </r>
  <r>
    <x v="148"/>
    <x v="17"/>
    <x v="1"/>
    <s v="Yes"/>
    <x v="0"/>
    <x v="148"/>
    <x v="2"/>
    <x v="148"/>
    <x v="1"/>
  </r>
  <r>
    <x v="149"/>
    <x v="45"/>
    <x v="1"/>
    <s v="Yes"/>
    <x v="0"/>
    <x v="149"/>
    <x v="2"/>
    <x v="149"/>
    <x v="1"/>
  </r>
  <r>
    <x v="150"/>
    <x v="20"/>
    <x v="1"/>
    <s v="Yes"/>
    <x v="0"/>
    <x v="150"/>
    <x v="2"/>
    <x v="150"/>
    <x v="1"/>
  </r>
  <r>
    <x v="151"/>
    <x v="46"/>
    <x v="1"/>
    <s v="Yes"/>
    <x v="0"/>
    <x v="151"/>
    <x v="2"/>
    <x v="151"/>
    <x v="1"/>
  </r>
  <r>
    <x v="152"/>
    <x v="17"/>
    <x v="1"/>
    <s v="Yes"/>
    <x v="0"/>
    <x v="152"/>
    <x v="2"/>
    <x v="152"/>
    <x v="1"/>
  </r>
  <r>
    <x v="153"/>
    <x v="32"/>
    <x v="1"/>
    <s v="Yes"/>
    <x v="0"/>
    <x v="153"/>
    <x v="2"/>
    <x v="153"/>
    <x v="1"/>
  </r>
  <r>
    <x v="154"/>
    <x v="25"/>
    <x v="1"/>
    <s v="Yes"/>
    <x v="0"/>
    <x v="154"/>
    <x v="2"/>
    <x v="154"/>
    <x v="1"/>
  </r>
  <r>
    <x v="155"/>
    <x v="26"/>
    <x v="1"/>
    <s v="Yes"/>
    <x v="0"/>
    <x v="155"/>
    <x v="2"/>
    <x v="155"/>
    <x v="1"/>
  </r>
  <r>
    <x v="156"/>
    <x v="28"/>
    <x v="1"/>
    <s v="Yes"/>
    <x v="0"/>
    <x v="156"/>
    <x v="2"/>
    <x v="156"/>
    <x v="1"/>
  </r>
  <r>
    <x v="157"/>
    <x v="32"/>
    <x v="1"/>
    <s v="Yes"/>
    <x v="0"/>
    <x v="157"/>
    <x v="2"/>
    <x v="157"/>
    <x v="1"/>
  </r>
  <r>
    <x v="158"/>
    <x v="17"/>
    <x v="1"/>
    <s v="Yes"/>
    <x v="0"/>
    <x v="158"/>
    <x v="2"/>
    <x v="158"/>
    <x v="1"/>
  </r>
  <r>
    <x v="159"/>
    <x v="32"/>
    <x v="1"/>
    <s v="Yes"/>
    <x v="0"/>
    <x v="159"/>
    <x v="2"/>
    <x v="159"/>
    <x v="1"/>
  </r>
  <r>
    <x v="160"/>
    <x v="25"/>
    <x v="1"/>
    <s v="Yes"/>
    <x v="0"/>
    <x v="160"/>
    <x v="2"/>
    <x v="160"/>
    <x v="1"/>
  </r>
  <r>
    <x v="161"/>
    <x v="17"/>
    <x v="1"/>
    <s v="Yes"/>
    <x v="0"/>
    <x v="161"/>
    <x v="2"/>
    <x v="161"/>
    <x v="1"/>
  </r>
  <r>
    <x v="162"/>
    <x v="12"/>
    <x v="1"/>
    <s v="Yes"/>
    <x v="0"/>
    <x v="162"/>
    <x v="2"/>
    <x v="162"/>
    <x v="1"/>
  </r>
  <r>
    <x v="163"/>
    <x v="28"/>
    <x v="1"/>
    <s v="Yes"/>
    <x v="0"/>
    <x v="163"/>
    <x v="2"/>
    <x v="163"/>
    <x v="1"/>
  </r>
  <r>
    <x v="164"/>
    <x v="47"/>
    <x v="1"/>
    <s v="Yes"/>
    <x v="0"/>
    <x v="164"/>
    <x v="2"/>
    <x v="164"/>
    <x v="1"/>
  </r>
  <r>
    <x v="165"/>
    <x v="29"/>
    <x v="1"/>
    <s v="Yes"/>
    <x v="0"/>
    <x v="165"/>
    <x v="2"/>
    <x v="165"/>
    <x v="1"/>
  </r>
  <r>
    <x v="166"/>
    <x v="12"/>
    <x v="1"/>
    <s v="Yes"/>
    <x v="0"/>
    <x v="166"/>
    <x v="2"/>
    <x v="166"/>
    <x v="1"/>
  </r>
  <r>
    <x v="167"/>
    <x v="10"/>
    <x v="1"/>
    <s v="Yes"/>
    <x v="0"/>
    <x v="167"/>
    <x v="2"/>
    <x v="167"/>
    <x v="1"/>
  </r>
  <r>
    <x v="168"/>
    <x v="32"/>
    <x v="1"/>
    <s v="Yes"/>
    <x v="0"/>
    <x v="168"/>
    <x v="2"/>
    <x v="168"/>
    <x v="1"/>
  </r>
  <r>
    <x v="169"/>
    <x v="32"/>
    <x v="1"/>
    <s v="Yes"/>
    <x v="0"/>
    <x v="169"/>
    <x v="2"/>
    <x v="169"/>
    <x v="1"/>
  </r>
  <r>
    <x v="170"/>
    <x v="10"/>
    <x v="1"/>
    <s v="Yes"/>
    <x v="0"/>
    <x v="170"/>
    <x v="2"/>
    <x v="170"/>
    <x v="1"/>
  </r>
  <r>
    <x v="171"/>
    <x v="10"/>
    <x v="1"/>
    <s v="Yes"/>
    <x v="0"/>
    <x v="171"/>
    <x v="2"/>
    <x v="171"/>
    <x v="1"/>
  </r>
  <r>
    <x v="172"/>
    <x v="27"/>
    <x v="1"/>
    <s v="Yes"/>
    <x v="0"/>
    <x v="172"/>
    <x v="2"/>
    <x v="172"/>
    <x v="1"/>
  </r>
  <r>
    <x v="173"/>
    <x v="48"/>
    <x v="1"/>
    <s v="Yes"/>
    <x v="0"/>
    <x v="173"/>
    <x v="2"/>
    <x v="173"/>
    <x v="1"/>
  </r>
  <r>
    <x v="174"/>
    <x v="4"/>
    <x v="1"/>
    <s v="Yes"/>
    <x v="0"/>
    <x v="174"/>
    <x v="2"/>
    <x v="174"/>
    <x v="1"/>
  </r>
  <r>
    <x v="175"/>
    <x v="37"/>
    <x v="1"/>
    <s v="Yes"/>
    <x v="0"/>
    <x v="175"/>
    <x v="2"/>
    <x v="175"/>
    <x v="1"/>
  </r>
  <r>
    <x v="176"/>
    <x v="27"/>
    <x v="1"/>
    <s v="Yes"/>
    <x v="0"/>
    <x v="176"/>
    <x v="2"/>
    <x v="176"/>
    <x v="1"/>
  </r>
  <r>
    <x v="177"/>
    <x v="27"/>
    <x v="1"/>
    <s v="Yes"/>
    <x v="0"/>
    <x v="177"/>
    <x v="2"/>
    <x v="177"/>
    <x v="1"/>
  </r>
  <r>
    <x v="178"/>
    <x v="33"/>
    <x v="1"/>
    <s v="Yes"/>
    <x v="0"/>
    <x v="178"/>
    <x v="2"/>
    <x v="178"/>
    <x v="1"/>
  </r>
  <r>
    <x v="179"/>
    <x v="9"/>
    <x v="1"/>
    <s v="Yes"/>
    <x v="0"/>
    <x v="179"/>
    <x v="2"/>
    <x v="179"/>
    <x v="1"/>
  </r>
  <r>
    <x v="180"/>
    <x v="31"/>
    <x v="1"/>
    <s v="Yes"/>
    <x v="0"/>
    <x v="180"/>
    <x v="2"/>
    <x v="180"/>
    <x v="1"/>
  </r>
  <r>
    <x v="181"/>
    <x v="27"/>
    <x v="1"/>
    <s v="Yes"/>
    <x v="0"/>
    <x v="181"/>
    <x v="2"/>
    <x v="181"/>
    <x v="1"/>
  </r>
  <r>
    <x v="182"/>
    <x v="27"/>
    <x v="1"/>
    <s v="Yes"/>
    <x v="0"/>
    <x v="182"/>
    <x v="2"/>
    <x v="182"/>
    <x v="1"/>
  </r>
  <r>
    <x v="183"/>
    <x v="27"/>
    <x v="1"/>
    <s v="Yes"/>
    <x v="0"/>
    <x v="183"/>
    <x v="2"/>
    <x v="183"/>
    <x v="1"/>
  </r>
  <r>
    <x v="184"/>
    <x v="21"/>
    <x v="1"/>
    <s v="Yes"/>
    <x v="0"/>
    <x v="184"/>
    <x v="2"/>
    <x v="184"/>
    <x v="1"/>
  </r>
  <r>
    <x v="185"/>
    <x v="21"/>
    <x v="1"/>
    <s v="Yes"/>
    <x v="0"/>
    <x v="185"/>
    <x v="2"/>
    <x v="185"/>
    <x v="1"/>
  </r>
  <r>
    <x v="186"/>
    <x v="49"/>
    <x v="1"/>
    <s v="Yes"/>
    <x v="0"/>
    <x v="186"/>
    <x v="2"/>
    <x v="186"/>
    <x v="1"/>
  </r>
  <r>
    <x v="187"/>
    <x v="21"/>
    <x v="1"/>
    <s v="Yes"/>
    <x v="0"/>
    <x v="187"/>
    <x v="2"/>
    <x v="187"/>
    <x v="1"/>
  </r>
  <r>
    <x v="188"/>
    <x v="19"/>
    <x v="1"/>
    <s v="Yes"/>
    <x v="0"/>
    <x v="188"/>
    <x v="2"/>
    <x v="188"/>
    <x v="1"/>
  </r>
  <r>
    <x v="189"/>
    <x v="21"/>
    <x v="1"/>
    <s v="Yes"/>
    <x v="0"/>
    <x v="189"/>
    <x v="2"/>
    <x v="189"/>
    <x v="1"/>
  </r>
  <r>
    <x v="190"/>
    <x v="35"/>
    <x v="1"/>
    <s v="Yes"/>
    <x v="0"/>
    <x v="190"/>
    <x v="2"/>
    <x v="190"/>
    <x v="1"/>
  </r>
  <r>
    <x v="191"/>
    <x v="35"/>
    <x v="1"/>
    <s v="Yes"/>
    <x v="0"/>
    <x v="191"/>
    <x v="2"/>
    <x v="191"/>
    <x v="1"/>
  </r>
  <r>
    <x v="192"/>
    <x v="38"/>
    <x v="1"/>
    <s v="Yes"/>
    <x v="0"/>
    <x v="192"/>
    <x v="2"/>
    <x v="192"/>
    <x v="1"/>
  </r>
  <r>
    <x v="193"/>
    <x v="21"/>
    <x v="1"/>
    <s v="Yes"/>
    <x v="0"/>
    <x v="193"/>
    <x v="2"/>
    <x v="193"/>
    <x v="1"/>
  </r>
  <r>
    <x v="194"/>
    <x v="38"/>
    <x v="1"/>
    <s v="Yes"/>
    <x v="0"/>
    <x v="194"/>
    <x v="2"/>
    <x v="194"/>
    <x v="1"/>
  </r>
  <r>
    <x v="195"/>
    <x v="21"/>
    <x v="1"/>
    <s v="Yes"/>
    <x v="0"/>
    <x v="195"/>
    <x v="2"/>
    <x v="195"/>
    <x v="1"/>
  </r>
  <r>
    <x v="196"/>
    <x v="21"/>
    <x v="1"/>
    <s v="Yes"/>
    <x v="0"/>
    <x v="196"/>
    <x v="2"/>
    <x v="196"/>
    <x v="1"/>
  </r>
  <r>
    <x v="197"/>
    <x v="38"/>
    <x v="1"/>
    <s v="Yes"/>
    <x v="0"/>
    <x v="197"/>
    <x v="2"/>
    <x v="197"/>
    <x v="1"/>
  </r>
  <r>
    <x v="198"/>
    <x v="38"/>
    <x v="1"/>
    <s v="Yes"/>
    <x v="0"/>
    <x v="198"/>
    <x v="2"/>
    <x v="198"/>
    <x v="1"/>
  </r>
  <r>
    <x v="199"/>
    <x v="39"/>
    <x v="1"/>
    <s v="Yes"/>
    <x v="0"/>
    <x v="199"/>
    <x v="2"/>
    <x v="199"/>
    <x v="1"/>
  </r>
  <r>
    <x v="200"/>
    <x v="50"/>
    <x v="1"/>
    <s v="No"/>
    <x v="0"/>
    <x v="200"/>
    <x v="2"/>
    <x v="200"/>
    <x v="2"/>
  </r>
  <r>
    <x v="201"/>
    <x v="51"/>
    <x v="1"/>
    <s v="No"/>
    <x v="0"/>
    <x v="201"/>
    <x v="2"/>
    <x v="201"/>
    <x v="2"/>
  </r>
  <r>
    <x v="202"/>
    <x v="52"/>
    <x v="1"/>
    <s v="No"/>
    <x v="0"/>
    <x v="202"/>
    <x v="2"/>
    <x v="202"/>
    <x v="2"/>
  </r>
  <r>
    <x v="203"/>
    <x v="53"/>
    <x v="1"/>
    <s v="No"/>
    <x v="0"/>
    <x v="203"/>
    <x v="2"/>
    <x v="203"/>
    <x v="2"/>
  </r>
  <r>
    <x v="204"/>
    <x v="23"/>
    <x v="1"/>
    <s v="No"/>
    <x v="0"/>
    <x v="204"/>
    <x v="2"/>
    <x v="204"/>
    <x v="2"/>
  </r>
  <r>
    <x v="205"/>
    <x v="54"/>
    <x v="1"/>
    <s v="No"/>
    <x v="0"/>
    <x v="205"/>
    <x v="2"/>
    <x v="205"/>
    <x v="2"/>
  </r>
  <r>
    <x v="206"/>
    <x v="17"/>
    <x v="1"/>
    <s v="No"/>
    <x v="0"/>
    <x v="206"/>
    <x v="2"/>
    <x v="206"/>
    <x v="2"/>
  </r>
  <r>
    <x v="207"/>
    <x v="13"/>
    <x v="1"/>
    <s v="No"/>
    <x v="0"/>
    <x v="207"/>
    <x v="2"/>
    <x v="207"/>
    <x v="2"/>
  </r>
  <r>
    <x v="208"/>
    <x v="6"/>
    <x v="1"/>
    <s v="No"/>
    <x v="0"/>
    <x v="208"/>
    <x v="2"/>
    <x v="208"/>
    <x v="2"/>
  </r>
  <r>
    <x v="209"/>
    <x v="20"/>
    <x v="1"/>
    <s v="No"/>
    <x v="0"/>
    <x v="209"/>
    <x v="2"/>
    <x v="209"/>
    <x v="2"/>
  </r>
  <r>
    <x v="210"/>
    <x v="4"/>
    <x v="1"/>
    <s v="No"/>
    <x v="0"/>
    <x v="210"/>
    <x v="2"/>
    <x v="210"/>
    <x v="2"/>
  </r>
  <r>
    <x v="211"/>
    <x v="55"/>
    <x v="1"/>
    <s v="No"/>
    <x v="0"/>
    <x v="211"/>
    <x v="2"/>
    <x v="211"/>
    <x v="2"/>
  </r>
  <r>
    <x v="212"/>
    <x v="41"/>
    <x v="1"/>
    <s v="No"/>
    <x v="0"/>
    <x v="212"/>
    <x v="2"/>
    <x v="212"/>
    <x v="2"/>
  </r>
  <r>
    <x v="213"/>
    <x v="2"/>
    <x v="1"/>
    <s v="No"/>
    <x v="0"/>
    <x v="213"/>
    <x v="2"/>
    <x v="213"/>
    <x v="2"/>
  </r>
  <r>
    <x v="214"/>
    <x v="41"/>
    <x v="1"/>
    <s v="No"/>
    <x v="0"/>
    <x v="214"/>
    <x v="2"/>
    <x v="214"/>
    <x v="2"/>
  </r>
  <r>
    <x v="215"/>
    <x v="17"/>
    <x v="1"/>
    <s v="No"/>
    <x v="0"/>
    <x v="215"/>
    <x v="2"/>
    <x v="215"/>
    <x v="2"/>
  </r>
  <r>
    <x v="216"/>
    <x v="17"/>
    <x v="1"/>
    <s v="No"/>
    <x v="0"/>
    <x v="216"/>
    <x v="2"/>
    <x v="216"/>
    <x v="2"/>
  </r>
  <r>
    <x v="217"/>
    <x v="17"/>
    <x v="1"/>
    <s v="No"/>
    <x v="0"/>
    <x v="217"/>
    <x v="2"/>
    <x v="217"/>
    <x v="2"/>
  </r>
  <r>
    <x v="218"/>
    <x v="17"/>
    <x v="1"/>
    <s v="No"/>
    <x v="0"/>
    <x v="218"/>
    <x v="2"/>
    <x v="218"/>
    <x v="2"/>
  </r>
  <r>
    <x v="219"/>
    <x v="17"/>
    <x v="1"/>
    <s v="No"/>
    <x v="0"/>
    <x v="219"/>
    <x v="2"/>
    <x v="219"/>
    <x v="2"/>
  </r>
  <r>
    <x v="220"/>
    <x v="56"/>
    <x v="1"/>
    <s v="No"/>
    <x v="0"/>
    <x v="220"/>
    <x v="2"/>
    <x v="220"/>
    <x v="2"/>
  </r>
  <r>
    <x v="221"/>
    <x v="17"/>
    <x v="1"/>
    <s v="No"/>
    <x v="0"/>
    <x v="221"/>
    <x v="2"/>
    <x v="221"/>
    <x v="2"/>
  </r>
  <r>
    <x v="222"/>
    <x v="17"/>
    <x v="1"/>
    <s v="No"/>
    <x v="0"/>
    <x v="222"/>
    <x v="2"/>
    <x v="222"/>
    <x v="2"/>
  </r>
  <r>
    <x v="223"/>
    <x v="17"/>
    <x v="1"/>
    <s v="No"/>
    <x v="0"/>
    <x v="223"/>
    <x v="2"/>
    <x v="223"/>
    <x v="2"/>
  </r>
  <r>
    <x v="224"/>
    <x v="41"/>
    <x v="1"/>
    <s v="No"/>
    <x v="0"/>
    <x v="224"/>
    <x v="2"/>
    <x v="224"/>
    <x v="2"/>
  </r>
  <r>
    <x v="225"/>
    <x v="10"/>
    <x v="1"/>
    <s v="No"/>
    <x v="0"/>
    <x v="225"/>
    <x v="2"/>
    <x v="225"/>
    <x v="2"/>
  </r>
  <r>
    <x v="226"/>
    <x v="29"/>
    <x v="1"/>
    <s v="No"/>
    <x v="0"/>
    <x v="226"/>
    <x v="2"/>
    <x v="226"/>
    <x v="2"/>
  </r>
  <r>
    <x v="227"/>
    <x v="17"/>
    <x v="1"/>
    <s v="No"/>
    <x v="0"/>
    <x v="227"/>
    <x v="2"/>
    <x v="227"/>
    <x v="2"/>
  </r>
  <r>
    <x v="228"/>
    <x v="29"/>
    <x v="1"/>
    <s v="No"/>
    <x v="0"/>
    <x v="228"/>
    <x v="2"/>
    <x v="228"/>
    <x v="2"/>
  </r>
  <r>
    <x v="229"/>
    <x v="32"/>
    <x v="1"/>
    <s v="No"/>
    <x v="0"/>
    <x v="229"/>
    <x v="2"/>
    <x v="229"/>
    <x v="2"/>
  </r>
  <r>
    <x v="230"/>
    <x v="26"/>
    <x v="1"/>
    <s v="No"/>
    <x v="0"/>
    <x v="230"/>
    <x v="2"/>
    <x v="230"/>
    <x v="2"/>
  </r>
  <r>
    <x v="231"/>
    <x v="10"/>
    <x v="1"/>
    <s v="No"/>
    <x v="0"/>
    <x v="231"/>
    <x v="2"/>
    <x v="231"/>
    <x v="2"/>
  </r>
  <r>
    <x v="232"/>
    <x v="32"/>
    <x v="1"/>
    <s v="No"/>
    <x v="0"/>
    <x v="232"/>
    <x v="2"/>
    <x v="232"/>
    <x v="2"/>
  </r>
  <r>
    <x v="233"/>
    <x v="57"/>
    <x v="1"/>
    <s v="No"/>
    <x v="0"/>
    <x v="233"/>
    <x v="2"/>
    <x v="233"/>
    <x v="2"/>
  </r>
  <r>
    <x v="234"/>
    <x v="17"/>
    <x v="1"/>
    <s v="No"/>
    <x v="0"/>
    <x v="234"/>
    <x v="2"/>
    <x v="234"/>
    <x v="2"/>
  </r>
  <r>
    <x v="235"/>
    <x v="17"/>
    <x v="1"/>
    <s v="No"/>
    <x v="0"/>
    <x v="235"/>
    <x v="2"/>
    <x v="235"/>
    <x v="2"/>
  </r>
  <r>
    <x v="236"/>
    <x v="28"/>
    <x v="1"/>
    <s v="No"/>
    <x v="0"/>
    <x v="236"/>
    <x v="2"/>
    <x v="236"/>
    <x v="2"/>
  </r>
  <r>
    <x v="237"/>
    <x v="56"/>
    <x v="1"/>
    <s v="No"/>
    <x v="0"/>
    <x v="237"/>
    <x v="2"/>
    <x v="237"/>
    <x v="2"/>
  </r>
  <r>
    <x v="238"/>
    <x v="10"/>
    <x v="1"/>
    <s v="No"/>
    <x v="0"/>
    <x v="238"/>
    <x v="2"/>
    <x v="238"/>
    <x v="2"/>
  </r>
  <r>
    <x v="239"/>
    <x v="37"/>
    <x v="1"/>
    <s v="No"/>
    <x v="0"/>
    <x v="239"/>
    <x v="2"/>
    <x v="239"/>
    <x v="2"/>
  </r>
  <r>
    <x v="240"/>
    <x v="26"/>
    <x v="1"/>
    <s v="No"/>
    <x v="0"/>
    <x v="240"/>
    <x v="2"/>
    <x v="240"/>
    <x v="2"/>
  </r>
  <r>
    <x v="241"/>
    <x v="58"/>
    <x v="1"/>
    <s v="No"/>
    <x v="0"/>
    <x v="241"/>
    <x v="2"/>
    <x v="241"/>
    <x v="2"/>
  </r>
  <r>
    <x v="242"/>
    <x v="17"/>
    <x v="1"/>
    <s v="No"/>
    <x v="0"/>
    <x v="242"/>
    <x v="2"/>
    <x v="242"/>
    <x v="2"/>
  </r>
  <r>
    <x v="243"/>
    <x v="17"/>
    <x v="1"/>
    <s v="No"/>
    <x v="0"/>
    <x v="243"/>
    <x v="2"/>
    <x v="243"/>
    <x v="2"/>
  </r>
  <r>
    <x v="244"/>
    <x v="48"/>
    <x v="1"/>
    <s v="No"/>
    <x v="0"/>
    <x v="244"/>
    <x v="2"/>
    <x v="244"/>
    <x v="2"/>
  </r>
  <r>
    <x v="245"/>
    <x v="17"/>
    <x v="1"/>
    <s v="No"/>
    <x v="0"/>
    <x v="245"/>
    <x v="2"/>
    <x v="245"/>
    <x v="2"/>
  </r>
  <r>
    <x v="246"/>
    <x v="31"/>
    <x v="1"/>
    <s v="No"/>
    <x v="0"/>
    <x v="246"/>
    <x v="2"/>
    <x v="246"/>
    <x v="2"/>
  </r>
  <r>
    <x v="247"/>
    <x v="17"/>
    <x v="1"/>
    <s v="No"/>
    <x v="0"/>
    <x v="247"/>
    <x v="2"/>
    <x v="247"/>
    <x v="2"/>
  </r>
  <r>
    <x v="248"/>
    <x v="59"/>
    <x v="1"/>
    <s v="No"/>
    <x v="0"/>
    <x v="248"/>
    <x v="2"/>
    <x v="248"/>
    <x v="2"/>
  </r>
  <r>
    <x v="249"/>
    <x v="19"/>
    <x v="1"/>
    <s v="No"/>
    <x v="0"/>
    <x v="249"/>
    <x v="2"/>
    <x v="249"/>
    <x v="2"/>
  </r>
  <r>
    <x v="250"/>
    <x v="27"/>
    <x v="1"/>
    <s v="No"/>
    <x v="0"/>
    <x v="250"/>
    <x v="2"/>
    <x v="250"/>
    <x v="2"/>
  </r>
  <r>
    <x v="251"/>
    <x v="27"/>
    <x v="1"/>
    <s v="No"/>
    <x v="0"/>
    <x v="251"/>
    <x v="2"/>
    <x v="251"/>
    <x v="2"/>
  </r>
  <r>
    <x v="252"/>
    <x v="27"/>
    <x v="1"/>
    <s v="No"/>
    <x v="0"/>
    <x v="252"/>
    <x v="2"/>
    <x v="252"/>
    <x v="2"/>
  </r>
  <r>
    <x v="253"/>
    <x v="27"/>
    <x v="1"/>
    <s v="No"/>
    <x v="0"/>
    <x v="253"/>
    <x v="2"/>
    <x v="253"/>
    <x v="2"/>
  </r>
  <r>
    <x v="254"/>
    <x v="32"/>
    <x v="1"/>
    <s v="No"/>
    <x v="0"/>
    <x v="254"/>
    <x v="2"/>
    <x v="254"/>
    <x v="2"/>
  </r>
  <r>
    <x v="255"/>
    <x v="52"/>
    <x v="1"/>
    <s v="No"/>
    <x v="0"/>
    <x v="255"/>
    <x v="2"/>
    <x v="255"/>
    <x v="2"/>
  </r>
  <r>
    <x v="256"/>
    <x v="19"/>
    <x v="1"/>
    <s v="No"/>
    <x v="0"/>
    <x v="256"/>
    <x v="2"/>
    <x v="256"/>
    <x v="2"/>
  </r>
  <r>
    <x v="257"/>
    <x v="32"/>
    <x v="1"/>
    <s v="No"/>
    <x v="0"/>
    <x v="257"/>
    <x v="2"/>
    <x v="257"/>
    <x v="2"/>
  </r>
  <r>
    <x v="258"/>
    <x v="17"/>
    <x v="1"/>
    <s v="No"/>
    <x v="0"/>
    <x v="258"/>
    <x v="2"/>
    <x v="258"/>
    <x v="2"/>
  </r>
  <r>
    <x v="259"/>
    <x v="9"/>
    <x v="1"/>
    <s v="No"/>
    <x v="0"/>
    <x v="259"/>
    <x v="2"/>
    <x v="259"/>
    <x v="2"/>
  </r>
  <r>
    <x v="260"/>
    <x v="26"/>
    <x v="1"/>
    <s v="No"/>
    <x v="0"/>
    <x v="260"/>
    <x v="2"/>
    <x v="260"/>
    <x v="2"/>
  </r>
  <r>
    <x v="261"/>
    <x v="27"/>
    <x v="1"/>
    <s v="No"/>
    <x v="0"/>
    <x v="261"/>
    <x v="2"/>
    <x v="261"/>
    <x v="2"/>
  </r>
  <r>
    <x v="262"/>
    <x v="27"/>
    <x v="1"/>
    <s v="No"/>
    <x v="0"/>
    <x v="262"/>
    <x v="2"/>
    <x v="262"/>
    <x v="2"/>
  </r>
  <r>
    <x v="263"/>
    <x v="31"/>
    <x v="1"/>
    <s v="No"/>
    <x v="0"/>
    <x v="263"/>
    <x v="2"/>
    <x v="263"/>
    <x v="2"/>
  </r>
  <r>
    <x v="264"/>
    <x v="27"/>
    <x v="1"/>
    <s v="No"/>
    <x v="0"/>
    <x v="264"/>
    <x v="2"/>
    <x v="264"/>
    <x v="2"/>
  </r>
  <r>
    <x v="265"/>
    <x v="27"/>
    <x v="1"/>
    <s v="No"/>
    <x v="0"/>
    <x v="265"/>
    <x v="2"/>
    <x v="265"/>
    <x v="2"/>
  </r>
  <r>
    <x v="266"/>
    <x v="32"/>
    <x v="1"/>
    <s v="No"/>
    <x v="0"/>
    <x v="266"/>
    <x v="2"/>
    <x v="266"/>
    <x v="2"/>
  </r>
  <r>
    <x v="267"/>
    <x v="27"/>
    <x v="1"/>
    <s v="No"/>
    <x v="0"/>
    <x v="267"/>
    <x v="2"/>
    <x v="267"/>
    <x v="2"/>
  </r>
  <r>
    <x v="268"/>
    <x v="19"/>
    <x v="1"/>
    <s v="No"/>
    <x v="0"/>
    <x v="268"/>
    <x v="2"/>
    <x v="268"/>
    <x v="2"/>
  </r>
  <r>
    <x v="269"/>
    <x v="27"/>
    <x v="1"/>
    <s v="No"/>
    <x v="0"/>
    <x v="269"/>
    <x v="2"/>
    <x v="269"/>
    <x v="2"/>
  </r>
  <r>
    <x v="270"/>
    <x v="10"/>
    <x v="1"/>
    <s v="No"/>
    <x v="0"/>
    <x v="270"/>
    <x v="2"/>
    <x v="270"/>
    <x v="2"/>
  </r>
  <r>
    <x v="271"/>
    <x v="31"/>
    <x v="1"/>
    <s v="No"/>
    <x v="0"/>
    <x v="271"/>
    <x v="2"/>
    <x v="271"/>
    <x v="2"/>
  </r>
  <r>
    <x v="272"/>
    <x v="32"/>
    <x v="1"/>
    <s v="No"/>
    <x v="0"/>
    <x v="272"/>
    <x v="2"/>
    <x v="272"/>
    <x v="2"/>
  </r>
  <r>
    <x v="273"/>
    <x v="31"/>
    <x v="1"/>
    <s v="No"/>
    <x v="0"/>
    <x v="273"/>
    <x v="2"/>
    <x v="273"/>
    <x v="2"/>
  </r>
  <r>
    <x v="274"/>
    <x v="27"/>
    <x v="1"/>
    <s v="No"/>
    <x v="0"/>
    <x v="274"/>
    <x v="2"/>
    <x v="274"/>
    <x v="2"/>
  </r>
  <r>
    <x v="275"/>
    <x v="16"/>
    <x v="1"/>
    <s v="No"/>
    <x v="0"/>
    <x v="275"/>
    <x v="2"/>
    <x v="275"/>
    <x v="2"/>
  </r>
  <r>
    <x v="276"/>
    <x v="19"/>
    <x v="1"/>
    <s v="No"/>
    <x v="0"/>
    <x v="276"/>
    <x v="2"/>
    <x v="276"/>
    <x v="2"/>
  </r>
  <r>
    <x v="277"/>
    <x v="23"/>
    <x v="1"/>
    <s v="No"/>
    <x v="0"/>
    <x v="277"/>
    <x v="2"/>
    <x v="277"/>
    <x v="2"/>
  </r>
  <r>
    <x v="278"/>
    <x v="27"/>
    <x v="1"/>
    <s v="No"/>
    <x v="0"/>
    <x v="278"/>
    <x v="2"/>
    <x v="278"/>
    <x v="2"/>
  </r>
  <r>
    <x v="279"/>
    <x v="27"/>
    <x v="1"/>
    <s v="No"/>
    <x v="0"/>
    <x v="279"/>
    <x v="2"/>
    <x v="279"/>
    <x v="2"/>
  </r>
  <r>
    <x v="280"/>
    <x v="36"/>
    <x v="1"/>
    <s v="No"/>
    <x v="0"/>
    <x v="280"/>
    <x v="2"/>
    <x v="280"/>
    <x v="2"/>
  </r>
  <r>
    <x v="281"/>
    <x v="19"/>
    <x v="1"/>
    <s v="No"/>
    <x v="0"/>
    <x v="281"/>
    <x v="2"/>
    <x v="281"/>
    <x v="2"/>
  </r>
  <r>
    <x v="282"/>
    <x v="32"/>
    <x v="1"/>
    <s v="No"/>
    <x v="0"/>
    <x v="282"/>
    <x v="2"/>
    <x v="282"/>
    <x v="2"/>
  </r>
  <r>
    <x v="283"/>
    <x v="9"/>
    <x v="1"/>
    <s v="No"/>
    <x v="0"/>
    <x v="283"/>
    <x v="2"/>
    <x v="283"/>
    <x v="2"/>
  </r>
  <r>
    <x v="284"/>
    <x v="48"/>
    <x v="1"/>
    <s v="No"/>
    <x v="0"/>
    <x v="284"/>
    <x v="2"/>
    <x v="284"/>
    <x v="2"/>
  </r>
  <r>
    <x v="285"/>
    <x v="10"/>
    <x v="1"/>
    <s v="No"/>
    <x v="0"/>
    <x v="285"/>
    <x v="2"/>
    <x v="285"/>
    <x v="2"/>
  </r>
  <r>
    <x v="286"/>
    <x v="21"/>
    <x v="1"/>
    <s v="No"/>
    <x v="0"/>
    <x v="286"/>
    <x v="2"/>
    <x v="286"/>
    <x v="2"/>
  </r>
  <r>
    <x v="287"/>
    <x v="21"/>
    <x v="1"/>
    <s v="No"/>
    <x v="0"/>
    <x v="287"/>
    <x v="2"/>
    <x v="287"/>
    <x v="2"/>
  </r>
  <r>
    <x v="288"/>
    <x v="36"/>
    <x v="1"/>
    <s v="No"/>
    <x v="0"/>
    <x v="288"/>
    <x v="2"/>
    <x v="288"/>
    <x v="2"/>
  </r>
  <r>
    <x v="289"/>
    <x v="18"/>
    <x v="1"/>
    <s v="No"/>
    <x v="0"/>
    <x v="289"/>
    <x v="2"/>
    <x v="289"/>
    <x v="2"/>
  </r>
  <r>
    <x v="290"/>
    <x v="21"/>
    <x v="1"/>
    <s v="No"/>
    <x v="0"/>
    <x v="290"/>
    <x v="2"/>
    <x v="290"/>
    <x v="2"/>
  </r>
  <r>
    <x v="291"/>
    <x v="21"/>
    <x v="1"/>
    <s v="No"/>
    <x v="0"/>
    <x v="291"/>
    <x v="2"/>
    <x v="291"/>
    <x v="2"/>
  </r>
  <r>
    <x v="292"/>
    <x v="9"/>
    <x v="1"/>
    <s v="No"/>
    <x v="0"/>
    <x v="292"/>
    <x v="2"/>
    <x v="292"/>
    <x v="2"/>
  </r>
  <r>
    <x v="293"/>
    <x v="21"/>
    <x v="1"/>
    <s v="No"/>
    <x v="0"/>
    <x v="293"/>
    <x v="2"/>
    <x v="293"/>
    <x v="2"/>
  </r>
  <r>
    <x v="294"/>
    <x v="36"/>
    <x v="1"/>
    <s v="No"/>
    <x v="0"/>
    <x v="294"/>
    <x v="2"/>
    <x v="294"/>
    <x v="2"/>
  </r>
  <r>
    <x v="295"/>
    <x v="35"/>
    <x v="1"/>
    <s v="No"/>
    <x v="0"/>
    <x v="295"/>
    <x v="2"/>
    <x v="295"/>
    <x v="2"/>
  </r>
  <r>
    <x v="296"/>
    <x v="21"/>
    <x v="1"/>
    <s v="No"/>
    <x v="0"/>
    <x v="296"/>
    <x v="2"/>
    <x v="296"/>
    <x v="2"/>
  </r>
  <r>
    <x v="297"/>
    <x v="21"/>
    <x v="1"/>
    <s v="No"/>
    <x v="0"/>
    <x v="297"/>
    <x v="2"/>
    <x v="297"/>
    <x v="2"/>
  </r>
  <r>
    <x v="298"/>
    <x v="49"/>
    <x v="1"/>
    <s v="No"/>
    <x v="0"/>
    <x v="298"/>
    <x v="2"/>
    <x v="298"/>
    <x v="2"/>
  </r>
  <r>
    <x v="299"/>
    <x v="38"/>
    <x v="1"/>
    <s v="No"/>
    <x v="0"/>
    <x v="299"/>
    <x v="2"/>
    <x v="299"/>
    <x v="2"/>
  </r>
  <r>
    <x v="300"/>
    <x v="21"/>
    <x v="1"/>
    <s v="No"/>
    <x v="0"/>
    <x v="300"/>
    <x v="2"/>
    <x v="300"/>
    <x v="2"/>
  </r>
  <r>
    <x v="301"/>
    <x v="38"/>
    <x v="1"/>
    <s v="No"/>
    <x v="0"/>
    <x v="301"/>
    <x v="2"/>
    <x v="301"/>
    <x v="2"/>
  </r>
  <r>
    <x v="302"/>
    <x v="21"/>
    <x v="1"/>
    <s v="No"/>
    <x v="0"/>
    <x v="302"/>
    <x v="2"/>
    <x v="302"/>
    <x v="2"/>
  </r>
  <r>
    <x v="303"/>
    <x v="38"/>
    <x v="1"/>
    <s v="No"/>
    <x v="0"/>
    <x v="303"/>
    <x v="2"/>
    <x v="303"/>
    <x v="2"/>
  </r>
  <r>
    <x v="304"/>
    <x v="38"/>
    <x v="1"/>
    <s v="No"/>
    <x v="0"/>
    <x v="304"/>
    <x v="2"/>
    <x v="304"/>
    <x v="2"/>
  </r>
  <r>
    <x v="305"/>
    <x v="60"/>
    <x v="1"/>
    <s v="No"/>
    <x v="0"/>
    <x v="305"/>
    <x v="2"/>
    <x v="305"/>
    <x v="2"/>
  </r>
  <r>
    <x v="306"/>
    <x v="21"/>
    <x v="1"/>
    <s v="No"/>
    <x v="0"/>
    <x v="306"/>
    <x v="2"/>
    <x v="306"/>
    <x v="2"/>
  </r>
  <r>
    <x v="307"/>
    <x v="61"/>
    <x v="1"/>
    <s v="No"/>
    <x v="0"/>
    <x v="307"/>
    <x v="2"/>
    <x v="307"/>
    <x v="2"/>
  </r>
  <r>
    <x v="308"/>
    <x v="36"/>
    <x v="1"/>
    <s v="No"/>
    <x v="0"/>
    <x v="308"/>
    <x v="2"/>
    <x v="308"/>
    <x v="2"/>
  </r>
  <r>
    <x v="309"/>
    <x v="36"/>
    <x v="1"/>
    <s v="No"/>
    <x v="0"/>
    <x v="309"/>
    <x v="2"/>
    <x v="309"/>
    <x v="2"/>
  </r>
  <r>
    <x v="310"/>
    <x v="21"/>
    <x v="1"/>
    <s v="No"/>
    <x v="0"/>
    <x v="310"/>
    <x v="2"/>
    <x v="310"/>
    <x v="2"/>
  </r>
  <r>
    <x v="311"/>
    <x v="21"/>
    <x v="1"/>
    <s v="No"/>
    <x v="0"/>
    <x v="311"/>
    <x v="2"/>
    <x v="311"/>
    <x v="2"/>
  </r>
  <r>
    <x v="312"/>
    <x v="21"/>
    <x v="1"/>
    <s v="No"/>
    <x v="0"/>
    <x v="312"/>
    <x v="2"/>
    <x v="312"/>
    <x v="2"/>
  </r>
  <r>
    <x v="313"/>
    <x v="21"/>
    <x v="1"/>
    <s v="No"/>
    <x v="0"/>
    <x v="313"/>
    <x v="2"/>
    <x v="313"/>
    <x v="2"/>
  </r>
  <r>
    <x v="314"/>
    <x v="62"/>
    <x v="1"/>
    <s v="No"/>
    <x v="0"/>
    <x v="314"/>
    <x v="2"/>
    <x v="314"/>
    <x v="2"/>
  </r>
  <r>
    <x v="315"/>
    <x v="63"/>
    <x v="1"/>
    <s v="No"/>
    <x v="0"/>
    <x v="315"/>
    <x v="2"/>
    <x v="315"/>
    <x v="2"/>
  </r>
  <r>
    <x v="316"/>
    <x v="61"/>
    <x v="1"/>
    <s v="No"/>
    <x v="0"/>
    <x v="316"/>
    <x v="2"/>
    <x v="316"/>
    <x v="2"/>
  </r>
  <r>
    <x v="317"/>
    <x v="61"/>
    <x v="1"/>
    <s v="No"/>
    <x v="0"/>
    <x v="317"/>
    <x v="2"/>
    <x v="317"/>
    <x v="2"/>
  </r>
  <r>
    <x v="318"/>
    <x v="63"/>
    <x v="1"/>
    <s v="No"/>
    <x v="0"/>
    <x v="318"/>
    <x v="2"/>
    <x v="318"/>
    <x v="2"/>
  </r>
  <r>
    <x v="319"/>
    <x v="64"/>
    <x v="1"/>
    <s v="No"/>
    <x v="1"/>
    <x v="319"/>
    <x v="3"/>
    <x v="319"/>
    <x v="3"/>
  </r>
  <r>
    <x v="320"/>
    <x v="64"/>
    <x v="1"/>
    <s v="No"/>
    <x v="1"/>
    <x v="319"/>
    <x v="3"/>
    <x v="319"/>
    <x v="3"/>
  </r>
  <r>
    <x v="321"/>
    <x v="64"/>
    <x v="1"/>
    <s v="No"/>
    <x v="1"/>
    <x v="319"/>
    <x v="3"/>
    <x v="319"/>
    <x v="3"/>
  </r>
  <r>
    <x v="322"/>
    <x v="64"/>
    <x v="1"/>
    <s v="No"/>
    <x v="1"/>
    <x v="319"/>
    <x v="3"/>
    <x v="319"/>
    <x v="3"/>
  </r>
  <r>
    <x v="323"/>
    <x v="64"/>
    <x v="1"/>
    <s v="No"/>
    <x v="1"/>
    <x v="319"/>
    <x v="3"/>
    <x v="319"/>
    <x v="3"/>
  </r>
  <r>
    <x v="324"/>
    <x v="64"/>
    <x v="1"/>
    <s v="No"/>
    <x v="1"/>
    <x v="319"/>
    <x v="3"/>
    <x v="319"/>
    <x v="3"/>
  </r>
  <r>
    <x v="325"/>
    <x v="64"/>
    <x v="1"/>
    <s v="No"/>
    <x v="1"/>
    <x v="319"/>
    <x v="3"/>
    <x v="319"/>
    <x v="3"/>
  </r>
  <r>
    <x v="326"/>
    <x v="64"/>
    <x v="1"/>
    <s v="No"/>
    <x v="1"/>
    <x v="319"/>
    <x v="3"/>
    <x v="319"/>
    <x v="3"/>
  </r>
  <r>
    <x v="327"/>
    <x v="64"/>
    <x v="1"/>
    <s v="No"/>
    <x v="1"/>
    <x v="319"/>
    <x v="3"/>
    <x v="319"/>
    <x v="3"/>
  </r>
  <r>
    <x v="328"/>
    <x v="64"/>
    <x v="1"/>
    <s v="No"/>
    <x v="1"/>
    <x v="319"/>
    <x v="3"/>
    <x v="319"/>
    <x v="3"/>
  </r>
  <r>
    <x v="329"/>
    <x v="64"/>
    <x v="1"/>
    <s v="No"/>
    <x v="1"/>
    <x v="319"/>
    <x v="3"/>
    <x v="319"/>
    <x v="3"/>
  </r>
  <r>
    <x v="330"/>
    <x v="64"/>
    <x v="1"/>
    <s v="No"/>
    <x v="1"/>
    <x v="319"/>
    <x v="3"/>
    <x v="319"/>
    <x v="3"/>
  </r>
  <r>
    <x v="331"/>
    <x v="64"/>
    <x v="1"/>
    <s v="No"/>
    <x v="1"/>
    <x v="319"/>
    <x v="3"/>
    <x v="319"/>
    <x v="3"/>
  </r>
  <r>
    <x v="332"/>
    <x v="64"/>
    <x v="1"/>
    <s v="No"/>
    <x v="1"/>
    <x v="319"/>
    <x v="3"/>
    <x v="319"/>
    <x v="3"/>
  </r>
  <r>
    <x v="333"/>
    <x v="64"/>
    <x v="1"/>
    <s v="No"/>
    <x v="1"/>
    <x v="319"/>
    <x v="3"/>
    <x v="319"/>
    <x v="3"/>
  </r>
  <r>
    <x v="334"/>
    <x v="64"/>
    <x v="1"/>
    <s v="No"/>
    <x v="1"/>
    <x v="319"/>
    <x v="3"/>
    <x v="319"/>
    <x v="3"/>
  </r>
  <r>
    <x v="335"/>
    <x v="64"/>
    <x v="1"/>
    <s v="No"/>
    <x v="1"/>
    <x v="319"/>
    <x v="3"/>
    <x v="319"/>
    <x v="3"/>
  </r>
  <r>
    <x v="336"/>
    <x v="64"/>
    <x v="1"/>
    <s v="No"/>
    <x v="1"/>
    <x v="319"/>
    <x v="3"/>
    <x v="319"/>
    <x v="3"/>
  </r>
  <r>
    <x v="337"/>
    <x v="64"/>
    <x v="1"/>
    <s v="No"/>
    <x v="1"/>
    <x v="319"/>
    <x v="3"/>
    <x v="319"/>
    <x v="3"/>
  </r>
  <r>
    <x v="338"/>
    <x v="64"/>
    <x v="1"/>
    <s v="No"/>
    <x v="1"/>
    <x v="319"/>
    <x v="3"/>
    <x v="319"/>
    <x v="3"/>
  </r>
  <r>
    <x v="339"/>
    <x v="64"/>
    <x v="1"/>
    <s v="No"/>
    <x v="1"/>
    <x v="319"/>
    <x v="3"/>
    <x v="319"/>
    <x v="3"/>
  </r>
  <r>
    <x v="340"/>
    <x v="64"/>
    <x v="1"/>
    <s v="No"/>
    <x v="1"/>
    <x v="319"/>
    <x v="3"/>
    <x v="319"/>
    <x v="3"/>
  </r>
  <r>
    <x v="341"/>
    <x v="64"/>
    <x v="1"/>
    <s v="No"/>
    <x v="1"/>
    <x v="319"/>
    <x v="3"/>
    <x v="319"/>
    <x v="3"/>
  </r>
  <r>
    <x v="342"/>
    <x v="64"/>
    <x v="1"/>
    <s v="No"/>
    <x v="1"/>
    <x v="319"/>
    <x v="3"/>
    <x v="319"/>
    <x v="3"/>
  </r>
  <r>
    <x v="343"/>
    <x v="64"/>
    <x v="1"/>
    <s v="No"/>
    <x v="1"/>
    <x v="319"/>
    <x v="3"/>
    <x v="319"/>
    <x v="3"/>
  </r>
  <r>
    <x v="344"/>
    <x v="64"/>
    <x v="1"/>
    <s v="No"/>
    <x v="1"/>
    <x v="319"/>
    <x v="3"/>
    <x v="319"/>
    <x v="3"/>
  </r>
  <r>
    <x v="345"/>
    <x v="64"/>
    <x v="1"/>
    <s v="No"/>
    <x v="1"/>
    <x v="319"/>
    <x v="3"/>
    <x v="319"/>
    <x v="3"/>
  </r>
  <r>
    <x v="346"/>
    <x v="64"/>
    <x v="1"/>
    <s v="No"/>
    <x v="1"/>
    <x v="319"/>
    <x v="3"/>
    <x v="319"/>
    <x v="3"/>
  </r>
  <r>
    <x v="347"/>
    <x v="64"/>
    <x v="1"/>
    <s v="No"/>
    <x v="1"/>
    <x v="319"/>
    <x v="3"/>
    <x v="319"/>
    <x v="3"/>
  </r>
  <r>
    <x v="348"/>
    <x v="64"/>
    <x v="1"/>
    <s v="No"/>
    <x v="1"/>
    <x v="319"/>
    <x v="3"/>
    <x v="319"/>
    <x v="3"/>
  </r>
  <r>
    <x v="349"/>
    <x v="64"/>
    <x v="1"/>
    <s v="No"/>
    <x v="1"/>
    <x v="319"/>
    <x v="3"/>
    <x v="319"/>
    <x v="3"/>
  </r>
  <r>
    <x v="350"/>
    <x v="64"/>
    <x v="1"/>
    <s v="No"/>
    <x v="1"/>
    <x v="319"/>
    <x v="3"/>
    <x v="319"/>
    <x v="3"/>
  </r>
  <r>
    <x v="351"/>
    <x v="64"/>
    <x v="1"/>
    <s v="No"/>
    <x v="1"/>
    <x v="319"/>
    <x v="3"/>
    <x v="319"/>
    <x v="3"/>
  </r>
  <r>
    <x v="352"/>
    <x v="64"/>
    <x v="1"/>
    <s v="No"/>
    <x v="1"/>
    <x v="319"/>
    <x v="3"/>
    <x v="319"/>
    <x v="3"/>
  </r>
  <r>
    <x v="353"/>
    <x v="64"/>
    <x v="1"/>
    <s v="No"/>
    <x v="1"/>
    <x v="319"/>
    <x v="3"/>
    <x v="319"/>
    <x v="3"/>
  </r>
  <r>
    <x v="354"/>
    <x v="64"/>
    <x v="1"/>
    <s v="No"/>
    <x v="1"/>
    <x v="319"/>
    <x v="3"/>
    <x v="319"/>
    <x v="3"/>
  </r>
  <r>
    <x v="355"/>
    <x v="64"/>
    <x v="1"/>
    <s v="No"/>
    <x v="1"/>
    <x v="319"/>
    <x v="3"/>
    <x v="319"/>
    <x v="3"/>
  </r>
  <r>
    <x v="356"/>
    <x v="64"/>
    <x v="1"/>
    <s v="No"/>
    <x v="1"/>
    <x v="319"/>
    <x v="3"/>
    <x v="319"/>
    <x v="3"/>
  </r>
  <r>
    <x v="357"/>
    <x v="64"/>
    <x v="1"/>
    <s v="No"/>
    <x v="1"/>
    <x v="319"/>
    <x v="3"/>
    <x v="319"/>
    <x v="3"/>
  </r>
  <r>
    <x v="358"/>
    <x v="64"/>
    <x v="1"/>
    <s v="No"/>
    <x v="1"/>
    <x v="319"/>
    <x v="3"/>
    <x v="319"/>
    <x v="3"/>
  </r>
  <r>
    <x v="359"/>
    <x v="64"/>
    <x v="1"/>
    <s v="No"/>
    <x v="1"/>
    <x v="319"/>
    <x v="3"/>
    <x v="319"/>
    <x v="3"/>
  </r>
  <r>
    <x v="360"/>
    <x v="64"/>
    <x v="1"/>
    <s v="No"/>
    <x v="1"/>
    <x v="319"/>
    <x v="3"/>
    <x v="319"/>
    <x v="3"/>
  </r>
  <r>
    <x v="361"/>
    <x v="64"/>
    <x v="1"/>
    <s v="No"/>
    <x v="1"/>
    <x v="319"/>
    <x v="3"/>
    <x v="319"/>
    <x v="3"/>
  </r>
  <r>
    <x v="362"/>
    <x v="64"/>
    <x v="1"/>
    <s v="No"/>
    <x v="1"/>
    <x v="319"/>
    <x v="3"/>
    <x v="319"/>
    <x v="3"/>
  </r>
  <r>
    <x v="363"/>
    <x v="64"/>
    <x v="1"/>
    <s v="No"/>
    <x v="1"/>
    <x v="319"/>
    <x v="3"/>
    <x v="319"/>
    <x v="3"/>
  </r>
  <r>
    <x v="364"/>
    <x v="64"/>
    <x v="1"/>
    <s v="No"/>
    <x v="1"/>
    <x v="319"/>
    <x v="3"/>
    <x v="319"/>
    <x v="3"/>
  </r>
  <r>
    <x v="365"/>
    <x v="64"/>
    <x v="1"/>
    <s v="No"/>
    <x v="1"/>
    <x v="319"/>
    <x v="3"/>
    <x v="319"/>
    <x v="3"/>
  </r>
  <r>
    <x v="366"/>
    <x v="64"/>
    <x v="1"/>
    <s v="No"/>
    <x v="1"/>
    <x v="319"/>
    <x v="3"/>
    <x v="319"/>
    <x v="3"/>
  </r>
  <r>
    <x v="367"/>
    <x v="64"/>
    <x v="1"/>
    <s v="No"/>
    <x v="1"/>
    <x v="319"/>
    <x v="3"/>
    <x v="319"/>
    <x v="3"/>
  </r>
  <r>
    <x v="368"/>
    <x v="64"/>
    <x v="1"/>
    <s v="No"/>
    <x v="1"/>
    <x v="319"/>
    <x v="3"/>
    <x v="319"/>
    <x v="3"/>
  </r>
  <r>
    <x v="369"/>
    <x v="64"/>
    <x v="1"/>
    <s v="No"/>
    <x v="1"/>
    <x v="319"/>
    <x v="3"/>
    <x v="319"/>
    <x v="3"/>
  </r>
  <r>
    <x v="370"/>
    <x v="64"/>
    <x v="1"/>
    <s v="No"/>
    <x v="1"/>
    <x v="319"/>
    <x v="3"/>
    <x v="319"/>
    <x v="3"/>
  </r>
  <r>
    <x v="371"/>
    <x v="64"/>
    <x v="1"/>
    <s v="No"/>
    <x v="1"/>
    <x v="319"/>
    <x v="3"/>
    <x v="319"/>
    <x v="3"/>
  </r>
  <r>
    <x v="372"/>
    <x v="64"/>
    <x v="1"/>
    <s v="No"/>
    <x v="1"/>
    <x v="319"/>
    <x v="3"/>
    <x v="319"/>
    <x v="3"/>
  </r>
  <r>
    <x v="373"/>
    <x v="64"/>
    <x v="1"/>
    <s v="No"/>
    <x v="1"/>
    <x v="319"/>
    <x v="3"/>
    <x v="319"/>
    <x v="3"/>
  </r>
  <r>
    <x v="374"/>
    <x v="64"/>
    <x v="1"/>
    <s v="No"/>
    <x v="1"/>
    <x v="319"/>
    <x v="3"/>
    <x v="319"/>
    <x v="3"/>
  </r>
  <r>
    <x v="375"/>
    <x v="64"/>
    <x v="1"/>
    <s v="No"/>
    <x v="1"/>
    <x v="319"/>
    <x v="3"/>
    <x v="319"/>
    <x v="3"/>
  </r>
  <r>
    <x v="376"/>
    <x v="64"/>
    <x v="1"/>
    <s v="No"/>
    <x v="1"/>
    <x v="319"/>
    <x v="3"/>
    <x v="319"/>
    <x v="3"/>
  </r>
  <r>
    <x v="377"/>
    <x v="64"/>
    <x v="1"/>
    <s v="No"/>
    <x v="1"/>
    <x v="319"/>
    <x v="3"/>
    <x v="319"/>
    <x v="3"/>
  </r>
  <r>
    <x v="378"/>
    <x v="64"/>
    <x v="1"/>
    <s v="No"/>
    <x v="1"/>
    <x v="319"/>
    <x v="3"/>
    <x v="319"/>
    <x v="3"/>
  </r>
  <r>
    <x v="379"/>
    <x v="64"/>
    <x v="1"/>
    <s v="No"/>
    <x v="1"/>
    <x v="319"/>
    <x v="3"/>
    <x v="319"/>
    <x v="3"/>
  </r>
  <r>
    <x v="380"/>
    <x v="64"/>
    <x v="1"/>
    <s v="No"/>
    <x v="1"/>
    <x v="319"/>
    <x v="3"/>
    <x v="319"/>
    <x v="3"/>
  </r>
  <r>
    <x v="381"/>
    <x v="64"/>
    <x v="1"/>
    <s v="No"/>
    <x v="1"/>
    <x v="319"/>
    <x v="3"/>
    <x v="319"/>
    <x v="3"/>
  </r>
  <r>
    <x v="382"/>
    <x v="64"/>
    <x v="1"/>
    <s v="No"/>
    <x v="1"/>
    <x v="319"/>
    <x v="3"/>
    <x v="319"/>
    <x v="3"/>
  </r>
  <r>
    <x v="383"/>
    <x v="64"/>
    <x v="1"/>
    <s v="No"/>
    <x v="1"/>
    <x v="319"/>
    <x v="3"/>
    <x v="319"/>
    <x v="3"/>
  </r>
  <r>
    <x v="384"/>
    <x v="64"/>
    <x v="1"/>
    <s v="No"/>
    <x v="1"/>
    <x v="319"/>
    <x v="3"/>
    <x v="319"/>
    <x v="3"/>
  </r>
  <r>
    <x v="385"/>
    <x v="64"/>
    <x v="1"/>
    <s v="No"/>
    <x v="1"/>
    <x v="319"/>
    <x v="3"/>
    <x v="319"/>
    <x v="3"/>
  </r>
  <r>
    <x v="386"/>
    <x v="64"/>
    <x v="1"/>
    <s v="No"/>
    <x v="1"/>
    <x v="319"/>
    <x v="3"/>
    <x v="319"/>
    <x v="3"/>
  </r>
  <r>
    <x v="387"/>
    <x v="64"/>
    <x v="1"/>
    <s v="No"/>
    <x v="1"/>
    <x v="319"/>
    <x v="3"/>
    <x v="319"/>
    <x v="3"/>
  </r>
  <r>
    <x v="388"/>
    <x v="64"/>
    <x v="1"/>
    <s v="No"/>
    <x v="1"/>
    <x v="319"/>
    <x v="3"/>
    <x v="319"/>
    <x v="3"/>
  </r>
  <r>
    <x v="389"/>
    <x v="64"/>
    <x v="1"/>
    <s v="No"/>
    <x v="1"/>
    <x v="319"/>
    <x v="3"/>
    <x v="319"/>
    <x v="3"/>
  </r>
  <r>
    <x v="390"/>
    <x v="64"/>
    <x v="1"/>
    <s v="No"/>
    <x v="1"/>
    <x v="319"/>
    <x v="3"/>
    <x v="319"/>
    <x v="3"/>
  </r>
  <r>
    <x v="391"/>
    <x v="64"/>
    <x v="1"/>
    <s v="No"/>
    <x v="1"/>
    <x v="319"/>
    <x v="3"/>
    <x v="319"/>
    <x v="3"/>
  </r>
  <r>
    <x v="392"/>
    <x v="64"/>
    <x v="1"/>
    <s v="No"/>
    <x v="1"/>
    <x v="319"/>
    <x v="3"/>
    <x v="319"/>
    <x v="3"/>
  </r>
  <r>
    <x v="393"/>
    <x v="64"/>
    <x v="1"/>
    <s v="No"/>
    <x v="1"/>
    <x v="319"/>
    <x v="3"/>
    <x v="319"/>
    <x v="3"/>
  </r>
  <r>
    <x v="394"/>
    <x v="64"/>
    <x v="1"/>
    <s v="No"/>
    <x v="1"/>
    <x v="319"/>
    <x v="3"/>
    <x v="319"/>
    <x v="3"/>
  </r>
  <r>
    <x v="395"/>
    <x v="64"/>
    <x v="1"/>
    <s v="No"/>
    <x v="1"/>
    <x v="319"/>
    <x v="3"/>
    <x v="319"/>
    <x v="3"/>
  </r>
  <r>
    <x v="396"/>
    <x v="64"/>
    <x v="1"/>
    <s v="No"/>
    <x v="1"/>
    <x v="319"/>
    <x v="3"/>
    <x v="319"/>
    <x v="3"/>
  </r>
  <r>
    <x v="397"/>
    <x v="64"/>
    <x v="1"/>
    <s v="No"/>
    <x v="1"/>
    <x v="319"/>
    <x v="3"/>
    <x v="319"/>
    <x v="3"/>
  </r>
  <r>
    <x v="398"/>
    <x v="64"/>
    <x v="1"/>
    <s v="No"/>
    <x v="1"/>
    <x v="319"/>
    <x v="3"/>
    <x v="319"/>
    <x v="3"/>
  </r>
  <r>
    <x v="399"/>
    <x v="64"/>
    <x v="1"/>
    <s v="No"/>
    <x v="1"/>
    <x v="319"/>
    <x v="3"/>
    <x v="319"/>
    <x v="3"/>
  </r>
  <r>
    <x v="400"/>
    <x v="64"/>
    <x v="1"/>
    <s v="No"/>
    <x v="1"/>
    <x v="319"/>
    <x v="3"/>
    <x v="319"/>
    <x v="3"/>
  </r>
  <r>
    <x v="401"/>
    <x v="64"/>
    <x v="1"/>
    <s v="No"/>
    <x v="1"/>
    <x v="319"/>
    <x v="3"/>
    <x v="319"/>
    <x v="3"/>
  </r>
  <r>
    <x v="402"/>
    <x v="64"/>
    <x v="1"/>
    <s v="No"/>
    <x v="1"/>
    <x v="319"/>
    <x v="3"/>
    <x v="319"/>
    <x v="3"/>
  </r>
  <r>
    <x v="403"/>
    <x v="64"/>
    <x v="1"/>
    <s v="No"/>
    <x v="1"/>
    <x v="319"/>
    <x v="3"/>
    <x v="319"/>
    <x v="3"/>
  </r>
  <r>
    <x v="404"/>
    <x v="64"/>
    <x v="1"/>
    <s v="No"/>
    <x v="1"/>
    <x v="319"/>
    <x v="3"/>
    <x v="319"/>
    <x v="3"/>
  </r>
  <r>
    <x v="405"/>
    <x v="64"/>
    <x v="1"/>
    <s v="No"/>
    <x v="1"/>
    <x v="319"/>
    <x v="3"/>
    <x v="319"/>
    <x v="3"/>
  </r>
  <r>
    <x v="406"/>
    <x v="64"/>
    <x v="1"/>
    <s v="No"/>
    <x v="1"/>
    <x v="319"/>
    <x v="3"/>
    <x v="319"/>
    <x v="3"/>
  </r>
  <r>
    <x v="407"/>
    <x v="64"/>
    <x v="1"/>
    <s v="No"/>
    <x v="1"/>
    <x v="319"/>
    <x v="3"/>
    <x v="319"/>
    <x v="3"/>
  </r>
  <r>
    <x v="408"/>
    <x v="64"/>
    <x v="1"/>
    <s v="No"/>
    <x v="1"/>
    <x v="319"/>
    <x v="3"/>
    <x v="319"/>
    <x v="3"/>
  </r>
  <r>
    <x v="409"/>
    <x v="64"/>
    <x v="1"/>
    <s v="No"/>
    <x v="1"/>
    <x v="319"/>
    <x v="3"/>
    <x v="319"/>
    <x v="3"/>
  </r>
  <r>
    <x v="410"/>
    <x v="64"/>
    <x v="1"/>
    <s v="No"/>
    <x v="1"/>
    <x v="319"/>
    <x v="3"/>
    <x v="319"/>
    <x v="3"/>
  </r>
  <r>
    <x v="411"/>
    <x v="64"/>
    <x v="1"/>
    <s v="No"/>
    <x v="1"/>
    <x v="319"/>
    <x v="3"/>
    <x v="319"/>
    <x v="3"/>
  </r>
  <r>
    <x v="412"/>
    <x v="64"/>
    <x v="1"/>
    <s v="No"/>
    <x v="1"/>
    <x v="319"/>
    <x v="3"/>
    <x v="319"/>
    <x v="3"/>
  </r>
  <r>
    <x v="413"/>
    <x v="64"/>
    <x v="1"/>
    <s v="No"/>
    <x v="1"/>
    <x v="319"/>
    <x v="3"/>
    <x v="319"/>
    <x v="3"/>
  </r>
  <r>
    <x v="414"/>
    <x v="64"/>
    <x v="1"/>
    <s v="No"/>
    <x v="1"/>
    <x v="319"/>
    <x v="3"/>
    <x v="319"/>
    <x v="3"/>
  </r>
  <r>
    <x v="415"/>
    <x v="64"/>
    <x v="1"/>
    <s v="No"/>
    <x v="1"/>
    <x v="319"/>
    <x v="3"/>
    <x v="319"/>
    <x v="3"/>
  </r>
  <r>
    <x v="416"/>
    <x v="64"/>
    <x v="1"/>
    <s v="No"/>
    <x v="1"/>
    <x v="319"/>
    <x v="3"/>
    <x v="319"/>
    <x v="3"/>
  </r>
  <r>
    <x v="417"/>
    <x v="64"/>
    <x v="1"/>
    <s v="No"/>
    <x v="1"/>
    <x v="319"/>
    <x v="3"/>
    <x v="319"/>
    <x v="3"/>
  </r>
  <r>
    <x v="418"/>
    <x v="64"/>
    <x v="1"/>
    <s v="No"/>
    <x v="1"/>
    <x v="319"/>
    <x v="3"/>
    <x v="319"/>
    <x v="3"/>
  </r>
  <r>
    <x v="419"/>
    <x v="64"/>
    <x v="1"/>
    <s v="No"/>
    <x v="1"/>
    <x v="319"/>
    <x v="3"/>
    <x v="319"/>
    <x v="3"/>
  </r>
  <r>
    <x v="420"/>
    <x v="64"/>
    <x v="1"/>
    <s v="No"/>
    <x v="1"/>
    <x v="319"/>
    <x v="3"/>
    <x v="319"/>
    <x v="3"/>
  </r>
  <r>
    <x v="421"/>
    <x v="64"/>
    <x v="1"/>
    <s v="No"/>
    <x v="1"/>
    <x v="319"/>
    <x v="3"/>
    <x v="319"/>
    <x v="3"/>
  </r>
  <r>
    <x v="422"/>
    <x v="64"/>
    <x v="1"/>
    <s v="No"/>
    <x v="1"/>
    <x v="319"/>
    <x v="3"/>
    <x v="319"/>
    <x v="3"/>
  </r>
  <r>
    <x v="423"/>
    <x v="64"/>
    <x v="1"/>
    <s v="No"/>
    <x v="1"/>
    <x v="319"/>
    <x v="3"/>
    <x v="319"/>
    <x v="3"/>
  </r>
  <r>
    <x v="424"/>
    <x v="64"/>
    <x v="1"/>
    <s v="No"/>
    <x v="1"/>
    <x v="319"/>
    <x v="3"/>
    <x v="319"/>
    <x v="3"/>
  </r>
  <r>
    <x v="425"/>
    <x v="64"/>
    <x v="1"/>
    <s v="No"/>
    <x v="1"/>
    <x v="319"/>
    <x v="3"/>
    <x v="319"/>
    <x v="3"/>
  </r>
  <r>
    <x v="426"/>
    <x v="64"/>
    <x v="1"/>
    <s v="No"/>
    <x v="1"/>
    <x v="319"/>
    <x v="3"/>
    <x v="319"/>
    <x v="3"/>
  </r>
  <r>
    <x v="427"/>
    <x v="64"/>
    <x v="1"/>
    <s v="No"/>
    <x v="1"/>
    <x v="319"/>
    <x v="3"/>
    <x v="319"/>
    <x v="3"/>
  </r>
  <r>
    <x v="428"/>
    <x v="64"/>
    <x v="1"/>
    <s v="No"/>
    <x v="1"/>
    <x v="319"/>
    <x v="3"/>
    <x v="319"/>
    <x v="3"/>
  </r>
  <r>
    <x v="429"/>
    <x v="64"/>
    <x v="1"/>
    <s v="No"/>
    <x v="1"/>
    <x v="319"/>
    <x v="3"/>
    <x v="319"/>
    <x v="3"/>
  </r>
  <r>
    <x v="430"/>
    <x v="64"/>
    <x v="1"/>
    <s v="No"/>
    <x v="1"/>
    <x v="319"/>
    <x v="3"/>
    <x v="319"/>
    <x v="3"/>
  </r>
  <r>
    <x v="431"/>
    <x v="64"/>
    <x v="1"/>
    <s v="No"/>
    <x v="1"/>
    <x v="319"/>
    <x v="3"/>
    <x v="319"/>
    <x v="3"/>
  </r>
  <r>
    <x v="432"/>
    <x v="64"/>
    <x v="1"/>
    <s v="No"/>
    <x v="1"/>
    <x v="319"/>
    <x v="3"/>
    <x v="319"/>
    <x v="3"/>
  </r>
  <r>
    <x v="433"/>
    <x v="64"/>
    <x v="1"/>
    <s v="No"/>
    <x v="1"/>
    <x v="319"/>
    <x v="3"/>
    <x v="319"/>
    <x v="3"/>
  </r>
  <r>
    <x v="434"/>
    <x v="64"/>
    <x v="1"/>
    <s v="No"/>
    <x v="1"/>
    <x v="319"/>
    <x v="3"/>
    <x v="319"/>
    <x v="3"/>
  </r>
  <r>
    <x v="435"/>
    <x v="64"/>
    <x v="1"/>
    <s v="No"/>
    <x v="1"/>
    <x v="319"/>
    <x v="3"/>
    <x v="319"/>
    <x v="3"/>
  </r>
  <r>
    <x v="436"/>
    <x v="64"/>
    <x v="1"/>
    <s v="No"/>
    <x v="1"/>
    <x v="319"/>
    <x v="3"/>
    <x v="319"/>
    <x v="3"/>
  </r>
  <r>
    <x v="437"/>
    <x v="64"/>
    <x v="1"/>
    <s v="No"/>
    <x v="1"/>
    <x v="319"/>
    <x v="3"/>
    <x v="319"/>
    <x v="3"/>
  </r>
  <r>
    <x v="438"/>
    <x v="64"/>
    <x v="1"/>
    <s v="No"/>
    <x v="1"/>
    <x v="319"/>
    <x v="3"/>
    <x v="319"/>
    <x v="3"/>
  </r>
  <r>
    <x v="439"/>
    <x v="64"/>
    <x v="1"/>
    <s v="No"/>
    <x v="1"/>
    <x v="319"/>
    <x v="3"/>
    <x v="319"/>
    <x v="3"/>
  </r>
  <r>
    <x v="440"/>
    <x v="64"/>
    <x v="1"/>
    <s v="No"/>
    <x v="1"/>
    <x v="319"/>
    <x v="3"/>
    <x v="319"/>
    <x v="3"/>
  </r>
  <r>
    <x v="441"/>
    <x v="64"/>
    <x v="1"/>
    <s v="No"/>
    <x v="1"/>
    <x v="319"/>
    <x v="3"/>
    <x v="319"/>
    <x v="3"/>
  </r>
  <r>
    <x v="442"/>
    <x v="64"/>
    <x v="1"/>
    <s v="No"/>
    <x v="1"/>
    <x v="319"/>
    <x v="3"/>
    <x v="319"/>
    <x v="3"/>
  </r>
  <r>
    <x v="443"/>
    <x v="64"/>
    <x v="1"/>
    <s v="No"/>
    <x v="1"/>
    <x v="319"/>
    <x v="3"/>
    <x v="319"/>
    <x v="3"/>
  </r>
  <r>
    <x v="444"/>
    <x v="64"/>
    <x v="1"/>
    <s v="No"/>
    <x v="1"/>
    <x v="319"/>
    <x v="3"/>
    <x v="319"/>
    <x v="3"/>
  </r>
  <r>
    <x v="445"/>
    <x v="64"/>
    <x v="1"/>
    <s v="No"/>
    <x v="1"/>
    <x v="319"/>
    <x v="3"/>
    <x v="319"/>
    <x v="3"/>
  </r>
  <r>
    <x v="446"/>
    <x v="64"/>
    <x v="1"/>
    <s v="No"/>
    <x v="1"/>
    <x v="319"/>
    <x v="3"/>
    <x v="319"/>
    <x v="3"/>
  </r>
  <r>
    <x v="447"/>
    <x v="64"/>
    <x v="1"/>
    <s v="No"/>
    <x v="1"/>
    <x v="319"/>
    <x v="3"/>
    <x v="319"/>
    <x v="3"/>
  </r>
  <r>
    <x v="448"/>
    <x v="64"/>
    <x v="1"/>
    <s v="No"/>
    <x v="1"/>
    <x v="319"/>
    <x v="3"/>
    <x v="319"/>
    <x v="3"/>
  </r>
  <r>
    <x v="449"/>
    <x v="64"/>
    <x v="1"/>
    <s v="No"/>
    <x v="1"/>
    <x v="319"/>
    <x v="3"/>
    <x v="319"/>
    <x v="3"/>
  </r>
  <r>
    <x v="450"/>
    <x v="64"/>
    <x v="1"/>
    <s v="No"/>
    <x v="1"/>
    <x v="319"/>
    <x v="3"/>
    <x v="319"/>
    <x v="3"/>
  </r>
  <r>
    <x v="451"/>
    <x v="64"/>
    <x v="1"/>
    <s v="No"/>
    <x v="1"/>
    <x v="319"/>
    <x v="3"/>
    <x v="319"/>
    <x v="3"/>
  </r>
  <r>
    <x v="452"/>
    <x v="64"/>
    <x v="1"/>
    <s v="No"/>
    <x v="1"/>
    <x v="319"/>
    <x v="3"/>
    <x v="319"/>
    <x v="3"/>
  </r>
  <r>
    <x v="453"/>
    <x v="64"/>
    <x v="1"/>
    <s v="No"/>
    <x v="1"/>
    <x v="319"/>
    <x v="3"/>
    <x v="319"/>
    <x v="3"/>
  </r>
  <r>
    <x v="454"/>
    <x v="64"/>
    <x v="1"/>
    <s v="No"/>
    <x v="1"/>
    <x v="319"/>
    <x v="3"/>
    <x v="319"/>
    <x v="3"/>
  </r>
  <r>
    <x v="455"/>
    <x v="64"/>
    <x v="1"/>
    <s v="No"/>
    <x v="1"/>
    <x v="319"/>
    <x v="3"/>
    <x v="319"/>
    <x v="3"/>
  </r>
  <r>
    <x v="456"/>
    <x v="64"/>
    <x v="1"/>
    <s v="No"/>
    <x v="1"/>
    <x v="319"/>
    <x v="3"/>
    <x v="319"/>
    <x v="3"/>
  </r>
  <r>
    <x v="457"/>
    <x v="64"/>
    <x v="1"/>
    <s v="No"/>
    <x v="1"/>
    <x v="319"/>
    <x v="3"/>
    <x v="319"/>
    <x v="3"/>
  </r>
  <r>
    <x v="458"/>
    <x v="64"/>
    <x v="1"/>
    <s v="No"/>
    <x v="1"/>
    <x v="319"/>
    <x v="3"/>
    <x v="319"/>
    <x v="3"/>
  </r>
  <r>
    <x v="459"/>
    <x v="64"/>
    <x v="1"/>
    <s v="No"/>
    <x v="1"/>
    <x v="319"/>
    <x v="3"/>
    <x v="319"/>
    <x v="3"/>
  </r>
  <r>
    <x v="460"/>
    <x v="64"/>
    <x v="1"/>
    <s v="No"/>
    <x v="1"/>
    <x v="319"/>
    <x v="3"/>
    <x v="319"/>
    <x v="3"/>
  </r>
  <r>
    <x v="461"/>
    <x v="64"/>
    <x v="1"/>
    <s v="No"/>
    <x v="1"/>
    <x v="319"/>
    <x v="3"/>
    <x v="319"/>
    <x v="3"/>
  </r>
  <r>
    <x v="462"/>
    <x v="64"/>
    <x v="1"/>
    <s v="No"/>
    <x v="1"/>
    <x v="319"/>
    <x v="3"/>
    <x v="319"/>
    <x v="3"/>
  </r>
  <r>
    <x v="463"/>
    <x v="64"/>
    <x v="1"/>
    <s v="No"/>
    <x v="1"/>
    <x v="319"/>
    <x v="3"/>
    <x v="319"/>
    <x v="3"/>
  </r>
  <r>
    <x v="464"/>
    <x v="64"/>
    <x v="1"/>
    <s v="No"/>
    <x v="1"/>
    <x v="319"/>
    <x v="3"/>
    <x v="319"/>
    <x v="3"/>
  </r>
  <r>
    <x v="465"/>
    <x v="64"/>
    <x v="1"/>
    <s v="No"/>
    <x v="1"/>
    <x v="319"/>
    <x v="3"/>
    <x v="319"/>
    <x v="3"/>
  </r>
  <r>
    <x v="466"/>
    <x v="64"/>
    <x v="1"/>
    <s v="No"/>
    <x v="1"/>
    <x v="319"/>
    <x v="3"/>
    <x v="319"/>
    <x v="3"/>
  </r>
  <r>
    <x v="467"/>
    <x v="64"/>
    <x v="1"/>
    <s v="No"/>
    <x v="1"/>
    <x v="319"/>
    <x v="3"/>
    <x v="319"/>
    <x v="3"/>
  </r>
  <r>
    <x v="468"/>
    <x v="64"/>
    <x v="1"/>
    <s v="No"/>
    <x v="1"/>
    <x v="319"/>
    <x v="3"/>
    <x v="319"/>
    <x v="3"/>
  </r>
  <r>
    <x v="469"/>
    <x v="64"/>
    <x v="1"/>
    <s v="No"/>
    <x v="1"/>
    <x v="319"/>
    <x v="3"/>
    <x v="319"/>
    <x v="3"/>
  </r>
  <r>
    <x v="470"/>
    <x v="64"/>
    <x v="1"/>
    <s v="No"/>
    <x v="1"/>
    <x v="319"/>
    <x v="3"/>
    <x v="319"/>
    <x v="3"/>
  </r>
  <r>
    <x v="471"/>
    <x v="64"/>
    <x v="1"/>
    <s v="No"/>
    <x v="1"/>
    <x v="319"/>
    <x v="3"/>
    <x v="319"/>
    <x v="3"/>
  </r>
  <r>
    <x v="472"/>
    <x v="64"/>
    <x v="1"/>
    <s v="No"/>
    <x v="1"/>
    <x v="319"/>
    <x v="3"/>
    <x v="319"/>
    <x v="3"/>
  </r>
  <r>
    <x v="473"/>
    <x v="64"/>
    <x v="1"/>
    <s v="No"/>
    <x v="1"/>
    <x v="319"/>
    <x v="3"/>
    <x v="319"/>
    <x v="3"/>
  </r>
  <r>
    <x v="474"/>
    <x v="64"/>
    <x v="1"/>
    <s v="No"/>
    <x v="1"/>
    <x v="319"/>
    <x v="3"/>
    <x v="319"/>
    <x v="3"/>
  </r>
  <r>
    <x v="475"/>
    <x v="64"/>
    <x v="1"/>
    <s v="No"/>
    <x v="1"/>
    <x v="319"/>
    <x v="3"/>
    <x v="319"/>
    <x v="3"/>
  </r>
  <r>
    <x v="476"/>
    <x v="64"/>
    <x v="1"/>
    <s v="No"/>
    <x v="1"/>
    <x v="319"/>
    <x v="3"/>
    <x v="319"/>
    <x v="3"/>
  </r>
  <r>
    <x v="477"/>
    <x v="64"/>
    <x v="1"/>
    <s v="No"/>
    <x v="1"/>
    <x v="319"/>
    <x v="3"/>
    <x v="319"/>
    <x v="3"/>
  </r>
  <r>
    <x v="478"/>
    <x v="64"/>
    <x v="1"/>
    <s v="No"/>
    <x v="1"/>
    <x v="319"/>
    <x v="3"/>
    <x v="319"/>
    <x v="3"/>
  </r>
  <r>
    <x v="479"/>
    <x v="64"/>
    <x v="1"/>
    <s v="No"/>
    <x v="1"/>
    <x v="319"/>
    <x v="3"/>
    <x v="319"/>
    <x v="3"/>
  </r>
  <r>
    <x v="480"/>
    <x v="64"/>
    <x v="1"/>
    <s v="No"/>
    <x v="1"/>
    <x v="319"/>
    <x v="3"/>
    <x v="319"/>
    <x v="3"/>
  </r>
  <r>
    <x v="481"/>
    <x v="64"/>
    <x v="1"/>
    <s v="No"/>
    <x v="1"/>
    <x v="319"/>
    <x v="3"/>
    <x v="319"/>
    <x v="3"/>
  </r>
  <r>
    <x v="482"/>
    <x v="64"/>
    <x v="1"/>
    <s v="No"/>
    <x v="1"/>
    <x v="319"/>
    <x v="3"/>
    <x v="319"/>
    <x v="3"/>
  </r>
  <r>
    <x v="483"/>
    <x v="64"/>
    <x v="1"/>
    <s v="No"/>
    <x v="1"/>
    <x v="319"/>
    <x v="3"/>
    <x v="319"/>
    <x v="3"/>
  </r>
  <r>
    <x v="484"/>
    <x v="64"/>
    <x v="1"/>
    <s v="No"/>
    <x v="1"/>
    <x v="319"/>
    <x v="3"/>
    <x v="319"/>
    <x v="3"/>
  </r>
  <r>
    <x v="485"/>
    <x v="64"/>
    <x v="1"/>
    <s v="No"/>
    <x v="1"/>
    <x v="319"/>
    <x v="3"/>
    <x v="319"/>
    <x v="3"/>
  </r>
  <r>
    <x v="486"/>
    <x v="64"/>
    <x v="1"/>
    <s v="No"/>
    <x v="1"/>
    <x v="319"/>
    <x v="3"/>
    <x v="319"/>
    <x v="3"/>
  </r>
  <r>
    <x v="487"/>
    <x v="64"/>
    <x v="1"/>
    <s v="No"/>
    <x v="1"/>
    <x v="319"/>
    <x v="3"/>
    <x v="319"/>
    <x v="3"/>
  </r>
  <r>
    <x v="488"/>
    <x v="64"/>
    <x v="1"/>
    <s v="No"/>
    <x v="1"/>
    <x v="319"/>
    <x v="3"/>
    <x v="319"/>
    <x v="3"/>
  </r>
  <r>
    <x v="489"/>
    <x v="64"/>
    <x v="1"/>
    <s v="No"/>
    <x v="1"/>
    <x v="319"/>
    <x v="3"/>
    <x v="319"/>
    <x v="3"/>
  </r>
  <r>
    <x v="490"/>
    <x v="64"/>
    <x v="1"/>
    <s v="No"/>
    <x v="1"/>
    <x v="319"/>
    <x v="3"/>
    <x v="319"/>
    <x v="3"/>
  </r>
  <r>
    <x v="491"/>
    <x v="64"/>
    <x v="1"/>
    <s v="No"/>
    <x v="1"/>
    <x v="319"/>
    <x v="3"/>
    <x v="319"/>
    <x v="3"/>
  </r>
  <r>
    <x v="492"/>
    <x v="64"/>
    <x v="1"/>
    <s v="No"/>
    <x v="1"/>
    <x v="319"/>
    <x v="3"/>
    <x v="319"/>
    <x v="3"/>
  </r>
  <r>
    <x v="493"/>
    <x v="64"/>
    <x v="1"/>
    <s v="No"/>
    <x v="1"/>
    <x v="319"/>
    <x v="3"/>
    <x v="319"/>
    <x v="3"/>
  </r>
  <r>
    <x v="494"/>
    <x v="64"/>
    <x v="1"/>
    <s v="No"/>
    <x v="1"/>
    <x v="319"/>
    <x v="3"/>
    <x v="319"/>
    <x v="3"/>
  </r>
  <r>
    <x v="495"/>
    <x v="64"/>
    <x v="1"/>
    <s v="No"/>
    <x v="1"/>
    <x v="319"/>
    <x v="3"/>
    <x v="319"/>
    <x v="3"/>
  </r>
  <r>
    <x v="496"/>
    <x v="64"/>
    <x v="1"/>
    <s v="No"/>
    <x v="1"/>
    <x v="319"/>
    <x v="3"/>
    <x v="319"/>
    <x v="3"/>
  </r>
  <r>
    <x v="497"/>
    <x v="64"/>
    <x v="1"/>
    <s v="No"/>
    <x v="1"/>
    <x v="319"/>
    <x v="3"/>
    <x v="319"/>
    <x v="3"/>
  </r>
  <r>
    <x v="498"/>
    <x v="64"/>
    <x v="1"/>
    <s v="No"/>
    <x v="1"/>
    <x v="319"/>
    <x v="3"/>
    <x v="319"/>
    <x v="3"/>
  </r>
  <r>
    <x v="499"/>
    <x v="64"/>
    <x v="1"/>
    <s v="No"/>
    <x v="1"/>
    <x v="319"/>
    <x v="3"/>
    <x v="319"/>
    <x v="3"/>
  </r>
  <r>
    <x v="500"/>
    <x v="64"/>
    <x v="1"/>
    <s v="No"/>
    <x v="1"/>
    <x v="319"/>
    <x v="3"/>
    <x v="319"/>
    <x v="3"/>
  </r>
  <r>
    <x v="501"/>
    <x v="64"/>
    <x v="1"/>
    <s v="No"/>
    <x v="1"/>
    <x v="319"/>
    <x v="3"/>
    <x v="319"/>
    <x v="3"/>
  </r>
  <r>
    <x v="502"/>
    <x v="64"/>
    <x v="1"/>
    <s v="No"/>
    <x v="1"/>
    <x v="319"/>
    <x v="3"/>
    <x v="319"/>
    <x v="3"/>
  </r>
  <r>
    <x v="503"/>
    <x v="64"/>
    <x v="1"/>
    <s v="No"/>
    <x v="1"/>
    <x v="319"/>
    <x v="3"/>
    <x v="319"/>
    <x v="3"/>
  </r>
  <r>
    <x v="504"/>
    <x v="64"/>
    <x v="1"/>
    <s v="No"/>
    <x v="1"/>
    <x v="319"/>
    <x v="3"/>
    <x v="319"/>
    <x v="3"/>
  </r>
  <r>
    <x v="505"/>
    <x v="64"/>
    <x v="1"/>
    <s v="No"/>
    <x v="1"/>
    <x v="319"/>
    <x v="3"/>
    <x v="319"/>
    <x v="3"/>
  </r>
  <r>
    <x v="506"/>
    <x v="64"/>
    <x v="1"/>
    <s v="No"/>
    <x v="1"/>
    <x v="319"/>
    <x v="3"/>
    <x v="319"/>
    <x v="3"/>
  </r>
  <r>
    <x v="507"/>
    <x v="64"/>
    <x v="1"/>
    <s v="No"/>
    <x v="1"/>
    <x v="319"/>
    <x v="3"/>
    <x v="319"/>
    <x v="3"/>
  </r>
  <r>
    <x v="508"/>
    <x v="64"/>
    <x v="1"/>
    <s v="No"/>
    <x v="1"/>
    <x v="319"/>
    <x v="3"/>
    <x v="319"/>
    <x v="3"/>
  </r>
  <r>
    <x v="509"/>
    <x v="64"/>
    <x v="1"/>
    <s v="No"/>
    <x v="1"/>
    <x v="319"/>
    <x v="3"/>
    <x v="319"/>
    <x v="3"/>
  </r>
  <r>
    <x v="510"/>
    <x v="64"/>
    <x v="1"/>
    <s v="No"/>
    <x v="1"/>
    <x v="319"/>
    <x v="3"/>
    <x v="319"/>
    <x v="3"/>
  </r>
  <r>
    <x v="511"/>
    <x v="64"/>
    <x v="1"/>
    <s v="No"/>
    <x v="1"/>
    <x v="319"/>
    <x v="3"/>
    <x v="319"/>
    <x v="3"/>
  </r>
  <r>
    <x v="512"/>
    <x v="64"/>
    <x v="1"/>
    <s v="No"/>
    <x v="1"/>
    <x v="319"/>
    <x v="3"/>
    <x v="319"/>
    <x v="3"/>
  </r>
  <r>
    <x v="513"/>
    <x v="64"/>
    <x v="1"/>
    <s v="No"/>
    <x v="1"/>
    <x v="319"/>
    <x v="3"/>
    <x v="319"/>
    <x v="3"/>
  </r>
  <r>
    <x v="514"/>
    <x v="64"/>
    <x v="1"/>
    <s v="No"/>
    <x v="1"/>
    <x v="319"/>
    <x v="3"/>
    <x v="319"/>
    <x v="3"/>
  </r>
  <r>
    <x v="515"/>
    <x v="64"/>
    <x v="1"/>
    <s v="No"/>
    <x v="1"/>
    <x v="319"/>
    <x v="3"/>
    <x v="319"/>
    <x v="3"/>
  </r>
  <r>
    <x v="516"/>
    <x v="64"/>
    <x v="1"/>
    <s v="No"/>
    <x v="1"/>
    <x v="319"/>
    <x v="3"/>
    <x v="319"/>
    <x v="3"/>
  </r>
  <r>
    <x v="517"/>
    <x v="64"/>
    <x v="1"/>
    <s v="No"/>
    <x v="1"/>
    <x v="319"/>
    <x v="3"/>
    <x v="319"/>
    <x v="3"/>
  </r>
  <r>
    <x v="518"/>
    <x v="64"/>
    <x v="1"/>
    <s v="No"/>
    <x v="1"/>
    <x v="319"/>
    <x v="3"/>
    <x v="319"/>
    <x v="3"/>
  </r>
  <r>
    <x v="519"/>
    <x v="64"/>
    <x v="1"/>
    <s v="No"/>
    <x v="1"/>
    <x v="319"/>
    <x v="3"/>
    <x v="319"/>
    <x v="3"/>
  </r>
  <r>
    <x v="520"/>
    <x v="64"/>
    <x v="1"/>
    <s v="No"/>
    <x v="1"/>
    <x v="319"/>
    <x v="3"/>
    <x v="319"/>
    <x v="3"/>
  </r>
  <r>
    <x v="521"/>
    <x v="64"/>
    <x v="1"/>
    <s v="No"/>
    <x v="1"/>
    <x v="319"/>
    <x v="3"/>
    <x v="319"/>
    <x v="3"/>
  </r>
  <r>
    <x v="522"/>
    <x v="64"/>
    <x v="1"/>
    <s v="No"/>
    <x v="1"/>
    <x v="319"/>
    <x v="3"/>
    <x v="319"/>
    <x v="3"/>
  </r>
  <r>
    <x v="523"/>
    <x v="64"/>
    <x v="1"/>
    <s v="No"/>
    <x v="1"/>
    <x v="319"/>
    <x v="3"/>
    <x v="319"/>
    <x v="3"/>
  </r>
  <r>
    <x v="524"/>
    <x v="64"/>
    <x v="1"/>
    <s v="No"/>
    <x v="1"/>
    <x v="319"/>
    <x v="3"/>
    <x v="319"/>
    <x v="3"/>
  </r>
  <r>
    <x v="525"/>
    <x v="64"/>
    <x v="1"/>
    <s v="No"/>
    <x v="1"/>
    <x v="319"/>
    <x v="3"/>
    <x v="319"/>
    <x v="3"/>
  </r>
  <r>
    <x v="526"/>
    <x v="64"/>
    <x v="1"/>
    <s v="No"/>
    <x v="1"/>
    <x v="319"/>
    <x v="3"/>
    <x v="319"/>
    <x v="3"/>
  </r>
  <r>
    <x v="527"/>
    <x v="64"/>
    <x v="1"/>
    <s v="No"/>
    <x v="1"/>
    <x v="319"/>
    <x v="3"/>
    <x v="319"/>
    <x v="3"/>
  </r>
  <r>
    <x v="528"/>
    <x v="64"/>
    <x v="1"/>
    <s v="No"/>
    <x v="1"/>
    <x v="319"/>
    <x v="3"/>
    <x v="319"/>
    <x v="3"/>
  </r>
  <r>
    <x v="529"/>
    <x v="64"/>
    <x v="1"/>
    <s v="No"/>
    <x v="1"/>
    <x v="319"/>
    <x v="3"/>
    <x v="319"/>
    <x v="3"/>
  </r>
  <r>
    <x v="530"/>
    <x v="64"/>
    <x v="1"/>
    <s v="No"/>
    <x v="1"/>
    <x v="319"/>
    <x v="3"/>
    <x v="319"/>
    <x v="3"/>
  </r>
  <r>
    <x v="531"/>
    <x v="64"/>
    <x v="1"/>
    <s v="No"/>
    <x v="1"/>
    <x v="319"/>
    <x v="3"/>
    <x v="319"/>
    <x v="3"/>
  </r>
  <r>
    <x v="532"/>
    <x v="64"/>
    <x v="1"/>
    <s v="No"/>
    <x v="1"/>
    <x v="319"/>
    <x v="3"/>
    <x v="319"/>
    <x v="3"/>
  </r>
  <r>
    <x v="533"/>
    <x v="64"/>
    <x v="1"/>
    <s v="No"/>
    <x v="1"/>
    <x v="319"/>
    <x v="3"/>
    <x v="319"/>
    <x v="3"/>
  </r>
  <r>
    <x v="534"/>
    <x v="64"/>
    <x v="1"/>
    <s v="No"/>
    <x v="1"/>
    <x v="319"/>
    <x v="3"/>
    <x v="319"/>
    <x v="3"/>
  </r>
  <r>
    <x v="535"/>
    <x v="64"/>
    <x v="1"/>
    <s v="No"/>
    <x v="1"/>
    <x v="319"/>
    <x v="3"/>
    <x v="319"/>
    <x v="3"/>
  </r>
  <r>
    <x v="536"/>
    <x v="64"/>
    <x v="1"/>
    <s v="No"/>
    <x v="1"/>
    <x v="319"/>
    <x v="3"/>
    <x v="319"/>
    <x v="3"/>
  </r>
  <r>
    <x v="537"/>
    <x v="64"/>
    <x v="1"/>
    <s v="No"/>
    <x v="1"/>
    <x v="319"/>
    <x v="3"/>
    <x v="319"/>
    <x v="3"/>
  </r>
  <r>
    <x v="538"/>
    <x v="64"/>
    <x v="1"/>
    <s v="No"/>
    <x v="1"/>
    <x v="319"/>
    <x v="3"/>
    <x v="319"/>
    <x v="3"/>
  </r>
  <r>
    <x v="539"/>
    <x v="64"/>
    <x v="1"/>
    <s v="No"/>
    <x v="1"/>
    <x v="319"/>
    <x v="3"/>
    <x v="319"/>
    <x v="3"/>
  </r>
  <r>
    <x v="540"/>
    <x v="64"/>
    <x v="1"/>
    <s v="No"/>
    <x v="1"/>
    <x v="319"/>
    <x v="3"/>
    <x v="319"/>
    <x v="3"/>
  </r>
  <r>
    <x v="541"/>
    <x v="64"/>
    <x v="1"/>
    <s v="No"/>
    <x v="1"/>
    <x v="319"/>
    <x v="3"/>
    <x v="319"/>
    <x v="3"/>
  </r>
  <r>
    <x v="542"/>
    <x v="64"/>
    <x v="1"/>
    <s v="No"/>
    <x v="1"/>
    <x v="319"/>
    <x v="3"/>
    <x v="319"/>
    <x v="3"/>
  </r>
  <r>
    <x v="543"/>
    <x v="64"/>
    <x v="1"/>
    <s v="No"/>
    <x v="1"/>
    <x v="319"/>
    <x v="3"/>
    <x v="319"/>
    <x v="3"/>
  </r>
  <r>
    <x v="544"/>
    <x v="64"/>
    <x v="1"/>
    <s v="No"/>
    <x v="1"/>
    <x v="319"/>
    <x v="3"/>
    <x v="319"/>
    <x v="3"/>
  </r>
  <r>
    <x v="545"/>
    <x v="64"/>
    <x v="1"/>
    <s v="No"/>
    <x v="1"/>
    <x v="319"/>
    <x v="3"/>
    <x v="319"/>
    <x v="3"/>
  </r>
  <r>
    <x v="546"/>
    <x v="64"/>
    <x v="1"/>
    <s v="No"/>
    <x v="1"/>
    <x v="319"/>
    <x v="3"/>
    <x v="319"/>
    <x v="3"/>
  </r>
  <r>
    <x v="547"/>
    <x v="64"/>
    <x v="1"/>
    <s v="No"/>
    <x v="1"/>
    <x v="319"/>
    <x v="3"/>
    <x v="319"/>
    <x v="3"/>
  </r>
  <r>
    <x v="548"/>
    <x v="64"/>
    <x v="1"/>
    <s v="No"/>
    <x v="1"/>
    <x v="319"/>
    <x v="3"/>
    <x v="319"/>
    <x v="3"/>
  </r>
  <r>
    <x v="549"/>
    <x v="64"/>
    <x v="1"/>
    <s v="No"/>
    <x v="1"/>
    <x v="319"/>
    <x v="3"/>
    <x v="319"/>
    <x v="3"/>
  </r>
  <r>
    <x v="550"/>
    <x v="64"/>
    <x v="1"/>
    <s v="No"/>
    <x v="1"/>
    <x v="319"/>
    <x v="3"/>
    <x v="319"/>
    <x v="3"/>
  </r>
  <r>
    <x v="551"/>
    <x v="64"/>
    <x v="1"/>
    <s v="No"/>
    <x v="1"/>
    <x v="319"/>
    <x v="3"/>
    <x v="319"/>
    <x v="3"/>
  </r>
  <r>
    <x v="552"/>
    <x v="64"/>
    <x v="1"/>
    <s v="No"/>
    <x v="1"/>
    <x v="319"/>
    <x v="3"/>
    <x v="319"/>
    <x v="3"/>
  </r>
  <r>
    <x v="553"/>
    <x v="64"/>
    <x v="1"/>
    <s v="No"/>
    <x v="1"/>
    <x v="319"/>
    <x v="3"/>
    <x v="319"/>
    <x v="3"/>
  </r>
  <r>
    <x v="554"/>
    <x v="64"/>
    <x v="1"/>
    <s v="No"/>
    <x v="1"/>
    <x v="319"/>
    <x v="3"/>
    <x v="319"/>
    <x v="3"/>
  </r>
  <r>
    <x v="555"/>
    <x v="64"/>
    <x v="1"/>
    <s v="No"/>
    <x v="1"/>
    <x v="319"/>
    <x v="3"/>
    <x v="319"/>
    <x v="3"/>
  </r>
  <r>
    <x v="556"/>
    <x v="64"/>
    <x v="1"/>
    <s v="No"/>
    <x v="1"/>
    <x v="319"/>
    <x v="3"/>
    <x v="319"/>
    <x v="3"/>
  </r>
  <r>
    <x v="557"/>
    <x v="64"/>
    <x v="1"/>
    <s v="No"/>
    <x v="1"/>
    <x v="319"/>
    <x v="3"/>
    <x v="319"/>
    <x v="3"/>
  </r>
  <r>
    <x v="558"/>
    <x v="64"/>
    <x v="1"/>
    <s v="No"/>
    <x v="1"/>
    <x v="319"/>
    <x v="3"/>
    <x v="319"/>
    <x v="3"/>
  </r>
  <r>
    <x v="559"/>
    <x v="64"/>
    <x v="1"/>
    <s v="No"/>
    <x v="1"/>
    <x v="319"/>
    <x v="3"/>
    <x v="319"/>
    <x v="3"/>
  </r>
  <r>
    <x v="560"/>
    <x v="64"/>
    <x v="1"/>
    <s v="No"/>
    <x v="1"/>
    <x v="319"/>
    <x v="3"/>
    <x v="319"/>
    <x v="3"/>
  </r>
  <r>
    <x v="561"/>
    <x v="64"/>
    <x v="1"/>
    <s v="No"/>
    <x v="1"/>
    <x v="319"/>
    <x v="3"/>
    <x v="319"/>
    <x v="3"/>
  </r>
  <r>
    <x v="562"/>
    <x v="64"/>
    <x v="1"/>
    <s v="No"/>
    <x v="1"/>
    <x v="319"/>
    <x v="3"/>
    <x v="319"/>
    <x v="3"/>
  </r>
  <r>
    <x v="563"/>
    <x v="64"/>
    <x v="1"/>
    <s v="No"/>
    <x v="1"/>
    <x v="319"/>
    <x v="3"/>
    <x v="319"/>
    <x v="3"/>
  </r>
  <r>
    <x v="564"/>
    <x v="64"/>
    <x v="1"/>
    <s v="No"/>
    <x v="1"/>
    <x v="319"/>
    <x v="3"/>
    <x v="319"/>
    <x v="3"/>
  </r>
  <r>
    <x v="565"/>
    <x v="64"/>
    <x v="1"/>
    <s v="No"/>
    <x v="1"/>
    <x v="319"/>
    <x v="3"/>
    <x v="319"/>
    <x v="3"/>
  </r>
  <r>
    <x v="566"/>
    <x v="64"/>
    <x v="1"/>
    <s v="No"/>
    <x v="1"/>
    <x v="319"/>
    <x v="3"/>
    <x v="319"/>
    <x v="3"/>
  </r>
  <r>
    <x v="567"/>
    <x v="64"/>
    <x v="1"/>
    <s v="No"/>
    <x v="1"/>
    <x v="319"/>
    <x v="3"/>
    <x v="319"/>
    <x v="3"/>
  </r>
  <r>
    <x v="568"/>
    <x v="64"/>
    <x v="1"/>
    <s v="No"/>
    <x v="1"/>
    <x v="319"/>
    <x v="3"/>
    <x v="319"/>
    <x v="3"/>
  </r>
  <r>
    <x v="569"/>
    <x v="64"/>
    <x v="1"/>
    <s v="No"/>
    <x v="1"/>
    <x v="319"/>
    <x v="3"/>
    <x v="319"/>
    <x v="3"/>
  </r>
  <r>
    <x v="570"/>
    <x v="64"/>
    <x v="1"/>
    <s v="No"/>
    <x v="1"/>
    <x v="319"/>
    <x v="3"/>
    <x v="319"/>
    <x v="3"/>
  </r>
  <r>
    <x v="571"/>
    <x v="64"/>
    <x v="1"/>
    <s v="No"/>
    <x v="1"/>
    <x v="319"/>
    <x v="3"/>
    <x v="319"/>
    <x v="3"/>
  </r>
  <r>
    <x v="572"/>
    <x v="64"/>
    <x v="1"/>
    <s v="No"/>
    <x v="1"/>
    <x v="319"/>
    <x v="3"/>
    <x v="319"/>
    <x v="3"/>
  </r>
  <r>
    <x v="573"/>
    <x v="64"/>
    <x v="1"/>
    <s v="No"/>
    <x v="1"/>
    <x v="319"/>
    <x v="3"/>
    <x v="319"/>
    <x v="3"/>
  </r>
  <r>
    <x v="574"/>
    <x v="64"/>
    <x v="1"/>
    <s v="No"/>
    <x v="1"/>
    <x v="319"/>
    <x v="3"/>
    <x v="319"/>
    <x v="3"/>
  </r>
  <r>
    <x v="575"/>
    <x v="64"/>
    <x v="1"/>
    <s v="No"/>
    <x v="1"/>
    <x v="319"/>
    <x v="3"/>
    <x v="319"/>
    <x v="3"/>
  </r>
  <r>
    <x v="576"/>
    <x v="64"/>
    <x v="1"/>
    <s v="No"/>
    <x v="1"/>
    <x v="319"/>
    <x v="3"/>
    <x v="319"/>
    <x v="3"/>
  </r>
  <r>
    <x v="577"/>
    <x v="64"/>
    <x v="1"/>
    <s v="No"/>
    <x v="1"/>
    <x v="319"/>
    <x v="3"/>
    <x v="319"/>
    <x v="3"/>
  </r>
  <r>
    <x v="578"/>
    <x v="64"/>
    <x v="1"/>
    <s v="No"/>
    <x v="1"/>
    <x v="319"/>
    <x v="3"/>
    <x v="319"/>
    <x v="3"/>
  </r>
  <r>
    <x v="579"/>
    <x v="64"/>
    <x v="1"/>
    <s v="No"/>
    <x v="1"/>
    <x v="319"/>
    <x v="3"/>
    <x v="319"/>
    <x v="3"/>
  </r>
  <r>
    <x v="580"/>
    <x v="64"/>
    <x v="1"/>
    <s v="No"/>
    <x v="1"/>
    <x v="319"/>
    <x v="3"/>
    <x v="319"/>
    <x v="3"/>
  </r>
  <r>
    <x v="581"/>
    <x v="64"/>
    <x v="1"/>
    <s v="No"/>
    <x v="1"/>
    <x v="319"/>
    <x v="3"/>
    <x v="319"/>
    <x v="3"/>
  </r>
  <r>
    <x v="582"/>
    <x v="64"/>
    <x v="1"/>
    <s v="No"/>
    <x v="1"/>
    <x v="319"/>
    <x v="3"/>
    <x v="319"/>
    <x v="3"/>
  </r>
  <r>
    <x v="583"/>
    <x v="64"/>
    <x v="1"/>
    <s v="No"/>
    <x v="1"/>
    <x v="319"/>
    <x v="3"/>
    <x v="319"/>
    <x v="3"/>
  </r>
  <r>
    <x v="584"/>
    <x v="64"/>
    <x v="1"/>
    <s v="No"/>
    <x v="1"/>
    <x v="319"/>
    <x v="3"/>
    <x v="319"/>
    <x v="3"/>
  </r>
  <r>
    <x v="585"/>
    <x v="64"/>
    <x v="1"/>
    <s v="No"/>
    <x v="1"/>
    <x v="319"/>
    <x v="3"/>
    <x v="319"/>
    <x v="3"/>
  </r>
  <r>
    <x v="586"/>
    <x v="64"/>
    <x v="1"/>
    <s v="No"/>
    <x v="1"/>
    <x v="319"/>
    <x v="3"/>
    <x v="319"/>
    <x v="3"/>
  </r>
  <r>
    <x v="587"/>
    <x v="64"/>
    <x v="1"/>
    <s v="No"/>
    <x v="1"/>
    <x v="319"/>
    <x v="3"/>
    <x v="319"/>
    <x v="3"/>
  </r>
  <r>
    <x v="588"/>
    <x v="64"/>
    <x v="1"/>
    <s v="No"/>
    <x v="1"/>
    <x v="319"/>
    <x v="3"/>
    <x v="319"/>
    <x v="3"/>
  </r>
  <r>
    <x v="589"/>
    <x v="64"/>
    <x v="1"/>
    <s v="No"/>
    <x v="1"/>
    <x v="319"/>
    <x v="3"/>
    <x v="319"/>
    <x v="3"/>
  </r>
  <r>
    <x v="590"/>
    <x v="64"/>
    <x v="1"/>
    <s v="No"/>
    <x v="1"/>
    <x v="319"/>
    <x v="3"/>
    <x v="319"/>
    <x v="3"/>
  </r>
  <r>
    <x v="591"/>
    <x v="64"/>
    <x v="1"/>
    <s v="No"/>
    <x v="1"/>
    <x v="319"/>
    <x v="3"/>
    <x v="319"/>
    <x v="3"/>
  </r>
  <r>
    <x v="592"/>
    <x v="64"/>
    <x v="1"/>
    <s v="No"/>
    <x v="1"/>
    <x v="319"/>
    <x v="3"/>
    <x v="319"/>
    <x v="3"/>
  </r>
  <r>
    <x v="593"/>
    <x v="64"/>
    <x v="1"/>
    <s v="No"/>
    <x v="1"/>
    <x v="319"/>
    <x v="3"/>
    <x v="319"/>
    <x v="3"/>
  </r>
  <r>
    <x v="594"/>
    <x v="64"/>
    <x v="1"/>
    <s v="No"/>
    <x v="1"/>
    <x v="319"/>
    <x v="3"/>
    <x v="319"/>
    <x v="3"/>
  </r>
  <r>
    <x v="595"/>
    <x v="64"/>
    <x v="1"/>
    <s v="No"/>
    <x v="1"/>
    <x v="319"/>
    <x v="3"/>
    <x v="319"/>
    <x v="3"/>
  </r>
  <r>
    <x v="596"/>
    <x v="64"/>
    <x v="1"/>
    <s v="No"/>
    <x v="1"/>
    <x v="319"/>
    <x v="3"/>
    <x v="319"/>
    <x v="3"/>
  </r>
  <r>
    <x v="597"/>
    <x v="64"/>
    <x v="1"/>
    <s v="No"/>
    <x v="1"/>
    <x v="319"/>
    <x v="3"/>
    <x v="319"/>
    <x v="3"/>
  </r>
  <r>
    <x v="598"/>
    <x v="64"/>
    <x v="1"/>
    <s v="No"/>
    <x v="1"/>
    <x v="319"/>
    <x v="3"/>
    <x v="319"/>
    <x v="3"/>
  </r>
  <r>
    <x v="599"/>
    <x v="64"/>
    <x v="1"/>
    <s v="No"/>
    <x v="1"/>
    <x v="319"/>
    <x v="3"/>
    <x v="319"/>
    <x v="3"/>
  </r>
  <r>
    <x v="600"/>
    <x v="64"/>
    <x v="1"/>
    <s v="No"/>
    <x v="1"/>
    <x v="319"/>
    <x v="3"/>
    <x v="319"/>
    <x v="3"/>
  </r>
  <r>
    <x v="601"/>
    <x v="64"/>
    <x v="1"/>
    <s v="No"/>
    <x v="1"/>
    <x v="319"/>
    <x v="3"/>
    <x v="319"/>
    <x v="3"/>
  </r>
  <r>
    <x v="602"/>
    <x v="64"/>
    <x v="1"/>
    <s v="No"/>
    <x v="1"/>
    <x v="319"/>
    <x v="3"/>
    <x v="319"/>
    <x v="3"/>
  </r>
  <r>
    <x v="603"/>
    <x v="64"/>
    <x v="1"/>
    <s v="No"/>
    <x v="1"/>
    <x v="319"/>
    <x v="3"/>
    <x v="319"/>
    <x v="3"/>
  </r>
  <r>
    <x v="604"/>
    <x v="64"/>
    <x v="1"/>
    <s v="No"/>
    <x v="1"/>
    <x v="319"/>
    <x v="3"/>
    <x v="319"/>
    <x v="3"/>
  </r>
  <r>
    <x v="605"/>
    <x v="64"/>
    <x v="1"/>
    <s v="No"/>
    <x v="1"/>
    <x v="319"/>
    <x v="3"/>
    <x v="319"/>
    <x v="3"/>
  </r>
  <r>
    <x v="606"/>
    <x v="64"/>
    <x v="1"/>
    <s v="No"/>
    <x v="1"/>
    <x v="319"/>
    <x v="3"/>
    <x v="319"/>
    <x v="3"/>
  </r>
  <r>
    <x v="607"/>
    <x v="64"/>
    <x v="1"/>
    <s v="No"/>
    <x v="1"/>
    <x v="319"/>
    <x v="3"/>
    <x v="319"/>
    <x v="3"/>
  </r>
  <r>
    <x v="608"/>
    <x v="64"/>
    <x v="1"/>
    <s v="No"/>
    <x v="1"/>
    <x v="319"/>
    <x v="3"/>
    <x v="319"/>
    <x v="3"/>
  </r>
  <r>
    <x v="609"/>
    <x v="64"/>
    <x v="1"/>
    <s v="No"/>
    <x v="1"/>
    <x v="319"/>
    <x v="3"/>
    <x v="319"/>
    <x v="3"/>
  </r>
  <r>
    <x v="610"/>
    <x v="64"/>
    <x v="1"/>
    <s v="No"/>
    <x v="1"/>
    <x v="319"/>
    <x v="3"/>
    <x v="319"/>
    <x v="3"/>
  </r>
  <r>
    <x v="611"/>
    <x v="64"/>
    <x v="1"/>
    <s v="No"/>
    <x v="1"/>
    <x v="319"/>
    <x v="3"/>
    <x v="319"/>
    <x v="3"/>
  </r>
  <r>
    <x v="612"/>
    <x v="64"/>
    <x v="1"/>
    <s v="No"/>
    <x v="1"/>
    <x v="319"/>
    <x v="3"/>
    <x v="319"/>
    <x v="3"/>
  </r>
  <r>
    <x v="613"/>
    <x v="64"/>
    <x v="1"/>
    <s v="No"/>
    <x v="1"/>
    <x v="319"/>
    <x v="3"/>
    <x v="319"/>
    <x v="3"/>
  </r>
  <r>
    <x v="614"/>
    <x v="64"/>
    <x v="1"/>
    <s v="No"/>
    <x v="1"/>
    <x v="319"/>
    <x v="3"/>
    <x v="319"/>
    <x v="3"/>
  </r>
  <r>
    <x v="615"/>
    <x v="64"/>
    <x v="1"/>
    <s v="No"/>
    <x v="1"/>
    <x v="319"/>
    <x v="3"/>
    <x v="319"/>
    <x v="3"/>
  </r>
  <r>
    <x v="616"/>
    <x v="64"/>
    <x v="1"/>
    <s v="No"/>
    <x v="1"/>
    <x v="319"/>
    <x v="3"/>
    <x v="319"/>
    <x v="3"/>
  </r>
  <r>
    <x v="617"/>
    <x v="64"/>
    <x v="1"/>
    <s v="No"/>
    <x v="1"/>
    <x v="319"/>
    <x v="3"/>
    <x v="319"/>
    <x v="3"/>
  </r>
  <r>
    <x v="618"/>
    <x v="64"/>
    <x v="1"/>
    <s v="No"/>
    <x v="1"/>
    <x v="319"/>
    <x v="3"/>
    <x v="319"/>
    <x v="3"/>
  </r>
  <r>
    <x v="619"/>
    <x v="64"/>
    <x v="1"/>
    <s v="No"/>
    <x v="1"/>
    <x v="319"/>
    <x v="3"/>
    <x v="319"/>
    <x v="3"/>
  </r>
  <r>
    <x v="620"/>
    <x v="64"/>
    <x v="1"/>
    <s v="No"/>
    <x v="1"/>
    <x v="319"/>
    <x v="3"/>
    <x v="319"/>
    <x v="3"/>
  </r>
  <r>
    <x v="621"/>
    <x v="64"/>
    <x v="1"/>
    <s v="No"/>
    <x v="1"/>
    <x v="319"/>
    <x v="3"/>
    <x v="319"/>
    <x v="3"/>
  </r>
  <r>
    <x v="622"/>
    <x v="64"/>
    <x v="1"/>
    <s v="No"/>
    <x v="1"/>
    <x v="319"/>
    <x v="3"/>
    <x v="319"/>
    <x v="3"/>
  </r>
  <r>
    <x v="623"/>
    <x v="64"/>
    <x v="1"/>
    <s v="No"/>
    <x v="1"/>
    <x v="319"/>
    <x v="3"/>
    <x v="319"/>
    <x v="3"/>
  </r>
  <r>
    <x v="624"/>
    <x v="64"/>
    <x v="1"/>
    <s v="No"/>
    <x v="1"/>
    <x v="319"/>
    <x v="3"/>
    <x v="319"/>
    <x v="3"/>
  </r>
  <r>
    <x v="625"/>
    <x v="64"/>
    <x v="1"/>
    <s v="No"/>
    <x v="1"/>
    <x v="319"/>
    <x v="3"/>
    <x v="319"/>
    <x v="3"/>
  </r>
  <r>
    <x v="626"/>
    <x v="64"/>
    <x v="1"/>
    <s v="No"/>
    <x v="1"/>
    <x v="319"/>
    <x v="3"/>
    <x v="319"/>
    <x v="3"/>
  </r>
  <r>
    <x v="627"/>
    <x v="64"/>
    <x v="1"/>
    <s v="No"/>
    <x v="1"/>
    <x v="319"/>
    <x v="3"/>
    <x v="319"/>
    <x v="3"/>
  </r>
  <r>
    <x v="628"/>
    <x v="64"/>
    <x v="1"/>
    <s v="No"/>
    <x v="1"/>
    <x v="319"/>
    <x v="3"/>
    <x v="319"/>
    <x v="3"/>
  </r>
  <r>
    <x v="629"/>
    <x v="64"/>
    <x v="1"/>
    <s v="No"/>
    <x v="1"/>
    <x v="319"/>
    <x v="3"/>
    <x v="319"/>
    <x v="3"/>
  </r>
  <r>
    <x v="630"/>
    <x v="64"/>
    <x v="1"/>
    <s v="No"/>
    <x v="1"/>
    <x v="319"/>
    <x v="3"/>
    <x v="319"/>
    <x v="3"/>
  </r>
  <r>
    <x v="631"/>
    <x v="64"/>
    <x v="1"/>
    <s v="No"/>
    <x v="1"/>
    <x v="319"/>
    <x v="3"/>
    <x v="319"/>
    <x v="3"/>
  </r>
  <r>
    <x v="632"/>
    <x v="64"/>
    <x v="1"/>
    <s v="No"/>
    <x v="1"/>
    <x v="319"/>
    <x v="3"/>
    <x v="319"/>
    <x v="3"/>
  </r>
  <r>
    <x v="633"/>
    <x v="64"/>
    <x v="1"/>
    <s v="No"/>
    <x v="1"/>
    <x v="319"/>
    <x v="3"/>
    <x v="319"/>
    <x v="3"/>
  </r>
  <r>
    <x v="634"/>
    <x v="64"/>
    <x v="1"/>
    <s v="No"/>
    <x v="1"/>
    <x v="319"/>
    <x v="3"/>
    <x v="319"/>
    <x v="3"/>
  </r>
  <r>
    <x v="635"/>
    <x v="64"/>
    <x v="1"/>
    <s v="No"/>
    <x v="1"/>
    <x v="319"/>
    <x v="3"/>
    <x v="319"/>
    <x v="3"/>
  </r>
  <r>
    <x v="636"/>
    <x v="64"/>
    <x v="1"/>
    <s v="No"/>
    <x v="1"/>
    <x v="319"/>
    <x v="3"/>
    <x v="319"/>
    <x v="3"/>
  </r>
  <r>
    <x v="637"/>
    <x v="64"/>
    <x v="1"/>
    <s v="No"/>
    <x v="1"/>
    <x v="319"/>
    <x v="3"/>
    <x v="319"/>
    <x v="3"/>
  </r>
  <r>
    <x v="638"/>
    <x v="64"/>
    <x v="1"/>
    <s v="No"/>
    <x v="1"/>
    <x v="319"/>
    <x v="3"/>
    <x v="319"/>
    <x v="3"/>
  </r>
  <r>
    <x v="639"/>
    <x v="64"/>
    <x v="1"/>
    <s v="No"/>
    <x v="1"/>
    <x v="319"/>
    <x v="3"/>
    <x v="319"/>
    <x v="3"/>
  </r>
  <r>
    <x v="640"/>
    <x v="64"/>
    <x v="1"/>
    <s v="No"/>
    <x v="1"/>
    <x v="319"/>
    <x v="3"/>
    <x v="319"/>
    <x v="3"/>
  </r>
  <r>
    <x v="641"/>
    <x v="64"/>
    <x v="1"/>
    <s v="No"/>
    <x v="1"/>
    <x v="319"/>
    <x v="3"/>
    <x v="319"/>
    <x v="3"/>
  </r>
  <r>
    <x v="642"/>
    <x v="64"/>
    <x v="1"/>
    <s v="No"/>
    <x v="1"/>
    <x v="319"/>
    <x v="3"/>
    <x v="319"/>
    <x v="3"/>
  </r>
  <r>
    <x v="643"/>
    <x v="64"/>
    <x v="1"/>
    <s v="No"/>
    <x v="1"/>
    <x v="319"/>
    <x v="3"/>
    <x v="319"/>
    <x v="3"/>
  </r>
  <r>
    <x v="644"/>
    <x v="64"/>
    <x v="1"/>
    <s v="No"/>
    <x v="1"/>
    <x v="319"/>
    <x v="3"/>
    <x v="319"/>
    <x v="3"/>
  </r>
  <r>
    <x v="645"/>
    <x v="64"/>
    <x v="1"/>
    <s v="No"/>
    <x v="1"/>
    <x v="319"/>
    <x v="3"/>
    <x v="319"/>
    <x v="3"/>
  </r>
  <r>
    <x v="646"/>
    <x v="64"/>
    <x v="1"/>
    <s v="No"/>
    <x v="1"/>
    <x v="319"/>
    <x v="3"/>
    <x v="319"/>
    <x v="3"/>
  </r>
  <r>
    <x v="647"/>
    <x v="64"/>
    <x v="1"/>
    <s v="No"/>
    <x v="1"/>
    <x v="319"/>
    <x v="3"/>
    <x v="319"/>
    <x v="3"/>
  </r>
  <r>
    <x v="648"/>
    <x v="64"/>
    <x v="1"/>
    <s v="No"/>
    <x v="1"/>
    <x v="319"/>
    <x v="3"/>
    <x v="319"/>
    <x v="3"/>
  </r>
  <r>
    <x v="649"/>
    <x v="64"/>
    <x v="1"/>
    <s v="No"/>
    <x v="1"/>
    <x v="319"/>
    <x v="3"/>
    <x v="319"/>
    <x v="3"/>
  </r>
  <r>
    <x v="650"/>
    <x v="64"/>
    <x v="1"/>
    <s v="No"/>
    <x v="1"/>
    <x v="319"/>
    <x v="3"/>
    <x v="319"/>
    <x v="3"/>
  </r>
  <r>
    <x v="651"/>
    <x v="64"/>
    <x v="1"/>
    <s v="No"/>
    <x v="1"/>
    <x v="319"/>
    <x v="3"/>
    <x v="319"/>
    <x v="3"/>
  </r>
  <r>
    <x v="652"/>
    <x v="64"/>
    <x v="1"/>
    <s v="No"/>
    <x v="1"/>
    <x v="319"/>
    <x v="3"/>
    <x v="319"/>
    <x v="3"/>
  </r>
  <r>
    <x v="653"/>
    <x v="64"/>
    <x v="1"/>
    <s v="No"/>
    <x v="1"/>
    <x v="319"/>
    <x v="3"/>
    <x v="319"/>
    <x v="3"/>
  </r>
  <r>
    <x v="654"/>
    <x v="64"/>
    <x v="1"/>
    <s v="No"/>
    <x v="1"/>
    <x v="319"/>
    <x v="3"/>
    <x v="319"/>
    <x v="3"/>
  </r>
  <r>
    <x v="655"/>
    <x v="64"/>
    <x v="1"/>
    <s v="No"/>
    <x v="1"/>
    <x v="319"/>
    <x v="3"/>
    <x v="319"/>
    <x v="3"/>
  </r>
  <r>
    <x v="656"/>
    <x v="64"/>
    <x v="1"/>
    <s v="No"/>
    <x v="1"/>
    <x v="319"/>
    <x v="3"/>
    <x v="319"/>
    <x v="3"/>
  </r>
  <r>
    <x v="657"/>
    <x v="64"/>
    <x v="1"/>
    <s v="No"/>
    <x v="1"/>
    <x v="319"/>
    <x v="3"/>
    <x v="319"/>
    <x v="3"/>
  </r>
  <r>
    <x v="658"/>
    <x v="64"/>
    <x v="1"/>
    <s v="No"/>
    <x v="1"/>
    <x v="319"/>
    <x v="3"/>
    <x v="319"/>
    <x v="3"/>
  </r>
  <r>
    <x v="659"/>
    <x v="64"/>
    <x v="1"/>
    <s v="No"/>
    <x v="1"/>
    <x v="319"/>
    <x v="3"/>
    <x v="319"/>
    <x v="3"/>
  </r>
  <r>
    <x v="660"/>
    <x v="64"/>
    <x v="1"/>
    <s v="No"/>
    <x v="1"/>
    <x v="319"/>
    <x v="3"/>
    <x v="319"/>
    <x v="3"/>
  </r>
  <r>
    <x v="661"/>
    <x v="64"/>
    <x v="1"/>
    <s v="No"/>
    <x v="1"/>
    <x v="319"/>
    <x v="3"/>
    <x v="319"/>
    <x v="3"/>
  </r>
  <r>
    <x v="662"/>
    <x v="64"/>
    <x v="1"/>
    <s v="No"/>
    <x v="1"/>
    <x v="319"/>
    <x v="3"/>
    <x v="319"/>
    <x v="3"/>
  </r>
  <r>
    <x v="663"/>
    <x v="64"/>
    <x v="1"/>
    <s v="No"/>
    <x v="1"/>
    <x v="319"/>
    <x v="3"/>
    <x v="319"/>
    <x v="3"/>
  </r>
  <r>
    <x v="664"/>
    <x v="64"/>
    <x v="1"/>
    <s v="No"/>
    <x v="1"/>
    <x v="319"/>
    <x v="3"/>
    <x v="319"/>
    <x v="3"/>
  </r>
  <r>
    <x v="665"/>
    <x v="64"/>
    <x v="1"/>
    <s v="No"/>
    <x v="1"/>
    <x v="319"/>
    <x v="3"/>
    <x v="319"/>
    <x v="3"/>
  </r>
  <r>
    <x v="666"/>
    <x v="64"/>
    <x v="1"/>
    <s v="No"/>
    <x v="1"/>
    <x v="319"/>
    <x v="3"/>
    <x v="319"/>
    <x v="3"/>
  </r>
  <r>
    <x v="667"/>
    <x v="64"/>
    <x v="1"/>
    <s v="No"/>
    <x v="1"/>
    <x v="319"/>
    <x v="3"/>
    <x v="319"/>
    <x v="3"/>
  </r>
  <r>
    <x v="668"/>
    <x v="64"/>
    <x v="1"/>
    <s v="No"/>
    <x v="1"/>
    <x v="319"/>
    <x v="3"/>
    <x v="319"/>
    <x v="3"/>
  </r>
  <r>
    <x v="669"/>
    <x v="64"/>
    <x v="1"/>
    <s v="No"/>
    <x v="1"/>
    <x v="319"/>
    <x v="3"/>
    <x v="319"/>
    <x v="3"/>
  </r>
  <r>
    <x v="670"/>
    <x v="64"/>
    <x v="1"/>
    <s v="No"/>
    <x v="1"/>
    <x v="319"/>
    <x v="3"/>
    <x v="319"/>
    <x v="3"/>
  </r>
  <r>
    <x v="671"/>
    <x v="64"/>
    <x v="1"/>
    <s v="No"/>
    <x v="1"/>
    <x v="319"/>
    <x v="3"/>
    <x v="319"/>
    <x v="3"/>
  </r>
  <r>
    <x v="672"/>
    <x v="64"/>
    <x v="1"/>
    <s v="No"/>
    <x v="1"/>
    <x v="319"/>
    <x v="3"/>
    <x v="319"/>
    <x v="3"/>
  </r>
  <r>
    <x v="673"/>
    <x v="64"/>
    <x v="1"/>
    <s v="No"/>
    <x v="1"/>
    <x v="319"/>
    <x v="3"/>
    <x v="319"/>
    <x v="3"/>
  </r>
  <r>
    <x v="674"/>
    <x v="64"/>
    <x v="1"/>
    <s v="No"/>
    <x v="1"/>
    <x v="319"/>
    <x v="3"/>
    <x v="319"/>
    <x v="3"/>
  </r>
  <r>
    <x v="675"/>
    <x v="64"/>
    <x v="1"/>
    <s v="No"/>
    <x v="1"/>
    <x v="319"/>
    <x v="3"/>
    <x v="319"/>
    <x v="3"/>
  </r>
  <r>
    <x v="676"/>
    <x v="64"/>
    <x v="1"/>
    <s v="No"/>
    <x v="1"/>
    <x v="319"/>
    <x v="3"/>
    <x v="319"/>
    <x v="3"/>
  </r>
  <r>
    <x v="677"/>
    <x v="64"/>
    <x v="1"/>
    <s v="No"/>
    <x v="1"/>
    <x v="319"/>
    <x v="3"/>
    <x v="319"/>
    <x v="3"/>
  </r>
  <r>
    <x v="678"/>
    <x v="64"/>
    <x v="1"/>
    <s v="No"/>
    <x v="1"/>
    <x v="319"/>
    <x v="3"/>
    <x v="319"/>
    <x v="3"/>
  </r>
  <r>
    <x v="679"/>
    <x v="64"/>
    <x v="1"/>
    <s v="No"/>
    <x v="1"/>
    <x v="319"/>
    <x v="3"/>
    <x v="319"/>
    <x v="3"/>
  </r>
  <r>
    <x v="680"/>
    <x v="64"/>
    <x v="1"/>
    <s v="No"/>
    <x v="1"/>
    <x v="319"/>
    <x v="3"/>
    <x v="319"/>
    <x v="3"/>
  </r>
  <r>
    <x v="681"/>
    <x v="64"/>
    <x v="1"/>
    <s v="No"/>
    <x v="1"/>
    <x v="319"/>
    <x v="3"/>
    <x v="319"/>
    <x v="3"/>
  </r>
  <r>
    <x v="682"/>
    <x v="64"/>
    <x v="1"/>
    <s v="No"/>
    <x v="1"/>
    <x v="319"/>
    <x v="3"/>
    <x v="319"/>
    <x v="3"/>
  </r>
  <r>
    <x v="683"/>
    <x v="64"/>
    <x v="1"/>
    <s v="No"/>
    <x v="1"/>
    <x v="319"/>
    <x v="3"/>
    <x v="319"/>
    <x v="3"/>
  </r>
  <r>
    <x v="684"/>
    <x v="64"/>
    <x v="1"/>
    <s v="No"/>
    <x v="1"/>
    <x v="319"/>
    <x v="3"/>
    <x v="319"/>
    <x v="3"/>
  </r>
  <r>
    <x v="685"/>
    <x v="64"/>
    <x v="1"/>
    <s v="No"/>
    <x v="1"/>
    <x v="319"/>
    <x v="3"/>
    <x v="319"/>
    <x v="3"/>
  </r>
  <r>
    <x v="686"/>
    <x v="64"/>
    <x v="1"/>
    <s v="No"/>
    <x v="1"/>
    <x v="319"/>
    <x v="3"/>
    <x v="319"/>
    <x v="3"/>
  </r>
  <r>
    <x v="687"/>
    <x v="64"/>
    <x v="1"/>
    <s v="No"/>
    <x v="1"/>
    <x v="319"/>
    <x v="3"/>
    <x v="319"/>
    <x v="3"/>
  </r>
  <r>
    <x v="688"/>
    <x v="64"/>
    <x v="1"/>
    <s v="No"/>
    <x v="1"/>
    <x v="319"/>
    <x v="3"/>
    <x v="319"/>
    <x v="3"/>
  </r>
  <r>
    <x v="689"/>
    <x v="64"/>
    <x v="1"/>
    <s v="No"/>
    <x v="1"/>
    <x v="319"/>
    <x v="3"/>
    <x v="319"/>
    <x v="3"/>
  </r>
  <r>
    <x v="690"/>
    <x v="64"/>
    <x v="1"/>
    <s v="No"/>
    <x v="1"/>
    <x v="319"/>
    <x v="3"/>
    <x v="319"/>
    <x v="3"/>
  </r>
  <r>
    <x v="691"/>
    <x v="64"/>
    <x v="1"/>
    <s v="No"/>
    <x v="1"/>
    <x v="319"/>
    <x v="3"/>
    <x v="319"/>
    <x v="3"/>
  </r>
  <r>
    <x v="692"/>
    <x v="64"/>
    <x v="1"/>
    <s v="No"/>
    <x v="1"/>
    <x v="319"/>
    <x v="3"/>
    <x v="319"/>
    <x v="3"/>
  </r>
  <r>
    <x v="693"/>
    <x v="64"/>
    <x v="1"/>
    <s v="No"/>
    <x v="1"/>
    <x v="319"/>
    <x v="3"/>
    <x v="319"/>
    <x v="3"/>
  </r>
  <r>
    <x v="694"/>
    <x v="64"/>
    <x v="1"/>
    <s v="No"/>
    <x v="1"/>
    <x v="319"/>
    <x v="3"/>
    <x v="319"/>
    <x v="3"/>
  </r>
  <r>
    <x v="695"/>
    <x v="64"/>
    <x v="1"/>
    <s v="No"/>
    <x v="1"/>
    <x v="319"/>
    <x v="3"/>
    <x v="319"/>
    <x v="3"/>
  </r>
  <r>
    <x v="696"/>
    <x v="64"/>
    <x v="1"/>
    <s v="No"/>
    <x v="1"/>
    <x v="319"/>
    <x v="3"/>
    <x v="319"/>
    <x v="3"/>
  </r>
  <r>
    <x v="697"/>
    <x v="64"/>
    <x v="1"/>
    <s v="No"/>
    <x v="1"/>
    <x v="319"/>
    <x v="3"/>
    <x v="319"/>
    <x v="3"/>
  </r>
  <r>
    <x v="698"/>
    <x v="64"/>
    <x v="1"/>
    <s v="No"/>
    <x v="1"/>
    <x v="319"/>
    <x v="3"/>
    <x v="319"/>
    <x v="3"/>
  </r>
  <r>
    <x v="699"/>
    <x v="64"/>
    <x v="1"/>
    <s v="No"/>
    <x v="1"/>
    <x v="319"/>
    <x v="3"/>
    <x v="319"/>
    <x v="3"/>
  </r>
  <r>
    <x v="700"/>
    <x v="64"/>
    <x v="1"/>
    <s v="No"/>
    <x v="1"/>
    <x v="319"/>
    <x v="3"/>
    <x v="319"/>
    <x v="3"/>
  </r>
  <r>
    <x v="701"/>
    <x v="64"/>
    <x v="1"/>
    <s v="No"/>
    <x v="1"/>
    <x v="319"/>
    <x v="3"/>
    <x v="319"/>
    <x v="3"/>
  </r>
  <r>
    <x v="702"/>
    <x v="64"/>
    <x v="1"/>
    <s v="No"/>
    <x v="1"/>
    <x v="319"/>
    <x v="3"/>
    <x v="319"/>
    <x v="3"/>
  </r>
  <r>
    <x v="703"/>
    <x v="64"/>
    <x v="1"/>
    <s v="No"/>
    <x v="1"/>
    <x v="319"/>
    <x v="3"/>
    <x v="319"/>
    <x v="3"/>
  </r>
  <r>
    <x v="704"/>
    <x v="64"/>
    <x v="1"/>
    <s v="No"/>
    <x v="1"/>
    <x v="319"/>
    <x v="3"/>
    <x v="319"/>
    <x v="3"/>
  </r>
  <r>
    <x v="705"/>
    <x v="64"/>
    <x v="1"/>
    <s v="No"/>
    <x v="1"/>
    <x v="319"/>
    <x v="3"/>
    <x v="319"/>
    <x v="3"/>
  </r>
  <r>
    <x v="706"/>
    <x v="64"/>
    <x v="1"/>
    <s v="No"/>
    <x v="1"/>
    <x v="319"/>
    <x v="3"/>
    <x v="319"/>
    <x v="3"/>
  </r>
  <r>
    <x v="707"/>
    <x v="64"/>
    <x v="1"/>
    <s v="No"/>
    <x v="1"/>
    <x v="319"/>
    <x v="3"/>
    <x v="319"/>
    <x v="3"/>
  </r>
  <r>
    <x v="708"/>
    <x v="64"/>
    <x v="1"/>
    <s v="No"/>
    <x v="1"/>
    <x v="319"/>
    <x v="3"/>
    <x v="319"/>
    <x v="3"/>
  </r>
  <r>
    <x v="709"/>
    <x v="64"/>
    <x v="1"/>
    <s v="No"/>
    <x v="1"/>
    <x v="319"/>
    <x v="3"/>
    <x v="319"/>
    <x v="3"/>
  </r>
  <r>
    <x v="710"/>
    <x v="64"/>
    <x v="1"/>
    <s v="No"/>
    <x v="1"/>
    <x v="319"/>
    <x v="3"/>
    <x v="319"/>
    <x v="3"/>
  </r>
  <r>
    <x v="711"/>
    <x v="64"/>
    <x v="1"/>
    <s v="No"/>
    <x v="1"/>
    <x v="319"/>
    <x v="3"/>
    <x v="319"/>
    <x v="3"/>
  </r>
  <r>
    <x v="712"/>
    <x v="64"/>
    <x v="1"/>
    <s v="No"/>
    <x v="1"/>
    <x v="319"/>
    <x v="3"/>
    <x v="319"/>
    <x v="3"/>
  </r>
  <r>
    <x v="713"/>
    <x v="64"/>
    <x v="1"/>
    <s v="No"/>
    <x v="1"/>
    <x v="319"/>
    <x v="3"/>
    <x v="319"/>
    <x v="3"/>
  </r>
  <r>
    <x v="714"/>
    <x v="64"/>
    <x v="1"/>
    <s v="No"/>
    <x v="1"/>
    <x v="319"/>
    <x v="3"/>
    <x v="319"/>
    <x v="3"/>
  </r>
  <r>
    <x v="715"/>
    <x v="64"/>
    <x v="1"/>
    <s v="No"/>
    <x v="1"/>
    <x v="319"/>
    <x v="3"/>
    <x v="319"/>
    <x v="3"/>
  </r>
  <r>
    <x v="716"/>
    <x v="64"/>
    <x v="1"/>
    <s v="No"/>
    <x v="1"/>
    <x v="319"/>
    <x v="3"/>
    <x v="319"/>
    <x v="3"/>
  </r>
  <r>
    <x v="717"/>
    <x v="64"/>
    <x v="1"/>
    <s v="No"/>
    <x v="1"/>
    <x v="319"/>
    <x v="3"/>
    <x v="319"/>
    <x v="3"/>
  </r>
  <r>
    <x v="718"/>
    <x v="64"/>
    <x v="1"/>
    <s v="No"/>
    <x v="1"/>
    <x v="319"/>
    <x v="3"/>
    <x v="319"/>
    <x v="3"/>
  </r>
  <r>
    <x v="719"/>
    <x v="64"/>
    <x v="1"/>
    <s v="No"/>
    <x v="1"/>
    <x v="319"/>
    <x v="3"/>
    <x v="319"/>
    <x v="3"/>
  </r>
  <r>
    <x v="720"/>
    <x v="64"/>
    <x v="1"/>
    <s v="No"/>
    <x v="1"/>
    <x v="319"/>
    <x v="3"/>
    <x v="319"/>
    <x v="3"/>
  </r>
  <r>
    <x v="721"/>
    <x v="64"/>
    <x v="1"/>
    <s v="No"/>
    <x v="1"/>
    <x v="319"/>
    <x v="3"/>
    <x v="319"/>
    <x v="3"/>
  </r>
  <r>
    <x v="722"/>
    <x v="64"/>
    <x v="1"/>
    <s v="No"/>
    <x v="1"/>
    <x v="319"/>
    <x v="3"/>
    <x v="319"/>
    <x v="3"/>
  </r>
  <r>
    <x v="723"/>
    <x v="64"/>
    <x v="1"/>
    <s v="No"/>
    <x v="1"/>
    <x v="319"/>
    <x v="3"/>
    <x v="319"/>
    <x v="3"/>
  </r>
  <r>
    <x v="724"/>
    <x v="64"/>
    <x v="1"/>
    <s v="No"/>
    <x v="1"/>
    <x v="319"/>
    <x v="3"/>
    <x v="319"/>
    <x v="3"/>
  </r>
  <r>
    <x v="725"/>
    <x v="64"/>
    <x v="1"/>
    <s v="No"/>
    <x v="1"/>
    <x v="319"/>
    <x v="3"/>
    <x v="319"/>
    <x v="3"/>
  </r>
  <r>
    <x v="726"/>
    <x v="64"/>
    <x v="1"/>
    <s v="No"/>
    <x v="1"/>
    <x v="319"/>
    <x v="3"/>
    <x v="319"/>
    <x v="3"/>
  </r>
  <r>
    <x v="727"/>
    <x v="64"/>
    <x v="1"/>
    <s v="No"/>
    <x v="1"/>
    <x v="319"/>
    <x v="3"/>
    <x v="319"/>
    <x v="3"/>
  </r>
  <r>
    <x v="728"/>
    <x v="64"/>
    <x v="1"/>
    <s v="No"/>
    <x v="1"/>
    <x v="319"/>
    <x v="3"/>
    <x v="319"/>
    <x v="3"/>
  </r>
  <r>
    <x v="729"/>
    <x v="64"/>
    <x v="1"/>
    <s v="No"/>
    <x v="1"/>
    <x v="319"/>
    <x v="3"/>
    <x v="319"/>
    <x v="3"/>
  </r>
  <r>
    <x v="730"/>
    <x v="64"/>
    <x v="1"/>
    <s v="No"/>
    <x v="1"/>
    <x v="319"/>
    <x v="3"/>
    <x v="319"/>
    <x v="3"/>
  </r>
  <r>
    <x v="731"/>
    <x v="64"/>
    <x v="1"/>
    <s v="No"/>
    <x v="1"/>
    <x v="319"/>
    <x v="3"/>
    <x v="319"/>
    <x v="3"/>
  </r>
  <r>
    <x v="732"/>
    <x v="64"/>
    <x v="1"/>
    <s v="No"/>
    <x v="1"/>
    <x v="319"/>
    <x v="3"/>
    <x v="319"/>
    <x v="3"/>
  </r>
  <r>
    <x v="733"/>
    <x v="64"/>
    <x v="1"/>
    <s v="No"/>
    <x v="1"/>
    <x v="319"/>
    <x v="3"/>
    <x v="319"/>
    <x v="3"/>
  </r>
  <r>
    <x v="734"/>
    <x v="64"/>
    <x v="1"/>
    <s v="No"/>
    <x v="1"/>
    <x v="319"/>
    <x v="3"/>
    <x v="319"/>
    <x v="3"/>
  </r>
  <r>
    <x v="735"/>
    <x v="64"/>
    <x v="1"/>
    <s v="No"/>
    <x v="1"/>
    <x v="319"/>
    <x v="3"/>
    <x v="319"/>
    <x v="3"/>
  </r>
  <r>
    <x v="736"/>
    <x v="64"/>
    <x v="1"/>
    <s v="No"/>
    <x v="1"/>
    <x v="319"/>
    <x v="3"/>
    <x v="319"/>
    <x v="3"/>
  </r>
  <r>
    <x v="737"/>
    <x v="64"/>
    <x v="1"/>
    <s v="No"/>
    <x v="1"/>
    <x v="319"/>
    <x v="3"/>
    <x v="319"/>
    <x v="3"/>
  </r>
  <r>
    <x v="738"/>
    <x v="64"/>
    <x v="1"/>
    <s v="No"/>
    <x v="1"/>
    <x v="319"/>
    <x v="3"/>
    <x v="319"/>
    <x v="3"/>
  </r>
  <r>
    <x v="739"/>
    <x v="64"/>
    <x v="1"/>
    <s v="No"/>
    <x v="1"/>
    <x v="319"/>
    <x v="3"/>
    <x v="319"/>
    <x v="3"/>
  </r>
  <r>
    <x v="740"/>
    <x v="64"/>
    <x v="1"/>
    <s v="No"/>
    <x v="1"/>
    <x v="319"/>
    <x v="3"/>
    <x v="319"/>
    <x v="3"/>
  </r>
  <r>
    <x v="741"/>
    <x v="64"/>
    <x v="1"/>
    <s v="No"/>
    <x v="1"/>
    <x v="319"/>
    <x v="3"/>
    <x v="319"/>
    <x v="3"/>
  </r>
  <r>
    <x v="742"/>
    <x v="64"/>
    <x v="1"/>
    <s v="No"/>
    <x v="1"/>
    <x v="319"/>
    <x v="3"/>
    <x v="319"/>
    <x v="3"/>
  </r>
  <r>
    <x v="743"/>
    <x v="64"/>
    <x v="1"/>
    <s v="No"/>
    <x v="1"/>
    <x v="319"/>
    <x v="3"/>
    <x v="319"/>
    <x v="3"/>
  </r>
  <r>
    <x v="744"/>
    <x v="64"/>
    <x v="1"/>
    <s v="No"/>
    <x v="1"/>
    <x v="319"/>
    <x v="3"/>
    <x v="319"/>
    <x v="3"/>
  </r>
  <r>
    <x v="745"/>
    <x v="64"/>
    <x v="1"/>
    <s v="No"/>
    <x v="1"/>
    <x v="319"/>
    <x v="3"/>
    <x v="319"/>
    <x v="3"/>
  </r>
  <r>
    <x v="746"/>
    <x v="64"/>
    <x v="1"/>
    <s v="No"/>
    <x v="1"/>
    <x v="319"/>
    <x v="3"/>
    <x v="319"/>
    <x v="3"/>
  </r>
  <r>
    <x v="747"/>
    <x v="64"/>
    <x v="1"/>
    <s v="No"/>
    <x v="1"/>
    <x v="319"/>
    <x v="3"/>
    <x v="319"/>
    <x v="3"/>
  </r>
  <r>
    <x v="748"/>
    <x v="64"/>
    <x v="1"/>
    <s v="No"/>
    <x v="1"/>
    <x v="319"/>
    <x v="3"/>
    <x v="319"/>
    <x v="3"/>
  </r>
  <r>
    <x v="749"/>
    <x v="64"/>
    <x v="1"/>
    <s v="No"/>
    <x v="1"/>
    <x v="319"/>
    <x v="3"/>
    <x v="319"/>
    <x v="3"/>
  </r>
  <r>
    <x v="750"/>
    <x v="64"/>
    <x v="1"/>
    <s v="No"/>
    <x v="1"/>
    <x v="319"/>
    <x v="3"/>
    <x v="319"/>
    <x v="3"/>
  </r>
  <r>
    <x v="751"/>
    <x v="64"/>
    <x v="1"/>
    <s v="No"/>
    <x v="1"/>
    <x v="319"/>
    <x v="3"/>
    <x v="319"/>
    <x v="3"/>
  </r>
  <r>
    <x v="752"/>
    <x v="64"/>
    <x v="1"/>
    <s v="No"/>
    <x v="1"/>
    <x v="319"/>
    <x v="3"/>
    <x v="319"/>
    <x v="3"/>
  </r>
  <r>
    <x v="753"/>
    <x v="64"/>
    <x v="1"/>
    <s v="No"/>
    <x v="1"/>
    <x v="319"/>
    <x v="3"/>
    <x v="319"/>
    <x v="3"/>
  </r>
  <r>
    <x v="754"/>
    <x v="64"/>
    <x v="1"/>
    <s v="No"/>
    <x v="1"/>
    <x v="319"/>
    <x v="3"/>
    <x v="319"/>
    <x v="3"/>
  </r>
  <r>
    <x v="755"/>
    <x v="64"/>
    <x v="1"/>
    <s v="No"/>
    <x v="1"/>
    <x v="319"/>
    <x v="3"/>
    <x v="319"/>
    <x v="3"/>
  </r>
  <r>
    <x v="756"/>
    <x v="64"/>
    <x v="1"/>
    <s v="No"/>
    <x v="1"/>
    <x v="319"/>
    <x v="3"/>
    <x v="319"/>
    <x v="3"/>
  </r>
  <r>
    <x v="757"/>
    <x v="64"/>
    <x v="1"/>
    <s v="No"/>
    <x v="1"/>
    <x v="319"/>
    <x v="3"/>
    <x v="319"/>
    <x v="3"/>
  </r>
  <r>
    <x v="758"/>
    <x v="64"/>
    <x v="1"/>
    <s v="No"/>
    <x v="1"/>
    <x v="319"/>
    <x v="3"/>
    <x v="319"/>
    <x v="3"/>
  </r>
  <r>
    <x v="759"/>
    <x v="64"/>
    <x v="1"/>
    <s v="No"/>
    <x v="1"/>
    <x v="319"/>
    <x v="3"/>
    <x v="319"/>
    <x v="3"/>
  </r>
  <r>
    <x v="760"/>
    <x v="64"/>
    <x v="1"/>
    <s v="No"/>
    <x v="1"/>
    <x v="319"/>
    <x v="3"/>
    <x v="319"/>
    <x v="3"/>
  </r>
  <r>
    <x v="761"/>
    <x v="64"/>
    <x v="1"/>
    <s v="No"/>
    <x v="1"/>
    <x v="319"/>
    <x v="3"/>
    <x v="319"/>
    <x v="3"/>
  </r>
  <r>
    <x v="762"/>
    <x v="64"/>
    <x v="1"/>
    <s v="No"/>
    <x v="1"/>
    <x v="319"/>
    <x v="3"/>
    <x v="319"/>
    <x v="3"/>
  </r>
  <r>
    <x v="763"/>
    <x v="64"/>
    <x v="1"/>
    <s v="No"/>
    <x v="1"/>
    <x v="319"/>
    <x v="3"/>
    <x v="319"/>
    <x v="3"/>
  </r>
  <r>
    <x v="764"/>
    <x v="64"/>
    <x v="1"/>
    <s v="No"/>
    <x v="1"/>
    <x v="319"/>
    <x v="3"/>
    <x v="319"/>
    <x v="3"/>
  </r>
  <r>
    <x v="765"/>
    <x v="64"/>
    <x v="1"/>
    <s v="No"/>
    <x v="1"/>
    <x v="319"/>
    <x v="3"/>
    <x v="319"/>
    <x v="3"/>
  </r>
  <r>
    <x v="766"/>
    <x v="64"/>
    <x v="1"/>
    <s v="No"/>
    <x v="1"/>
    <x v="319"/>
    <x v="3"/>
    <x v="319"/>
    <x v="3"/>
  </r>
  <r>
    <x v="767"/>
    <x v="64"/>
    <x v="1"/>
    <s v="No"/>
    <x v="1"/>
    <x v="319"/>
    <x v="3"/>
    <x v="319"/>
    <x v="3"/>
  </r>
  <r>
    <x v="768"/>
    <x v="64"/>
    <x v="1"/>
    <s v="No"/>
    <x v="1"/>
    <x v="319"/>
    <x v="3"/>
    <x v="319"/>
    <x v="3"/>
  </r>
  <r>
    <x v="769"/>
    <x v="64"/>
    <x v="1"/>
    <s v="No"/>
    <x v="1"/>
    <x v="319"/>
    <x v="3"/>
    <x v="319"/>
    <x v="3"/>
  </r>
  <r>
    <x v="770"/>
    <x v="64"/>
    <x v="1"/>
    <s v="No"/>
    <x v="1"/>
    <x v="319"/>
    <x v="3"/>
    <x v="319"/>
    <x v="3"/>
  </r>
  <r>
    <x v="771"/>
    <x v="64"/>
    <x v="1"/>
    <s v="No"/>
    <x v="1"/>
    <x v="319"/>
    <x v="3"/>
    <x v="319"/>
    <x v="3"/>
  </r>
  <r>
    <x v="772"/>
    <x v="64"/>
    <x v="1"/>
    <s v="No"/>
    <x v="1"/>
    <x v="319"/>
    <x v="3"/>
    <x v="319"/>
    <x v="3"/>
  </r>
  <r>
    <x v="773"/>
    <x v="64"/>
    <x v="1"/>
    <s v="No"/>
    <x v="1"/>
    <x v="319"/>
    <x v="3"/>
    <x v="319"/>
    <x v="3"/>
  </r>
  <r>
    <x v="774"/>
    <x v="64"/>
    <x v="1"/>
    <s v="No"/>
    <x v="1"/>
    <x v="319"/>
    <x v="3"/>
    <x v="319"/>
    <x v="3"/>
  </r>
  <r>
    <x v="775"/>
    <x v="64"/>
    <x v="1"/>
    <s v="No"/>
    <x v="1"/>
    <x v="319"/>
    <x v="3"/>
    <x v="319"/>
    <x v="3"/>
  </r>
  <r>
    <x v="776"/>
    <x v="64"/>
    <x v="1"/>
    <s v="No"/>
    <x v="1"/>
    <x v="319"/>
    <x v="3"/>
    <x v="319"/>
    <x v="3"/>
  </r>
  <r>
    <x v="777"/>
    <x v="64"/>
    <x v="1"/>
    <s v="No"/>
    <x v="1"/>
    <x v="319"/>
    <x v="3"/>
    <x v="319"/>
    <x v="3"/>
  </r>
  <r>
    <x v="778"/>
    <x v="64"/>
    <x v="1"/>
    <s v="No"/>
    <x v="1"/>
    <x v="319"/>
    <x v="3"/>
    <x v="319"/>
    <x v="3"/>
  </r>
  <r>
    <x v="779"/>
    <x v="64"/>
    <x v="1"/>
    <s v="No"/>
    <x v="1"/>
    <x v="319"/>
    <x v="3"/>
    <x v="319"/>
    <x v="3"/>
  </r>
  <r>
    <x v="780"/>
    <x v="64"/>
    <x v="1"/>
    <s v="No"/>
    <x v="1"/>
    <x v="319"/>
    <x v="3"/>
    <x v="319"/>
    <x v="3"/>
  </r>
  <r>
    <x v="781"/>
    <x v="64"/>
    <x v="1"/>
    <s v="No"/>
    <x v="1"/>
    <x v="319"/>
    <x v="3"/>
    <x v="319"/>
    <x v="3"/>
  </r>
  <r>
    <x v="782"/>
    <x v="64"/>
    <x v="1"/>
    <s v="No"/>
    <x v="1"/>
    <x v="319"/>
    <x v="3"/>
    <x v="319"/>
    <x v="3"/>
  </r>
  <r>
    <x v="783"/>
    <x v="64"/>
    <x v="1"/>
    <s v="No"/>
    <x v="1"/>
    <x v="319"/>
    <x v="3"/>
    <x v="319"/>
    <x v="3"/>
  </r>
  <r>
    <x v="784"/>
    <x v="64"/>
    <x v="1"/>
    <s v="No"/>
    <x v="1"/>
    <x v="319"/>
    <x v="3"/>
    <x v="319"/>
    <x v="3"/>
  </r>
  <r>
    <x v="785"/>
    <x v="64"/>
    <x v="1"/>
    <s v="No"/>
    <x v="1"/>
    <x v="319"/>
    <x v="3"/>
    <x v="319"/>
    <x v="3"/>
  </r>
  <r>
    <x v="786"/>
    <x v="64"/>
    <x v="1"/>
    <s v="No"/>
    <x v="1"/>
    <x v="319"/>
    <x v="3"/>
    <x v="319"/>
    <x v="3"/>
  </r>
  <r>
    <x v="787"/>
    <x v="64"/>
    <x v="1"/>
    <s v="No"/>
    <x v="1"/>
    <x v="319"/>
    <x v="3"/>
    <x v="319"/>
    <x v="3"/>
  </r>
  <r>
    <x v="788"/>
    <x v="64"/>
    <x v="1"/>
    <s v="No"/>
    <x v="1"/>
    <x v="319"/>
    <x v="3"/>
    <x v="319"/>
    <x v="3"/>
  </r>
  <r>
    <x v="789"/>
    <x v="64"/>
    <x v="1"/>
    <s v="No"/>
    <x v="1"/>
    <x v="319"/>
    <x v="3"/>
    <x v="319"/>
    <x v="3"/>
  </r>
  <r>
    <x v="790"/>
    <x v="64"/>
    <x v="1"/>
    <s v="No"/>
    <x v="1"/>
    <x v="319"/>
    <x v="3"/>
    <x v="319"/>
    <x v="3"/>
  </r>
  <r>
    <x v="791"/>
    <x v="64"/>
    <x v="1"/>
    <s v="No"/>
    <x v="1"/>
    <x v="319"/>
    <x v="3"/>
    <x v="319"/>
    <x v="3"/>
  </r>
  <r>
    <x v="792"/>
    <x v="64"/>
    <x v="1"/>
    <s v="No"/>
    <x v="1"/>
    <x v="319"/>
    <x v="3"/>
    <x v="319"/>
    <x v="3"/>
  </r>
  <r>
    <x v="793"/>
    <x v="64"/>
    <x v="1"/>
    <s v="No"/>
    <x v="1"/>
    <x v="319"/>
    <x v="3"/>
    <x v="319"/>
    <x v="3"/>
  </r>
  <r>
    <x v="794"/>
    <x v="64"/>
    <x v="1"/>
    <s v="No"/>
    <x v="1"/>
    <x v="319"/>
    <x v="3"/>
    <x v="319"/>
    <x v="3"/>
  </r>
  <r>
    <x v="795"/>
    <x v="64"/>
    <x v="1"/>
    <s v="No"/>
    <x v="1"/>
    <x v="319"/>
    <x v="3"/>
    <x v="319"/>
    <x v="3"/>
  </r>
  <r>
    <x v="796"/>
    <x v="64"/>
    <x v="1"/>
    <s v="No"/>
    <x v="1"/>
    <x v="319"/>
    <x v="3"/>
    <x v="319"/>
    <x v="3"/>
  </r>
  <r>
    <x v="797"/>
    <x v="64"/>
    <x v="1"/>
    <s v="No"/>
    <x v="1"/>
    <x v="319"/>
    <x v="3"/>
    <x v="319"/>
    <x v="3"/>
  </r>
  <r>
    <x v="798"/>
    <x v="64"/>
    <x v="1"/>
    <s v="No"/>
    <x v="1"/>
    <x v="319"/>
    <x v="3"/>
    <x v="319"/>
    <x v="3"/>
  </r>
  <r>
    <x v="799"/>
    <x v="64"/>
    <x v="1"/>
    <s v="No"/>
    <x v="1"/>
    <x v="319"/>
    <x v="3"/>
    <x v="319"/>
    <x v="3"/>
  </r>
  <r>
    <x v="800"/>
    <x v="64"/>
    <x v="1"/>
    <s v="No"/>
    <x v="1"/>
    <x v="319"/>
    <x v="3"/>
    <x v="319"/>
    <x v="3"/>
  </r>
  <r>
    <x v="801"/>
    <x v="64"/>
    <x v="1"/>
    <s v="No"/>
    <x v="1"/>
    <x v="319"/>
    <x v="3"/>
    <x v="319"/>
    <x v="3"/>
  </r>
  <r>
    <x v="802"/>
    <x v="64"/>
    <x v="1"/>
    <s v="No"/>
    <x v="1"/>
    <x v="319"/>
    <x v="3"/>
    <x v="319"/>
    <x v="3"/>
  </r>
  <r>
    <x v="803"/>
    <x v="64"/>
    <x v="1"/>
    <s v="No"/>
    <x v="1"/>
    <x v="319"/>
    <x v="3"/>
    <x v="319"/>
    <x v="3"/>
  </r>
  <r>
    <x v="804"/>
    <x v="64"/>
    <x v="1"/>
    <s v="No"/>
    <x v="1"/>
    <x v="319"/>
    <x v="3"/>
    <x v="319"/>
    <x v="3"/>
  </r>
  <r>
    <x v="805"/>
    <x v="64"/>
    <x v="1"/>
    <s v="No"/>
    <x v="1"/>
    <x v="319"/>
    <x v="3"/>
    <x v="319"/>
    <x v="3"/>
  </r>
  <r>
    <x v="806"/>
    <x v="64"/>
    <x v="1"/>
    <s v="No"/>
    <x v="1"/>
    <x v="319"/>
    <x v="3"/>
    <x v="319"/>
    <x v="3"/>
  </r>
  <r>
    <x v="807"/>
    <x v="64"/>
    <x v="1"/>
    <s v="No"/>
    <x v="1"/>
    <x v="319"/>
    <x v="3"/>
    <x v="319"/>
    <x v="3"/>
  </r>
  <r>
    <x v="808"/>
    <x v="64"/>
    <x v="1"/>
    <s v="No"/>
    <x v="1"/>
    <x v="319"/>
    <x v="3"/>
    <x v="319"/>
    <x v="3"/>
  </r>
  <r>
    <x v="809"/>
    <x v="64"/>
    <x v="1"/>
    <s v="No"/>
    <x v="1"/>
    <x v="319"/>
    <x v="3"/>
    <x v="319"/>
    <x v="3"/>
  </r>
  <r>
    <x v="810"/>
    <x v="64"/>
    <x v="1"/>
    <s v="No"/>
    <x v="1"/>
    <x v="319"/>
    <x v="3"/>
    <x v="319"/>
    <x v="3"/>
  </r>
  <r>
    <x v="811"/>
    <x v="64"/>
    <x v="1"/>
    <s v="No"/>
    <x v="1"/>
    <x v="319"/>
    <x v="3"/>
    <x v="319"/>
    <x v="3"/>
  </r>
  <r>
    <x v="812"/>
    <x v="64"/>
    <x v="1"/>
    <s v="No"/>
    <x v="1"/>
    <x v="319"/>
    <x v="3"/>
    <x v="319"/>
    <x v="3"/>
  </r>
  <r>
    <x v="813"/>
    <x v="64"/>
    <x v="1"/>
    <s v="No"/>
    <x v="1"/>
    <x v="319"/>
    <x v="3"/>
    <x v="319"/>
    <x v="3"/>
  </r>
  <r>
    <x v="814"/>
    <x v="64"/>
    <x v="1"/>
    <s v="No"/>
    <x v="1"/>
    <x v="319"/>
    <x v="3"/>
    <x v="319"/>
    <x v="3"/>
  </r>
  <r>
    <x v="815"/>
    <x v="64"/>
    <x v="1"/>
    <s v="No"/>
    <x v="1"/>
    <x v="319"/>
    <x v="3"/>
    <x v="319"/>
    <x v="3"/>
  </r>
  <r>
    <x v="816"/>
    <x v="64"/>
    <x v="1"/>
    <s v="No"/>
    <x v="1"/>
    <x v="319"/>
    <x v="3"/>
    <x v="319"/>
    <x v="3"/>
  </r>
  <r>
    <x v="817"/>
    <x v="64"/>
    <x v="1"/>
    <s v="No"/>
    <x v="1"/>
    <x v="319"/>
    <x v="3"/>
    <x v="319"/>
    <x v="3"/>
  </r>
  <r>
    <x v="818"/>
    <x v="64"/>
    <x v="1"/>
    <s v="No"/>
    <x v="1"/>
    <x v="319"/>
    <x v="3"/>
    <x v="319"/>
    <x v="3"/>
  </r>
  <r>
    <x v="819"/>
    <x v="64"/>
    <x v="1"/>
    <s v="No"/>
    <x v="1"/>
    <x v="319"/>
    <x v="3"/>
    <x v="319"/>
    <x v="3"/>
  </r>
  <r>
    <x v="820"/>
    <x v="64"/>
    <x v="1"/>
    <s v="No"/>
    <x v="1"/>
    <x v="319"/>
    <x v="3"/>
    <x v="319"/>
    <x v="3"/>
  </r>
  <r>
    <x v="821"/>
    <x v="64"/>
    <x v="1"/>
    <s v="No"/>
    <x v="1"/>
    <x v="319"/>
    <x v="3"/>
    <x v="319"/>
    <x v="3"/>
  </r>
  <r>
    <x v="822"/>
    <x v="64"/>
    <x v="1"/>
    <s v="No"/>
    <x v="1"/>
    <x v="319"/>
    <x v="3"/>
    <x v="319"/>
    <x v="3"/>
  </r>
  <r>
    <x v="823"/>
    <x v="64"/>
    <x v="1"/>
    <s v="No"/>
    <x v="1"/>
    <x v="319"/>
    <x v="3"/>
    <x v="319"/>
    <x v="3"/>
  </r>
  <r>
    <x v="824"/>
    <x v="64"/>
    <x v="1"/>
    <s v="No"/>
    <x v="1"/>
    <x v="319"/>
    <x v="3"/>
    <x v="319"/>
    <x v="3"/>
  </r>
  <r>
    <x v="825"/>
    <x v="64"/>
    <x v="1"/>
    <s v="No"/>
    <x v="1"/>
    <x v="319"/>
    <x v="3"/>
    <x v="319"/>
    <x v="3"/>
  </r>
  <r>
    <x v="826"/>
    <x v="64"/>
    <x v="1"/>
    <s v="No"/>
    <x v="1"/>
    <x v="319"/>
    <x v="3"/>
    <x v="319"/>
    <x v="3"/>
  </r>
  <r>
    <x v="827"/>
    <x v="64"/>
    <x v="1"/>
    <s v="No"/>
    <x v="1"/>
    <x v="319"/>
    <x v="3"/>
    <x v="319"/>
    <x v="3"/>
  </r>
  <r>
    <x v="828"/>
    <x v="64"/>
    <x v="1"/>
    <s v="No"/>
    <x v="1"/>
    <x v="319"/>
    <x v="3"/>
    <x v="319"/>
    <x v="3"/>
  </r>
  <r>
    <x v="829"/>
    <x v="64"/>
    <x v="1"/>
    <s v="No"/>
    <x v="1"/>
    <x v="319"/>
    <x v="3"/>
    <x v="319"/>
    <x v="3"/>
  </r>
  <r>
    <x v="830"/>
    <x v="64"/>
    <x v="1"/>
    <s v="No"/>
    <x v="1"/>
    <x v="319"/>
    <x v="3"/>
    <x v="319"/>
    <x v="3"/>
  </r>
  <r>
    <x v="831"/>
    <x v="64"/>
    <x v="1"/>
    <s v="No"/>
    <x v="1"/>
    <x v="319"/>
    <x v="3"/>
    <x v="319"/>
    <x v="3"/>
  </r>
  <r>
    <x v="832"/>
    <x v="64"/>
    <x v="1"/>
    <s v="No"/>
    <x v="1"/>
    <x v="319"/>
    <x v="3"/>
    <x v="319"/>
    <x v="3"/>
  </r>
  <r>
    <x v="833"/>
    <x v="64"/>
    <x v="1"/>
    <s v="No"/>
    <x v="1"/>
    <x v="319"/>
    <x v="3"/>
    <x v="319"/>
    <x v="3"/>
  </r>
  <r>
    <x v="834"/>
    <x v="64"/>
    <x v="1"/>
    <s v="No"/>
    <x v="1"/>
    <x v="319"/>
    <x v="3"/>
    <x v="319"/>
    <x v="3"/>
  </r>
  <r>
    <x v="835"/>
    <x v="64"/>
    <x v="1"/>
    <s v="No"/>
    <x v="1"/>
    <x v="319"/>
    <x v="3"/>
    <x v="319"/>
    <x v="3"/>
  </r>
  <r>
    <x v="836"/>
    <x v="64"/>
    <x v="1"/>
    <s v="No"/>
    <x v="1"/>
    <x v="319"/>
    <x v="3"/>
    <x v="319"/>
    <x v="3"/>
  </r>
  <r>
    <x v="837"/>
    <x v="64"/>
    <x v="1"/>
    <s v="No"/>
    <x v="1"/>
    <x v="319"/>
    <x v="3"/>
    <x v="319"/>
    <x v="3"/>
  </r>
  <r>
    <x v="838"/>
    <x v="64"/>
    <x v="1"/>
    <s v="No"/>
    <x v="1"/>
    <x v="319"/>
    <x v="3"/>
    <x v="319"/>
    <x v="3"/>
  </r>
  <r>
    <x v="839"/>
    <x v="64"/>
    <x v="1"/>
    <s v="No"/>
    <x v="1"/>
    <x v="319"/>
    <x v="3"/>
    <x v="319"/>
    <x v="3"/>
  </r>
  <r>
    <x v="840"/>
    <x v="64"/>
    <x v="1"/>
    <s v="No"/>
    <x v="1"/>
    <x v="319"/>
    <x v="3"/>
    <x v="319"/>
    <x v="3"/>
  </r>
  <r>
    <x v="841"/>
    <x v="64"/>
    <x v="1"/>
    <s v="No"/>
    <x v="1"/>
    <x v="319"/>
    <x v="3"/>
    <x v="319"/>
    <x v="3"/>
  </r>
  <r>
    <x v="842"/>
    <x v="64"/>
    <x v="1"/>
    <s v="No"/>
    <x v="1"/>
    <x v="319"/>
    <x v="3"/>
    <x v="319"/>
    <x v="3"/>
  </r>
  <r>
    <x v="843"/>
    <x v="64"/>
    <x v="1"/>
    <s v="No"/>
    <x v="1"/>
    <x v="319"/>
    <x v="3"/>
    <x v="319"/>
    <x v="3"/>
  </r>
  <r>
    <x v="844"/>
    <x v="64"/>
    <x v="1"/>
    <s v="No"/>
    <x v="1"/>
    <x v="319"/>
    <x v="3"/>
    <x v="319"/>
    <x v="3"/>
  </r>
  <r>
    <x v="845"/>
    <x v="64"/>
    <x v="1"/>
    <s v="No"/>
    <x v="1"/>
    <x v="319"/>
    <x v="3"/>
    <x v="319"/>
    <x v="3"/>
  </r>
  <r>
    <x v="846"/>
    <x v="64"/>
    <x v="1"/>
    <s v="No"/>
    <x v="1"/>
    <x v="319"/>
    <x v="3"/>
    <x v="319"/>
    <x v="3"/>
  </r>
  <r>
    <x v="847"/>
    <x v="64"/>
    <x v="1"/>
    <s v="No"/>
    <x v="1"/>
    <x v="319"/>
    <x v="3"/>
    <x v="319"/>
    <x v="3"/>
  </r>
  <r>
    <x v="848"/>
    <x v="64"/>
    <x v="1"/>
    <s v="No"/>
    <x v="1"/>
    <x v="319"/>
    <x v="3"/>
    <x v="319"/>
    <x v="3"/>
  </r>
  <r>
    <x v="849"/>
    <x v="64"/>
    <x v="1"/>
    <s v="No"/>
    <x v="1"/>
    <x v="319"/>
    <x v="3"/>
    <x v="319"/>
    <x v="3"/>
  </r>
  <r>
    <x v="850"/>
    <x v="64"/>
    <x v="1"/>
    <s v="No"/>
    <x v="1"/>
    <x v="319"/>
    <x v="3"/>
    <x v="319"/>
    <x v="3"/>
  </r>
  <r>
    <x v="851"/>
    <x v="64"/>
    <x v="1"/>
    <s v="No"/>
    <x v="1"/>
    <x v="319"/>
    <x v="3"/>
    <x v="319"/>
    <x v="3"/>
  </r>
  <r>
    <x v="852"/>
    <x v="64"/>
    <x v="1"/>
    <s v="No"/>
    <x v="1"/>
    <x v="319"/>
    <x v="3"/>
    <x v="319"/>
    <x v="3"/>
  </r>
  <r>
    <x v="853"/>
    <x v="64"/>
    <x v="1"/>
    <s v="No"/>
    <x v="1"/>
    <x v="319"/>
    <x v="3"/>
    <x v="319"/>
    <x v="3"/>
  </r>
  <r>
    <x v="854"/>
    <x v="64"/>
    <x v="1"/>
    <s v="No"/>
    <x v="1"/>
    <x v="319"/>
    <x v="3"/>
    <x v="319"/>
    <x v="3"/>
  </r>
  <r>
    <x v="855"/>
    <x v="64"/>
    <x v="1"/>
    <s v="No"/>
    <x v="1"/>
    <x v="319"/>
    <x v="3"/>
    <x v="319"/>
    <x v="3"/>
  </r>
  <r>
    <x v="856"/>
    <x v="64"/>
    <x v="1"/>
    <s v="No"/>
    <x v="1"/>
    <x v="319"/>
    <x v="3"/>
    <x v="319"/>
    <x v="3"/>
  </r>
  <r>
    <x v="857"/>
    <x v="64"/>
    <x v="1"/>
    <s v="No"/>
    <x v="1"/>
    <x v="319"/>
    <x v="3"/>
    <x v="319"/>
    <x v="3"/>
  </r>
  <r>
    <x v="858"/>
    <x v="64"/>
    <x v="1"/>
    <s v="No"/>
    <x v="1"/>
    <x v="319"/>
    <x v="3"/>
    <x v="319"/>
    <x v="3"/>
  </r>
  <r>
    <x v="859"/>
    <x v="64"/>
    <x v="1"/>
    <s v="No"/>
    <x v="1"/>
    <x v="319"/>
    <x v="3"/>
    <x v="319"/>
    <x v="3"/>
  </r>
  <r>
    <x v="860"/>
    <x v="64"/>
    <x v="1"/>
    <s v="No"/>
    <x v="1"/>
    <x v="319"/>
    <x v="3"/>
    <x v="319"/>
    <x v="3"/>
  </r>
  <r>
    <x v="861"/>
    <x v="64"/>
    <x v="1"/>
    <s v="No"/>
    <x v="1"/>
    <x v="319"/>
    <x v="3"/>
    <x v="319"/>
    <x v="3"/>
  </r>
  <r>
    <x v="862"/>
    <x v="64"/>
    <x v="1"/>
    <s v="No"/>
    <x v="1"/>
    <x v="319"/>
    <x v="3"/>
    <x v="319"/>
    <x v="3"/>
  </r>
  <r>
    <x v="863"/>
    <x v="64"/>
    <x v="1"/>
    <s v="No"/>
    <x v="1"/>
    <x v="319"/>
    <x v="3"/>
    <x v="319"/>
    <x v="3"/>
  </r>
  <r>
    <x v="864"/>
    <x v="64"/>
    <x v="1"/>
    <s v="No"/>
    <x v="1"/>
    <x v="319"/>
    <x v="3"/>
    <x v="319"/>
    <x v="3"/>
  </r>
  <r>
    <x v="865"/>
    <x v="64"/>
    <x v="1"/>
    <s v="No"/>
    <x v="1"/>
    <x v="319"/>
    <x v="3"/>
    <x v="319"/>
    <x v="3"/>
  </r>
  <r>
    <x v="866"/>
    <x v="64"/>
    <x v="1"/>
    <s v="No"/>
    <x v="1"/>
    <x v="319"/>
    <x v="3"/>
    <x v="319"/>
    <x v="3"/>
  </r>
  <r>
    <x v="867"/>
    <x v="64"/>
    <x v="1"/>
    <s v="No"/>
    <x v="1"/>
    <x v="319"/>
    <x v="3"/>
    <x v="319"/>
    <x v="3"/>
  </r>
  <r>
    <x v="868"/>
    <x v="64"/>
    <x v="1"/>
    <s v="No"/>
    <x v="1"/>
    <x v="319"/>
    <x v="3"/>
    <x v="319"/>
    <x v="3"/>
  </r>
  <r>
    <x v="869"/>
    <x v="64"/>
    <x v="1"/>
    <s v="No"/>
    <x v="1"/>
    <x v="319"/>
    <x v="3"/>
    <x v="319"/>
    <x v="3"/>
  </r>
  <r>
    <x v="870"/>
    <x v="64"/>
    <x v="1"/>
    <s v="No"/>
    <x v="1"/>
    <x v="319"/>
    <x v="3"/>
    <x v="319"/>
    <x v="3"/>
  </r>
  <r>
    <x v="871"/>
    <x v="64"/>
    <x v="1"/>
    <s v="No"/>
    <x v="1"/>
    <x v="319"/>
    <x v="3"/>
    <x v="319"/>
    <x v="3"/>
  </r>
  <r>
    <x v="872"/>
    <x v="64"/>
    <x v="1"/>
    <s v="No"/>
    <x v="1"/>
    <x v="319"/>
    <x v="3"/>
    <x v="319"/>
    <x v="3"/>
  </r>
  <r>
    <x v="873"/>
    <x v="64"/>
    <x v="1"/>
    <s v="No"/>
    <x v="1"/>
    <x v="319"/>
    <x v="3"/>
    <x v="319"/>
    <x v="3"/>
  </r>
  <r>
    <x v="874"/>
    <x v="64"/>
    <x v="1"/>
    <s v="No"/>
    <x v="1"/>
    <x v="319"/>
    <x v="3"/>
    <x v="319"/>
    <x v="3"/>
  </r>
  <r>
    <x v="875"/>
    <x v="64"/>
    <x v="1"/>
    <s v="No"/>
    <x v="1"/>
    <x v="319"/>
    <x v="3"/>
    <x v="319"/>
    <x v="3"/>
  </r>
  <r>
    <x v="876"/>
    <x v="64"/>
    <x v="1"/>
    <s v="No"/>
    <x v="1"/>
    <x v="319"/>
    <x v="3"/>
    <x v="319"/>
    <x v="3"/>
  </r>
  <r>
    <x v="877"/>
    <x v="64"/>
    <x v="1"/>
    <s v="No"/>
    <x v="1"/>
    <x v="319"/>
    <x v="3"/>
    <x v="319"/>
    <x v="3"/>
  </r>
  <r>
    <x v="878"/>
    <x v="64"/>
    <x v="1"/>
    <s v="No"/>
    <x v="1"/>
    <x v="319"/>
    <x v="3"/>
    <x v="319"/>
    <x v="3"/>
  </r>
  <r>
    <x v="879"/>
    <x v="64"/>
    <x v="1"/>
    <s v="No"/>
    <x v="1"/>
    <x v="319"/>
    <x v="3"/>
    <x v="319"/>
    <x v="3"/>
  </r>
  <r>
    <x v="880"/>
    <x v="64"/>
    <x v="1"/>
    <s v="No"/>
    <x v="1"/>
    <x v="319"/>
    <x v="3"/>
    <x v="319"/>
    <x v="3"/>
  </r>
  <r>
    <x v="881"/>
    <x v="64"/>
    <x v="1"/>
    <s v="No"/>
    <x v="1"/>
    <x v="319"/>
    <x v="3"/>
    <x v="319"/>
    <x v="3"/>
  </r>
  <r>
    <x v="882"/>
    <x v="64"/>
    <x v="1"/>
    <s v="No"/>
    <x v="1"/>
    <x v="319"/>
    <x v="3"/>
    <x v="319"/>
    <x v="3"/>
  </r>
  <r>
    <x v="883"/>
    <x v="64"/>
    <x v="1"/>
    <s v="No"/>
    <x v="1"/>
    <x v="319"/>
    <x v="3"/>
    <x v="319"/>
    <x v="3"/>
  </r>
  <r>
    <x v="884"/>
    <x v="64"/>
    <x v="1"/>
    <s v="No"/>
    <x v="1"/>
    <x v="319"/>
    <x v="3"/>
    <x v="319"/>
    <x v="3"/>
  </r>
  <r>
    <x v="885"/>
    <x v="64"/>
    <x v="1"/>
    <s v="No"/>
    <x v="1"/>
    <x v="319"/>
    <x v="3"/>
    <x v="319"/>
    <x v="3"/>
  </r>
  <r>
    <x v="886"/>
    <x v="64"/>
    <x v="1"/>
    <s v="No"/>
    <x v="1"/>
    <x v="319"/>
    <x v="3"/>
    <x v="319"/>
    <x v="3"/>
  </r>
  <r>
    <x v="887"/>
    <x v="64"/>
    <x v="1"/>
    <s v="No"/>
    <x v="1"/>
    <x v="319"/>
    <x v="3"/>
    <x v="319"/>
    <x v="3"/>
  </r>
  <r>
    <x v="888"/>
    <x v="64"/>
    <x v="1"/>
    <s v="No"/>
    <x v="1"/>
    <x v="319"/>
    <x v="3"/>
    <x v="319"/>
    <x v="3"/>
  </r>
  <r>
    <x v="889"/>
    <x v="64"/>
    <x v="1"/>
    <s v="No"/>
    <x v="1"/>
    <x v="319"/>
    <x v="3"/>
    <x v="319"/>
    <x v="3"/>
  </r>
  <r>
    <x v="890"/>
    <x v="64"/>
    <x v="1"/>
    <s v="No"/>
    <x v="1"/>
    <x v="319"/>
    <x v="3"/>
    <x v="319"/>
    <x v="3"/>
  </r>
  <r>
    <x v="891"/>
    <x v="64"/>
    <x v="1"/>
    <s v="No"/>
    <x v="1"/>
    <x v="319"/>
    <x v="3"/>
    <x v="319"/>
    <x v="3"/>
  </r>
  <r>
    <x v="892"/>
    <x v="64"/>
    <x v="1"/>
    <s v="No"/>
    <x v="1"/>
    <x v="319"/>
    <x v="3"/>
    <x v="319"/>
    <x v="3"/>
  </r>
  <r>
    <x v="893"/>
    <x v="64"/>
    <x v="1"/>
    <s v="No"/>
    <x v="1"/>
    <x v="319"/>
    <x v="3"/>
    <x v="319"/>
    <x v="3"/>
  </r>
  <r>
    <x v="894"/>
    <x v="64"/>
    <x v="1"/>
    <s v="No"/>
    <x v="1"/>
    <x v="319"/>
    <x v="3"/>
    <x v="319"/>
    <x v="3"/>
  </r>
  <r>
    <x v="895"/>
    <x v="64"/>
    <x v="1"/>
    <s v="No"/>
    <x v="1"/>
    <x v="319"/>
    <x v="3"/>
    <x v="319"/>
    <x v="3"/>
  </r>
  <r>
    <x v="896"/>
    <x v="64"/>
    <x v="1"/>
    <s v="No"/>
    <x v="1"/>
    <x v="319"/>
    <x v="3"/>
    <x v="319"/>
    <x v="3"/>
  </r>
  <r>
    <x v="897"/>
    <x v="64"/>
    <x v="1"/>
    <s v="No"/>
    <x v="1"/>
    <x v="319"/>
    <x v="3"/>
    <x v="319"/>
    <x v="3"/>
  </r>
  <r>
    <x v="898"/>
    <x v="64"/>
    <x v="1"/>
    <s v="No"/>
    <x v="1"/>
    <x v="319"/>
    <x v="3"/>
    <x v="319"/>
    <x v="3"/>
  </r>
  <r>
    <x v="899"/>
    <x v="64"/>
    <x v="1"/>
    <s v="No"/>
    <x v="1"/>
    <x v="319"/>
    <x v="3"/>
    <x v="319"/>
    <x v="3"/>
  </r>
  <r>
    <x v="900"/>
    <x v="64"/>
    <x v="1"/>
    <s v="No"/>
    <x v="1"/>
    <x v="319"/>
    <x v="3"/>
    <x v="319"/>
    <x v="3"/>
  </r>
  <r>
    <x v="901"/>
    <x v="64"/>
    <x v="1"/>
    <s v="No"/>
    <x v="1"/>
    <x v="319"/>
    <x v="3"/>
    <x v="319"/>
    <x v="3"/>
  </r>
  <r>
    <x v="902"/>
    <x v="64"/>
    <x v="1"/>
    <s v="No"/>
    <x v="1"/>
    <x v="319"/>
    <x v="3"/>
    <x v="319"/>
    <x v="3"/>
  </r>
  <r>
    <x v="903"/>
    <x v="64"/>
    <x v="1"/>
    <s v="No"/>
    <x v="1"/>
    <x v="319"/>
    <x v="3"/>
    <x v="319"/>
    <x v="3"/>
  </r>
  <r>
    <x v="904"/>
    <x v="64"/>
    <x v="1"/>
    <s v="No"/>
    <x v="1"/>
    <x v="319"/>
    <x v="3"/>
    <x v="319"/>
    <x v="3"/>
  </r>
  <r>
    <x v="905"/>
    <x v="64"/>
    <x v="1"/>
    <s v="No"/>
    <x v="1"/>
    <x v="319"/>
    <x v="3"/>
    <x v="319"/>
    <x v="3"/>
  </r>
  <r>
    <x v="906"/>
    <x v="64"/>
    <x v="1"/>
    <s v="No"/>
    <x v="1"/>
    <x v="319"/>
    <x v="3"/>
    <x v="319"/>
    <x v="3"/>
  </r>
  <r>
    <x v="907"/>
    <x v="64"/>
    <x v="1"/>
    <s v="No"/>
    <x v="1"/>
    <x v="319"/>
    <x v="3"/>
    <x v="319"/>
    <x v="3"/>
  </r>
  <r>
    <x v="908"/>
    <x v="64"/>
    <x v="1"/>
    <s v="No"/>
    <x v="1"/>
    <x v="319"/>
    <x v="3"/>
    <x v="319"/>
    <x v="3"/>
  </r>
  <r>
    <x v="909"/>
    <x v="64"/>
    <x v="1"/>
    <s v="No"/>
    <x v="1"/>
    <x v="319"/>
    <x v="3"/>
    <x v="319"/>
    <x v="3"/>
  </r>
  <r>
    <x v="910"/>
    <x v="64"/>
    <x v="1"/>
    <s v="No"/>
    <x v="1"/>
    <x v="319"/>
    <x v="3"/>
    <x v="319"/>
    <x v="3"/>
  </r>
  <r>
    <x v="911"/>
    <x v="64"/>
    <x v="1"/>
    <s v="No"/>
    <x v="1"/>
    <x v="319"/>
    <x v="3"/>
    <x v="319"/>
    <x v="3"/>
  </r>
  <r>
    <x v="912"/>
    <x v="64"/>
    <x v="1"/>
    <s v="No"/>
    <x v="1"/>
    <x v="319"/>
    <x v="3"/>
    <x v="319"/>
    <x v="3"/>
  </r>
  <r>
    <x v="913"/>
    <x v="64"/>
    <x v="1"/>
    <s v="No"/>
    <x v="1"/>
    <x v="319"/>
    <x v="3"/>
    <x v="319"/>
    <x v="3"/>
  </r>
  <r>
    <x v="914"/>
    <x v="64"/>
    <x v="1"/>
    <s v="No"/>
    <x v="1"/>
    <x v="319"/>
    <x v="3"/>
    <x v="319"/>
    <x v="3"/>
  </r>
  <r>
    <x v="915"/>
    <x v="64"/>
    <x v="1"/>
    <s v="No"/>
    <x v="1"/>
    <x v="319"/>
    <x v="3"/>
    <x v="319"/>
    <x v="3"/>
  </r>
  <r>
    <x v="916"/>
    <x v="64"/>
    <x v="1"/>
    <s v="No"/>
    <x v="1"/>
    <x v="319"/>
    <x v="3"/>
    <x v="319"/>
    <x v="3"/>
  </r>
  <r>
    <x v="917"/>
    <x v="64"/>
    <x v="1"/>
    <s v="No"/>
    <x v="1"/>
    <x v="319"/>
    <x v="3"/>
    <x v="319"/>
    <x v="3"/>
  </r>
  <r>
    <x v="918"/>
    <x v="64"/>
    <x v="1"/>
    <s v="No"/>
    <x v="1"/>
    <x v="319"/>
    <x v="3"/>
    <x v="319"/>
    <x v="3"/>
  </r>
  <r>
    <x v="919"/>
    <x v="64"/>
    <x v="1"/>
    <s v="No"/>
    <x v="1"/>
    <x v="319"/>
    <x v="3"/>
    <x v="319"/>
    <x v="3"/>
  </r>
  <r>
    <x v="920"/>
    <x v="64"/>
    <x v="1"/>
    <s v="No"/>
    <x v="1"/>
    <x v="319"/>
    <x v="3"/>
    <x v="319"/>
    <x v="3"/>
  </r>
  <r>
    <x v="921"/>
    <x v="64"/>
    <x v="1"/>
    <s v="No"/>
    <x v="1"/>
    <x v="319"/>
    <x v="3"/>
    <x v="319"/>
    <x v="3"/>
  </r>
  <r>
    <x v="922"/>
    <x v="64"/>
    <x v="1"/>
    <s v="No"/>
    <x v="1"/>
    <x v="319"/>
    <x v="3"/>
    <x v="319"/>
    <x v="3"/>
  </r>
  <r>
    <x v="923"/>
    <x v="64"/>
    <x v="1"/>
    <s v="No"/>
    <x v="1"/>
    <x v="319"/>
    <x v="3"/>
    <x v="319"/>
    <x v="3"/>
  </r>
  <r>
    <x v="924"/>
    <x v="64"/>
    <x v="1"/>
    <s v="No"/>
    <x v="1"/>
    <x v="319"/>
    <x v="3"/>
    <x v="319"/>
    <x v="3"/>
  </r>
  <r>
    <x v="925"/>
    <x v="64"/>
    <x v="1"/>
    <s v="No"/>
    <x v="1"/>
    <x v="319"/>
    <x v="3"/>
    <x v="319"/>
    <x v="3"/>
  </r>
  <r>
    <x v="926"/>
    <x v="64"/>
    <x v="1"/>
    <s v="No"/>
    <x v="1"/>
    <x v="319"/>
    <x v="3"/>
    <x v="319"/>
    <x v="3"/>
  </r>
  <r>
    <x v="927"/>
    <x v="64"/>
    <x v="1"/>
    <s v="No"/>
    <x v="1"/>
    <x v="319"/>
    <x v="3"/>
    <x v="319"/>
    <x v="3"/>
  </r>
  <r>
    <x v="928"/>
    <x v="64"/>
    <x v="1"/>
    <s v="No"/>
    <x v="1"/>
    <x v="319"/>
    <x v="3"/>
    <x v="319"/>
    <x v="3"/>
  </r>
  <r>
    <x v="929"/>
    <x v="64"/>
    <x v="1"/>
    <s v="No"/>
    <x v="1"/>
    <x v="319"/>
    <x v="3"/>
    <x v="319"/>
    <x v="3"/>
  </r>
  <r>
    <x v="930"/>
    <x v="64"/>
    <x v="1"/>
    <s v="No"/>
    <x v="1"/>
    <x v="319"/>
    <x v="3"/>
    <x v="319"/>
    <x v="3"/>
  </r>
  <r>
    <x v="931"/>
    <x v="64"/>
    <x v="1"/>
    <s v="No"/>
    <x v="1"/>
    <x v="319"/>
    <x v="3"/>
    <x v="319"/>
    <x v="3"/>
  </r>
  <r>
    <x v="932"/>
    <x v="64"/>
    <x v="1"/>
    <s v="No"/>
    <x v="1"/>
    <x v="319"/>
    <x v="3"/>
    <x v="319"/>
    <x v="3"/>
  </r>
  <r>
    <x v="933"/>
    <x v="64"/>
    <x v="1"/>
    <s v="No"/>
    <x v="1"/>
    <x v="319"/>
    <x v="3"/>
    <x v="319"/>
    <x v="3"/>
  </r>
  <r>
    <x v="934"/>
    <x v="64"/>
    <x v="1"/>
    <s v="No"/>
    <x v="1"/>
    <x v="319"/>
    <x v="3"/>
    <x v="319"/>
    <x v="3"/>
  </r>
  <r>
    <x v="935"/>
    <x v="64"/>
    <x v="1"/>
    <s v="No"/>
    <x v="1"/>
    <x v="319"/>
    <x v="3"/>
    <x v="319"/>
    <x v="3"/>
  </r>
  <r>
    <x v="936"/>
    <x v="64"/>
    <x v="1"/>
    <s v="No"/>
    <x v="1"/>
    <x v="319"/>
    <x v="3"/>
    <x v="319"/>
    <x v="3"/>
  </r>
  <r>
    <x v="937"/>
    <x v="64"/>
    <x v="1"/>
    <s v="No"/>
    <x v="1"/>
    <x v="319"/>
    <x v="3"/>
    <x v="319"/>
    <x v="3"/>
  </r>
  <r>
    <x v="938"/>
    <x v="64"/>
    <x v="1"/>
    <s v="No"/>
    <x v="1"/>
    <x v="319"/>
    <x v="3"/>
    <x v="319"/>
    <x v="3"/>
  </r>
  <r>
    <x v="939"/>
    <x v="64"/>
    <x v="1"/>
    <s v="No"/>
    <x v="1"/>
    <x v="319"/>
    <x v="3"/>
    <x v="319"/>
    <x v="3"/>
  </r>
  <r>
    <x v="940"/>
    <x v="64"/>
    <x v="1"/>
    <s v="No"/>
    <x v="1"/>
    <x v="319"/>
    <x v="3"/>
    <x v="319"/>
    <x v="3"/>
  </r>
  <r>
    <x v="941"/>
    <x v="64"/>
    <x v="1"/>
    <s v="No"/>
    <x v="1"/>
    <x v="319"/>
    <x v="3"/>
    <x v="319"/>
    <x v="3"/>
  </r>
  <r>
    <x v="942"/>
    <x v="64"/>
    <x v="1"/>
    <s v="No"/>
    <x v="1"/>
    <x v="319"/>
    <x v="3"/>
    <x v="319"/>
    <x v="3"/>
  </r>
  <r>
    <x v="943"/>
    <x v="64"/>
    <x v="1"/>
    <s v="No"/>
    <x v="1"/>
    <x v="319"/>
    <x v="3"/>
    <x v="319"/>
    <x v="3"/>
  </r>
  <r>
    <x v="944"/>
    <x v="64"/>
    <x v="1"/>
    <s v="No"/>
    <x v="1"/>
    <x v="319"/>
    <x v="3"/>
    <x v="319"/>
    <x v="3"/>
  </r>
  <r>
    <x v="945"/>
    <x v="64"/>
    <x v="1"/>
    <s v="No"/>
    <x v="1"/>
    <x v="319"/>
    <x v="3"/>
    <x v="319"/>
    <x v="3"/>
  </r>
  <r>
    <x v="946"/>
    <x v="64"/>
    <x v="1"/>
    <s v="No"/>
    <x v="1"/>
    <x v="319"/>
    <x v="3"/>
    <x v="319"/>
    <x v="3"/>
  </r>
  <r>
    <x v="947"/>
    <x v="64"/>
    <x v="1"/>
    <s v="No"/>
    <x v="1"/>
    <x v="319"/>
    <x v="3"/>
    <x v="319"/>
    <x v="3"/>
  </r>
  <r>
    <x v="948"/>
    <x v="64"/>
    <x v="1"/>
    <s v="No"/>
    <x v="1"/>
    <x v="319"/>
    <x v="3"/>
    <x v="319"/>
    <x v="3"/>
  </r>
  <r>
    <x v="949"/>
    <x v="64"/>
    <x v="1"/>
    <s v="No"/>
    <x v="1"/>
    <x v="319"/>
    <x v="3"/>
    <x v="319"/>
    <x v="3"/>
  </r>
  <r>
    <x v="950"/>
    <x v="64"/>
    <x v="1"/>
    <s v="No"/>
    <x v="1"/>
    <x v="319"/>
    <x v="3"/>
    <x v="319"/>
    <x v="3"/>
  </r>
  <r>
    <x v="951"/>
    <x v="64"/>
    <x v="1"/>
    <s v="No"/>
    <x v="1"/>
    <x v="319"/>
    <x v="3"/>
    <x v="319"/>
    <x v="3"/>
  </r>
  <r>
    <x v="952"/>
    <x v="64"/>
    <x v="1"/>
    <s v="No"/>
    <x v="1"/>
    <x v="319"/>
    <x v="3"/>
    <x v="319"/>
    <x v="3"/>
  </r>
  <r>
    <x v="953"/>
    <x v="64"/>
    <x v="1"/>
    <s v="No"/>
    <x v="1"/>
    <x v="319"/>
    <x v="3"/>
    <x v="319"/>
    <x v="3"/>
  </r>
  <r>
    <x v="954"/>
    <x v="64"/>
    <x v="1"/>
    <s v="No"/>
    <x v="1"/>
    <x v="319"/>
    <x v="3"/>
    <x v="319"/>
    <x v="3"/>
  </r>
  <r>
    <x v="955"/>
    <x v="64"/>
    <x v="1"/>
    <s v="No"/>
    <x v="1"/>
    <x v="319"/>
    <x v="3"/>
    <x v="319"/>
    <x v="3"/>
  </r>
  <r>
    <x v="956"/>
    <x v="64"/>
    <x v="1"/>
    <s v="No"/>
    <x v="1"/>
    <x v="319"/>
    <x v="3"/>
    <x v="319"/>
    <x v="3"/>
  </r>
  <r>
    <x v="957"/>
    <x v="64"/>
    <x v="1"/>
    <s v="No"/>
    <x v="1"/>
    <x v="319"/>
    <x v="3"/>
    <x v="319"/>
    <x v="3"/>
  </r>
  <r>
    <x v="958"/>
    <x v="64"/>
    <x v="1"/>
    <s v="No"/>
    <x v="1"/>
    <x v="319"/>
    <x v="3"/>
    <x v="319"/>
    <x v="3"/>
  </r>
  <r>
    <x v="959"/>
    <x v="64"/>
    <x v="1"/>
    <s v="No"/>
    <x v="1"/>
    <x v="319"/>
    <x v="3"/>
    <x v="319"/>
    <x v="3"/>
  </r>
  <r>
    <x v="960"/>
    <x v="64"/>
    <x v="1"/>
    <s v="No"/>
    <x v="1"/>
    <x v="319"/>
    <x v="3"/>
    <x v="319"/>
    <x v="3"/>
  </r>
  <r>
    <x v="961"/>
    <x v="64"/>
    <x v="1"/>
    <s v="No"/>
    <x v="1"/>
    <x v="319"/>
    <x v="3"/>
    <x v="319"/>
    <x v="3"/>
  </r>
  <r>
    <x v="962"/>
    <x v="64"/>
    <x v="1"/>
    <s v="No"/>
    <x v="1"/>
    <x v="319"/>
    <x v="3"/>
    <x v="319"/>
    <x v="3"/>
  </r>
  <r>
    <x v="963"/>
    <x v="64"/>
    <x v="1"/>
    <s v="No"/>
    <x v="1"/>
    <x v="319"/>
    <x v="3"/>
    <x v="319"/>
    <x v="3"/>
  </r>
  <r>
    <x v="964"/>
    <x v="64"/>
    <x v="1"/>
    <s v="No"/>
    <x v="1"/>
    <x v="319"/>
    <x v="3"/>
    <x v="319"/>
    <x v="3"/>
  </r>
  <r>
    <x v="965"/>
    <x v="64"/>
    <x v="1"/>
    <s v="No"/>
    <x v="1"/>
    <x v="319"/>
    <x v="3"/>
    <x v="319"/>
    <x v="3"/>
  </r>
  <r>
    <x v="966"/>
    <x v="64"/>
    <x v="1"/>
    <s v="No"/>
    <x v="1"/>
    <x v="319"/>
    <x v="3"/>
    <x v="319"/>
    <x v="3"/>
  </r>
  <r>
    <x v="967"/>
    <x v="64"/>
    <x v="1"/>
    <s v="No"/>
    <x v="1"/>
    <x v="319"/>
    <x v="3"/>
    <x v="319"/>
    <x v="3"/>
  </r>
  <r>
    <x v="968"/>
    <x v="64"/>
    <x v="1"/>
    <s v="No"/>
    <x v="1"/>
    <x v="319"/>
    <x v="3"/>
    <x v="319"/>
    <x v="3"/>
  </r>
  <r>
    <x v="969"/>
    <x v="64"/>
    <x v="1"/>
    <s v="No"/>
    <x v="1"/>
    <x v="319"/>
    <x v="3"/>
    <x v="319"/>
    <x v="3"/>
  </r>
  <r>
    <x v="970"/>
    <x v="64"/>
    <x v="1"/>
    <s v="No"/>
    <x v="1"/>
    <x v="319"/>
    <x v="3"/>
    <x v="319"/>
    <x v="3"/>
  </r>
  <r>
    <x v="971"/>
    <x v="64"/>
    <x v="1"/>
    <s v="No"/>
    <x v="1"/>
    <x v="319"/>
    <x v="3"/>
    <x v="319"/>
    <x v="3"/>
  </r>
  <r>
    <x v="972"/>
    <x v="64"/>
    <x v="1"/>
    <s v="No"/>
    <x v="1"/>
    <x v="319"/>
    <x v="3"/>
    <x v="319"/>
    <x v="3"/>
  </r>
  <r>
    <x v="973"/>
    <x v="64"/>
    <x v="1"/>
    <s v="No"/>
    <x v="1"/>
    <x v="319"/>
    <x v="3"/>
    <x v="319"/>
    <x v="3"/>
  </r>
  <r>
    <x v="974"/>
    <x v="64"/>
    <x v="1"/>
    <s v="No"/>
    <x v="1"/>
    <x v="319"/>
    <x v="3"/>
    <x v="319"/>
    <x v="3"/>
  </r>
  <r>
    <x v="975"/>
    <x v="64"/>
    <x v="1"/>
    <s v="No"/>
    <x v="1"/>
    <x v="319"/>
    <x v="3"/>
    <x v="319"/>
    <x v="3"/>
  </r>
  <r>
    <x v="976"/>
    <x v="64"/>
    <x v="1"/>
    <s v="No"/>
    <x v="1"/>
    <x v="319"/>
    <x v="3"/>
    <x v="319"/>
    <x v="3"/>
  </r>
  <r>
    <x v="977"/>
    <x v="64"/>
    <x v="1"/>
    <s v="No"/>
    <x v="1"/>
    <x v="319"/>
    <x v="3"/>
    <x v="319"/>
    <x v="3"/>
  </r>
  <r>
    <x v="978"/>
    <x v="64"/>
    <x v="1"/>
    <s v="No"/>
    <x v="1"/>
    <x v="319"/>
    <x v="3"/>
    <x v="319"/>
    <x v="3"/>
  </r>
  <r>
    <x v="979"/>
    <x v="64"/>
    <x v="1"/>
    <s v="No"/>
    <x v="1"/>
    <x v="319"/>
    <x v="3"/>
    <x v="319"/>
    <x v="3"/>
  </r>
  <r>
    <x v="980"/>
    <x v="64"/>
    <x v="1"/>
    <s v="No"/>
    <x v="1"/>
    <x v="319"/>
    <x v="3"/>
    <x v="319"/>
    <x v="3"/>
  </r>
  <r>
    <x v="981"/>
    <x v="64"/>
    <x v="1"/>
    <s v="No"/>
    <x v="1"/>
    <x v="319"/>
    <x v="3"/>
    <x v="319"/>
    <x v="3"/>
  </r>
  <r>
    <x v="982"/>
    <x v="64"/>
    <x v="1"/>
    <s v="No"/>
    <x v="1"/>
    <x v="319"/>
    <x v="3"/>
    <x v="319"/>
    <x v="3"/>
  </r>
  <r>
    <x v="983"/>
    <x v="64"/>
    <x v="1"/>
    <s v="No"/>
    <x v="1"/>
    <x v="319"/>
    <x v="3"/>
    <x v="319"/>
    <x v="3"/>
  </r>
  <r>
    <x v="984"/>
    <x v="64"/>
    <x v="1"/>
    <s v="No"/>
    <x v="1"/>
    <x v="319"/>
    <x v="3"/>
    <x v="319"/>
    <x v="3"/>
  </r>
  <r>
    <x v="985"/>
    <x v="64"/>
    <x v="1"/>
    <s v="No"/>
    <x v="1"/>
    <x v="319"/>
    <x v="3"/>
    <x v="319"/>
    <x v="3"/>
  </r>
  <r>
    <x v="986"/>
    <x v="64"/>
    <x v="1"/>
    <s v="No"/>
    <x v="1"/>
    <x v="319"/>
    <x v="3"/>
    <x v="319"/>
    <x v="3"/>
  </r>
  <r>
    <x v="987"/>
    <x v="64"/>
    <x v="1"/>
    <s v="No"/>
    <x v="1"/>
    <x v="319"/>
    <x v="3"/>
    <x v="319"/>
    <x v="3"/>
  </r>
  <r>
    <x v="988"/>
    <x v="64"/>
    <x v="1"/>
    <s v="No"/>
    <x v="1"/>
    <x v="319"/>
    <x v="3"/>
    <x v="319"/>
    <x v="3"/>
  </r>
  <r>
    <x v="989"/>
    <x v="64"/>
    <x v="1"/>
    <s v="No"/>
    <x v="1"/>
    <x v="319"/>
    <x v="3"/>
    <x v="319"/>
    <x v="3"/>
  </r>
  <r>
    <x v="990"/>
    <x v="64"/>
    <x v="1"/>
    <s v="No"/>
    <x v="1"/>
    <x v="319"/>
    <x v="3"/>
    <x v="319"/>
    <x v="3"/>
  </r>
  <r>
    <x v="991"/>
    <x v="64"/>
    <x v="1"/>
    <s v="No"/>
    <x v="1"/>
    <x v="319"/>
    <x v="3"/>
    <x v="319"/>
    <x v="3"/>
  </r>
  <r>
    <x v="992"/>
    <x v="64"/>
    <x v="1"/>
    <s v="No"/>
    <x v="1"/>
    <x v="319"/>
    <x v="3"/>
    <x v="319"/>
    <x v="3"/>
  </r>
  <r>
    <x v="993"/>
    <x v="64"/>
    <x v="1"/>
    <s v="No"/>
    <x v="1"/>
    <x v="319"/>
    <x v="3"/>
    <x v="319"/>
    <x v="3"/>
  </r>
  <r>
    <x v="994"/>
    <x v="64"/>
    <x v="1"/>
    <s v="No"/>
    <x v="1"/>
    <x v="319"/>
    <x v="3"/>
    <x v="319"/>
    <x v="3"/>
  </r>
  <r>
    <x v="995"/>
    <x v="64"/>
    <x v="1"/>
    <s v="No"/>
    <x v="1"/>
    <x v="319"/>
    <x v="3"/>
    <x v="319"/>
    <x v="3"/>
  </r>
  <r>
    <x v="996"/>
    <x v="64"/>
    <x v="1"/>
    <s v="No"/>
    <x v="1"/>
    <x v="319"/>
    <x v="3"/>
    <x v="319"/>
    <x v="3"/>
  </r>
  <r>
    <x v="997"/>
    <x v="64"/>
    <x v="1"/>
    <s v="No"/>
    <x v="1"/>
    <x v="319"/>
    <x v="3"/>
    <x v="319"/>
    <x v="3"/>
  </r>
  <r>
    <x v="998"/>
    <x v="64"/>
    <x v="1"/>
    <s v="No"/>
    <x v="1"/>
    <x v="319"/>
    <x v="3"/>
    <x v="319"/>
    <x v="3"/>
  </r>
  <r>
    <x v="999"/>
    <x v="64"/>
    <x v="1"/>
    <s v="No"/>
    <x v="1"/>
    <x v="319"/>
    <x v="3"/>
    <x v="319"/>
    <x v="3"/>
  </r>
  <r>
    <x v="1000"/>
    <x v="64"/>
    <x v="1"/>
    <s v="No"/>
    <x v="1"/>
    <x v="319"/>
    <x v="3"/>
    <x v="319"/>
    <x v="3"/>
  </r>
  <r>
    <x v="1001"/>
    <x v="64"/>
    <x v="1"/>
    <s v="No"/>
    <x v="1"/>
    <x v="319"/>
    <x v="3"/>
    <x v="319"/>
    <x v="3"/>
  </r>
  <r>
    <x v="1002"/>
    <x v="64"/>
    <x v="1"/>
    <s v="No"/>
    <x v="1"/>
    <x v="319"/>
    <x v="3"/>
    <x v="319"/>
    <x v="3"/>
  </r>
  <r>
    <x v="1003"/>
    <x v="64"/>
    <x v="1"/>
    <s v="No"/>
    <x v="1"/>
    <x v="319"/>
    <x v="3"/>
    <x v="319"/>
    <x v="3"/>
  </r>
  <r>
    <x v="1004"/>
    <x v="64"/>
    <x v="1"/>
    <s v="No"/>
    <x v="1"/>
    <x v="319"/>
    <x v="3"/>
    <x v="319"/>
    <x v="3"/>
  </r>
  <r>
    <x v="1005"/>
    <x v="64"/>
    <x v="1"/>
    <s v="No"/>
    <x v="1"/>
    <x v="319"/>
    <x v="3"/>
    <x v="319"/>
    <x v="3"/>
  </r>
  <r>
    <x v="1006"/>
    <x v="64"/>
    <x v="1"/>
    <s v="No"/>
    <x v="1"/>
    <x v="319"/>
    <x v="3"/>
    <x v="319"/>
    <x v="3"/>
  </r>
  <r>
    <x v="1007"/>
    <x v="64"/>
    <x v="1"/>
    <s v="No"/>
    <x v="1"/>
    <x v="319"/>
    <x v="3"/>
    <x v="319"/>
    <x v="3"/>
  </r>
  <r>
    <x v="1008"/>
    <x v="64"/>
    <x v="1"/>
    <s v="No"/>
    <x v="1"/>
    <x v="319"/>
    <x v="3"/>
    <x v="319"/>
    <x v="3"/>
  </r>
  <r>
    <x v="1009"/>
    <x v="64"/>
    <x v="1"/>
    <s v="No"/>
    <x v="1"/>
    <x v="319"/>
    <x v="3"/>
    <x v="319"/>
    <x v="3"/>
  </r>
  <r>
    <x v="1010"/>
    <x v="64"/>
    <x v="1"/>
    <s v="No"/>
    <x v="1"/>
    <x v="319"/>
    <x v="3"/>
    <x v="319"/>
    <x v="3"/>
  </r>
  <r>
    <x v="1011"/>
    <x v="64"/>
    <x v="1"/>
    <s v="No"/>
    <x v="1"/>
    <x v="319"/>
    <x v="3"/>
    <x v="319"/>
    <x v="3"/>
  </r>
  <r>
    <x v="1012"/>
    <x v="64"/>
    <x v="1"/>
    <s v="No"/>
    <x v="1"/>
    <x v="319"/>
    <x v="3"/>
    <x v="319"/>
    <x v="3"/>
  </r>
  <r>
    <x v="1013"/>
    <x v="64"/>
    <x v="1"/>
    <s v="No"/>
    <x v="1"/>
    <x v="319"/>
    <x v="3"/>
    <x v="319"/>
    <x v="3"/>
  </r>
  <r>
    <x v="1014"/>
    <x v="64"/>
    <x v="1"/>
    <s v="No"/>
    <x v="1"/>
    <x v="319"/>
    <x v="3"/>
    <x v="319"/>
    <x v="3"/>
  </r>
  <r>
    <x v="1015"/>
    <x v="64"/>
    <x v="1"/>
    <s v="No"/>
    <x v="1"/>
    <x v="319"/>
    <x v="3"/>
    <x v="319"/>
    <x v="3"/>
  </r>
  <r>
    <x v="1016"/>
    <x v="64"/>
    <x v="1"/>
    <s v="No"/>
    <x v="1"/>
    <x v="319"/>
    <x v="3"/>
    <x v="319"/>
    <x v="3"/>
  </r>
  <r>
    <x v="1017"/>
    <x v="64"/>
    <x v="1"/>
    <s v="No"/>
    <x v="1"/>
    <x v="319"/>
    <x v="3"/>
    <x v="319"/>
    <x v="3"/>
  </r>
  <r>
    <x v="1018"/>
    <x v="64"/>
    <x v="1"/>
    <s v="No"/>
    <x v="1"/>
    <x v="319"/>
    <x v="3"/>
    <x v="319"/>
    <x v="3"/>
  </r>
  <r>
    <x v="1019"/>
    <x v="64"/>
    <x v="1"/>
    <s v="No"/>
    <x v="1"/>
    <x v="319"/>
    <x v="3"/>
    <x v="319"/>
    <x v="3"/>
  </r>
  <r>
    <x v="1020"/>
    <x v="64"/>
    <x v="1"/>
    <s v="No"/>
    <x v="1"/>
    <x v="319"/>
    <x v="3"/>
    <x v="319"/>
    <x v="3"/>
  </r>
  <r>
    <x v="1021"/>
    <x v="64"/>
    <x v="1"/>
    <s v="No"/>
    <x v="1"/>
    <x v="319"/>
    <x v="3"/>
    <x v="319"/>
    <x v="3"/>
  </r>
  <r>
    <x v="1022"/>
    <x v="64"/>
    <x v="1"/>
    <s v="No"/>
    <x v="1"/>
    <x v="319"/>
    <x v="3"/>
    <x v="319"/>
    <x v="3"/>
  </r>
  <r>
    <x v="1023"/>
    <x v="64"/>
    <x v="1"/>
    <s v="No"/>
    <x v="1"/>
    <x v="319"/>
    <x v="3"/>
    <x v="319"/>
    <x v="3"/>
  </r>
  <r>
    <x v="1024"/>
    <x v="64"/>
    <x v="1"/>
    <s v="No"/>
    <x v="1"/>
    <x v="319"/>
    <x v="3"/>
    <x v="319"/>
    <x v="3"/>
  </r>
  <r>
    <x v="1025"/>
    <x v="64"/>
    <x v="1"/>
    <s v="No"/>
    <x v="1"/>
    <x v="319"/>
    <x v="3"/>
    <x v="319"/>
    <x v="3"/>
  </r>
  <r>
    <x v="1026"/>
    <x v="64"/>
    <x v="1"/>
    <s v="No"/>
    <x v="1"/>
    <x v="319"/>
    <x v="3"/>
    <x v="319"/>
    <x v="3"/>
  </r>
  <r>
    <x v="1027"/>
    <x v="64"/>
    <x v="1"/>
    <s v="No"/>
    <x v="1"/>
    <x v="319"/>
    <x v="3"/>
    <x v="319"/>
    <x v="3"/>
  </r>
  <r>
    <x v="1028"/>
    <x v="64"/>
    <x v="1"/>
    <s v="No"/>
    <x v="1"/>
    <x v="319"/>
    <x v="3"/>
    <x v="319"/>
    <x v="3"/>
  </r>
  <r>
    <x v="1029"/>
    <x v="64"/>
    <x v="1"/>
    <s v="No"/>
    <x v="1"/>
    <x v="319"/>
    <x v="3"/>
    <x v="319"/>
    <x v="3"/>
  </r>
  <r>
    <x v="1030"/>
    <x v="64"/>
    <x v="1"/>
    <s v="No"/>
    <x v="1"/>
    <x v="319"/>
    <x v="3"/>
    <x v="319"/>
    <x v="3"/>
  </r>
  <r>
    <x v="1031"/>
    <x v="64"/>
    <x v="1"/>
    <s v="No"/>
    <x v="1"/>
    <x v="319"/>
    <x v="3"/>
    <x v="319"/>
    <x v="3"/>
  </r>
  <r>
    <x v="1032"/>
    <x v="64"/>
    <x v="1"/>
    <s v="No"/>
    <x v="1"/>
    <x v="319"/>
    <x v="3"/>
    <x v="319"/>
    <x v="3"/>
  </r>
  <r>
    <x v="1033"/>
    <x v="64"/>
    <x v="1"/>
    <s v="No"/>
    <x v="1"/>
    <x v="319"/>
    <x v="3"/>
    <x v="319"/>
    <x v="3"/>
  </r>
  <r>
    <x v="1034"/>
    <x v="64"/>
    <x v="1"/>
    <s v="No"/>
    <x v="1"/>
    <x v="319"/>
    <x v="3"/>
    <x v="319"/>
    <x v="3"/>
  </r>
  <r>
    <x v="1035"/>
    <x v="64"/>
    <x v="1"/>
    <s v="No"/>
    <x v="1"/>
    <x v="319"/>
    <x v="3"/>
    <x v="319"/>
    <x v="3"/>
  </r>
  <r>
    <x v="1036"/>
    <x v="64"/>
    <x v="1"/>
    <s v="No"/>
    <x v="1"/>
    <x v="319"/>
    <x v="3"/>
    <x v="319"/>
    <x v="3"/>
  </r>
  <r>
    <x v="1037"/>
    <x v="64"/>
    <x v="1"/>
    <s v="No"/>
    <x v="1"/>
    <x v="319"/>
    <x v="3"/>
    <x v="319"/>
    <x v="3"/>
  </r>
  <r>
    <x v="1038"/>
    <x v="64"/>
    <x v="1"/>
    <s v="No"/>
    <x v="1"/>
    <x v="319"/>
    <x v="3"/>
    <x v="319"/>
    <x v="3"/>
  </r>
  <r>
    <x v="1039"/>
    <x v="64"/>
    <x v="1"/>
    <s v="No"/>
    <x v="1"/>
    <x v="319"/>
    <x v="3"/>
    <x v="319"/>
    <x v="3"/>
  </r>
  <r>
    <x v="1040"/>
    <x v="64"/>
    <x v="1"/>
    <s v="No"/>
    <x v="1"/>
    <x v="319"/>
    <x v="3"/>
    <x v="319"/>
    <x v="3"/>
  </r>
  <r>
    <x v="1041"/>
    <x v="64"/>
    <x v="1"/>
    <s v="No"/>
    <x v="1"/>
    <x v="319"/>
    <x v="3"/>
    <x v="319"/>
    <x v="3"/>
  </r>
  <r>
    <x v="1042"/>
    <x v="64"/>
    <x v="1"/>
    <s v="No"/>
    <x v="1"/>
    <x v="319"/>
    <x v="3"/>
    <x v="319"/>
    <x v="3"/>
  </r>
  <r>
    <x v="1043"/>
    <x v="64"/>
    <x v="1"/>
    <s v="No"/>
    <x v="1"/>
    <x v="319"/>
    <x v="3"/>
    <x v="319"/>
    <x v="3"/>
  </r>
  <r>
    <x v="1044"/>
    <x v="64"/>
    <x v="1"/>
    <s v="No"/>
    <x v="1"/>
    <x v="319"/>
    <x v="3"/>
    <x v="319"/>
    <x v="3"/>
  </r>
  <r>
    <x v="1045"/>
    <x v="64"/>
    <x v="1"/>
    <s v="No"/>
    <x v="1"/>
    <x v="319"/>
    <x v="3"/>
    <x v="319"/>
    <x v="3"/>
  </r>
  <r>
    <x v="1046"/>
    <x v="64"/>
    <x v="1"/>
    <s v="No"/>
    <x v="1"/>
    <x v="319"/>
    <x v="3"/>
    <x v="319"/>
    <x v="3"/>
  </r>
  <r>
    <x v="1047"/>
    <x v="64"/>
    <x v="1"/>
    <s v="No"/>
    <x v="1"/>
    <x v="319"/>
    <x v="3"/>
    <x v="319"/>
    <x v="3"/>
  </r>
  <r>
    <x v="1048"/>
    <x v="64"/>
    <x v="1"/>
    <s v="No"/>
    <x v="1"/>
    <x v="319"/>
    <x v="3"/>
    <x v="319"/>
    <x v="3"/>
  </r>
  <r>
    <x v="1049"/>
    <x v="64"/>
    <x v="1"/>
    <s v="No"/>
    <x v="1"/>
    <x v="319"/>
    <x v="3"/>
    <x v="319"/>
    <x v="3"/>
  </r>
  <r>
    <x v="1050"/>
    <x v="64"/>
    <x v="1"/>
    <s v="No"/>
    <x v="1"/>
    <x v="319"/>
    <x v="3"/>
    <x v="319"/>
    <x v="3"/>
  </r>
  <r>
    <x v="1051"/>
    <x v="64"/>
    <x v="1"/>
    <s v="No"/>
    <x v="1"/>
    <x v="319"/>
    <x v="3"/>
    <x v="319"/>
    <x v="3"/>
  </r>
  <r>
    <x v="1052"/>
    <x v="64"/>
    <x v="1"/>
    <s v="No"/>
    <x v="1"/>
    <x v="319"/>
    <x v="3"/>
    <x v="319"/>
    <x v="3"/>
  </r>
  <r>
    <x v="1053"/>
    <x v="64"/>
    <x v="1"/>
    <s v="No"/>
    <x v="1"/>
    <x v="319"/>
    <x v="3"/>
    <x v="319"/>
    <x v="3"/>
  </r>
  <r>
    <x v="1054"/>
    <x v="64"/>
    <x v="1"/>
    <s v="No"/>
    <x v="1"/>
    <x v="319"/>
    <x v="3"/>
    <x v="319"/>
    <x v="3"/>
  </r>
  <r>
    <x v="1055"/>
    <x v="64"/>
    <x v="1"/>
    <s v="No"/>
    <x v="1"/>
    <x v="319"/>
    <x v="3"/>
    <x v="319"/>
    <x v="3"/>
  </r>
  <r>
    <x v="1056"/>
    <x v="64"/>
    <x v="1"/>
    <s v="No"/>
    <x v="1"/>
    <x v="319"/>
    <x v="3"/>
    <x v="319"/>
    <x v="3"/>
  </r>
  <r>
    <x v="1057"/>
    <x v="64"/>
    <x v="1"/>
    <s v="No"/>
    <x v="1"/>
    <x v="319"/>
    <x v="3"/>
    <x v="319"/>
    <x v="3"/>
  </r>
  <r>
    <x v="1058"/>
    <x v="64"/>
    <x v="1"/>
    <s v="No"/>
    <x v="1"/>
    <x v="319"/>
    <x v="3"/>
    <x v="319"/>
    <x v="3"/>
  </r>
  <r>
    <x v="1059"/>
    <x v="64"/>
    <x v="1"/>
    <s v="No"/>
    <x v="1"/>
    <x v="319"/>
    <x v="3"/>
    <x v="319"/>
    <x v="3"/>
  </r>
  <r>
    <x v="1060"/>
    <x v="64"/>
    <x v="1"/>
    <s v="No"/>
    <x v="1"/>
    <x v="319"/>
    <x v="3"/>
    <x v="319"/>
    <x v="3"/>
  </r>
  <r>
    <x v="1061"/>
    <x v="64"/>
    <x v="1"/>
    <s v="No"/>
    <x v="1"/>
    <x v="319"/>
    <x v="3"/>
    <x v="319"/>
    <x v="3"/>
  </r>
  <r>
    <x v="1062"/>
    <x v="64"/>
    <x v="1"/>
    <s v="No"/>
    <x v="1"/>
    <x v="319"/>
    <x v="3"/>
    <x v="319"/>
    <x v="3"/>
  </r>
  <r>
    <x v="1063"/>
    <x v="64"/>
    <x v="1"/>
    <s v="No"/>
    <x v="1"/>
    <x v="319"/>
    <x v="3"/>
    <x v="319"/>
    <x v="3"/>
  </r>
  <r>
    <x v="1064"/>
    <x v="64"/>
    <x v="1"/>
    <s v="No"/>
    <x v="1"/>
    <x v="319"/>
    <x v="3"/>
    <x v="319"/>
    <x v="3"/>
  </r>
  <r>
    <x v="1065"/>
    <x v="64"/>
    <x v="1"/>
    <s v="No"/>
    <x v="1"/>
    <x v="319"/>
    <x v="3"/>
    <x v="319"/>
    <x v="3"/>
  </r>
  <r>
    <x v="1066"/>
    <x v="64"/>
    <x v="1"/>
    <s v="No"/>
    <x v="1"/>
    <x v="319"/>
    <x v="3"/>
    <x v="319"/>
    <x v="3"/>
  </r>
  <r>
    <x v="1067"/>
    <x v="64"/>
    <x v="1"/>
    <s v="No"/>
    <x v="1"/>
    <x v="319"/>
    <x v="3"/>
    <x v="319"/>
    <x v="3"/>
  </r>
  <r>
    <x v="1068"/>
    <x v="64"/>
    <x v="1"/>
    <s v="No"/>
    <x v="1"/>
    <x v="319"/>
    <x v="3"/>
    <x v="319"/>
    <x v="3"/>
  </r>
  <r>
    <x v="1069"/>
    <x v="64"/>
    <x v="1"/>
    <s v="No"/>
    <x v="1"/>
    <x v="319"/>
    <x v="3"/>
    <x v="319"/>
    <x v="3"/>
  </r>
  <r>
    <x v="1070"/>
    <x v="64"/>
    <x v="1"/>
    <s v="No"/>
    <x v="1"/>
    <x v="319"/>
    <x v="3"/>
    <x v="319"/>
    <x v="3"/>
  </r>
  <r>
    <x v="1071"/>
    <x v="64"/>
    <x v="1"/>
    <s v="No"/>
    <x v="1"/>
    <x v="319"/>
    <x v="3"/>
    <x v="319"/>
    <x v="3"/>
  </r>
  <r>
    <x v="1072"/>
    <x v="64"/>
    <x v="1"/>
    <s v="No"/>
    <x v="1"/>
    <x v="319"/>
    <x v="3"/>
    <x v="319"/>
    <x v="3"/>
  </r>
  <r>
    <x v="1073"/>
    <x v="64"/>
    <x v="1"/>
    <s v="No"/>
    <x v="1"/>
    <x v="319"/>
    <x v="3"/>
    <x v="319"/>
    <x v="3"/>
  </r>
  <r>
    <x v="1074"/>
    <x v="64"/>
    <x v="1"/>
    <s v="No"/>
    <x v="1"/>
    <x v="319"/>
    <x v="3"/>
    <x v="319"/>
    <x v="3"/>
  </r>
  <r>
    <x v="1075"/>
    <x v="64"/>
    <x v="1"/>
    <s v="No"/>
    <x v="1"/>
    <x v="319"/>
    <x v="3"/>
    <x v="319"/>
    <x v="3"/>
  </r>
  <r>
    <x v="1076"/>
    <x v="64"/>
    <x v="1"/>
    <s v="No"/>
    <x v="1"/>
    <x v="319"/>
    <x v="3"/>
    <x v="319"/>
    <x v="3"/>
  </r>
  <r>
    <x v="1077"/>
    <x v="64"/>
    <x v="1"/>
    <s v="No"/>
    <x v="1"/>
    <x v="319"/>
    <x v="3"/>
    <x v="319"/>
    <x v="3"/>
  </r>
  <r>
    <x v="1078"/>
    <x v="64"/>
    <x v="1"/>
    <s v="No"/>
    <x v="1"/>
    <x v="319"/>
    <x v="3"/>
    <x v="319"/>
    <x v="3"/>
  </r>
  <r>
    <x v="1079"/>
    <x v="64"/>
    <x v="1"/>
    <s v="No"/>
    <x v="1"/>
    <x v="319"/>
    <x v="3"/>
    <x v="319"/>
    <x v="3"/>
  </r>
  <r>
    <x v="1080"/>
    <x v="64"/>
    <x v="1"/>
    <s v="No"/>
    <x v="1"/>
    <x v="319"/>
    <x v="3"/>
    <x v="319"/>
    <x v="3"/>
  </r>
  <r>
    <x v="1081"/>
    <x v="64"/>
    <x v="1"/>
    <s v="No"/>
    <x v="1"/>
    <x v="319"/>
    <x v="3"/>
    <x v="319"/>
    <x v="3"/>
  </r>
  <r>
    <x v="1082"/>
    <x v="64"/>
    <x v="1"/>
    <s v="No"/>
    <x v="1"/>
    <x v="319"/>
    <x v="3"/>
    <x v="319"/>
    <x v="3"/>
  </r>
  <r>
    <x v="1083"/>
    <x v="64"/>
    <x v="1"/>
    <s v="No"/>
    <x v="1"/>
    <x v="319"/>
    <x v="3"/>
    <x v="319"/>
    <x v="3"/>
  </r>
  <r>
    <x v="1084"/>
    <x v="64"/>
    <x v="1"/>
    <s v="No"/>
    <x v="1"/>
    <x v="319"/>
    <x v="3"/>
    <x v="319"/>
    <x v="3"/>
  </r>
  <r>
    <x v="1085"/>
    <x v="64"/>
    <x v="1"/>
    <s v="No"/>
    <x v="1"/>
    <x v="319"/>
    <x v="3"/>
    <x v="319"/>
    <x v="3"/>
  </r>
  <r>
    <x v="1086"/>
    <x v="64"/>
    <x v="1"/>
    <s v="No"/>
    <x v="1"/>
    <x v="319"/>
    <x v="3"/>
    <x v="319"/>
    <x v="3"/>
  </r>
  <r>
    <x v="1087"/>
    <x v="64"/>
    <x v="1"/>
    <s v="No"/>
    <x v="1"/>
    <x v="319"/>
    <x v="3"/>
    <x v="319"/>
    <x v="3"/>
  </r>
  <r>
    <x v="1088"/>
    <x v="64"/>
    <x v="1"/>
    <s v="No"/>
    <x v="1"/>
    <x v="319"/>
    <x v="3"/>
    <x v="319"/>
    <x v="3"/>
  </r>
  <r>
    <x v="1089"/>
    <x v="64"/>
    <x v="1"/>
    <s v="No"/>
    <x v="1"/>
    <x v="319"/>
    <x v="3"/>
    <x v="319"/>
    <x v="3"/>
  </r>
  <r>
    <x v="1090"/>
    <x v="64"/>
    <x v="1"/>
    <s v="No"/>
    <x v="1"/>
    <x v="319"/>
    <x v="3"/>
    <x v="319"/>
    <x v="3"/>
  </r>
  <r>
    <x v="1091"/>
    <x v="64"/>
    <x v="1"/>
    <s v="No"/>
    <x v="1"/>
    <x v="319"/>
    <x v="3"/>
    <x v="319"/>
    <x v="3"/>
  </r>
  <r>
    <x v="1092"/>
    <x v="64"/>
    <x v="1"/>
    <s v="No"/>
    <x v="1"/>
    <x v="319"/>
    <x v="3"/>
    <x v="319"/>
    <x v="3"/>
  </r>
  <r>
    <x v="1093"/>
    <x v="64"/>
    <x v="1"/>
    <s v="No"/>
    <x v="1"/>
    <x v="319"/>
    <x v="3"/>
    <x v="319"/>
    <x v="3"/>
  </r>
  <r>
    <x v="1094"/>
    <x v="64"/>
    <x v="1"/>
    <s v="No"/>
    <x v="1"/>
    <x v="319"/>
    <x v="3"/>
    <x v="319"/>
    <x v="3"/>
  </r>
  <r>
    <x v="1095"/>
    <x v="64"/>
    <x v="1"/>
    <s v="No"/>
    <x v="1"/>
    <x v="319"/>
    <x v="3"/>
    <x v="319"/>
    <x v="3"/>
  </r>
  <r>
    <x v="1096"/>
    <x v="64"/>
    <x v="1"/>
    <s v="No"/>
    <x v="1"/>
    <x v="319"/>
    <x v="3"/>
    <x v="319"/>
    <x v="3"/>
  </r>
  <r>
    <x v="1097"/>
    <x v="64"/>
    <x v="1"/>
    <s v="No"/>
    <x v="1"/>
    <x v="319"/>
    <x v="3"/>
    <x v="319"/>
    <x v="3"/>
  </r>
  <r>
    <x v="1098"/>
    <x v="64"/>
    <x v="1"/>
    <s v="No"/>
    <x v="1"/>
    <x v="319"/>
    <x v="3"/>
    <x v="319"/>
    <x v="3"/>
  </r>
  <r>
    <x v="1099"/>
    <x v="64"/>
    <x v="1"/>
    <s v="No"/>
    <x v="1"/>
    <x v="319"/>
    <x v="3"/>
    <x v="319"/>
    <x v="3"/>
  </r>
  <r>
    <x v="1100"/>
    <x v="64"/>
    <x v="1"/>
    <s v="No"/>
    <x v="1"/>
    <x v="319"/>
    <x v="3"/>
    <x v="319"/>
    <x v="3"/>
  </r>
  <r>
    <x v="1101"/>
    <x v="64"/>
    <x v="1"/>
    <s v="No"/>
    <x v="1"/>
    <x v="319"/>
    <x v="3"/>
    <x v="319"/>
    <x v="3"/>
  </r>
  <r>
    <x v="1102"/>
    <x v="64"/>
    <x v="1"/>
    <s v="No"/>
    <x v="1"/>
    <x v="319"/>
    <x v="3"/>
    <x v="319"/>
    <x v="3"/>
  </r>
  <r>
    <x v="1103"/>
    <x v="64"/>
    <x v="1"/>
    <s v="No"/>
    <x v="1"/>
    <x v="319"/>
    <x v="3"/>
    <x v="319"/>
    <x v="3"/>
  </r>
  <r>
    <x v="1104"/>
    <x v="64"/>
    <x v="1"/>
    <s v="No"/>
    <x v="1"/>
    <x v="319"/>
    <x v="3"/>
    <x v="319"/>
    <x v="3"/>
  </r>
  <r>
    <x v="1105"/>
    <x v="64"/>
    <x v="1"/>
    <s v="No"/>
    <x v="1"/>
    <x v="319"/>
    <x v="3"/>
    <x v="319"/>
    <x v="3"/>
  </r>
  <r>
    <x v="1106"/>
    <x v="64"/>
    <x v="1"/>
    <s v="No"/>
    <x v="1"/>
    <x v="319"/>
    <x v="3"/>
    <x v="319"/>
    <x v="3"/>
  </r>
  <r>
    <x v="1107"/>
    <x v="64"/>
    <x v="1"/>
    <s v="No"/>
    <x v="1"/>
    <x v="319"/>
    <x v="3"/>
    <x v="319"/>
    <x v="3"/>
  </r>
  <r>
    <x v="1108"/>
    <x v="64"/>
    <x v="1"/>
    <s v="No"/>
    <x v="1"/>
    <x v="319"/>
    <x v="3"/>
    <x v="319"/>
    <x v="3"/>
  </r>
  <r>
    <x v="1109"/>
    <x v="64"/>
    <x v="1"/>
    <s v="No"/>
    <x v="1"/>
    <x v="319"/>
    <x v="3"/>
    <x v="319"/>
    <x v="3"/>
  </r>
  <r>
    <x v="1110"/>
    <x v="64"/>
    <x v="1"/>
    <s v="No"/>
    <x v="1"/>
    <x v="319"/>
    <x v="3"/>
    <x v="319"/>
    <x v="3"/>
  </r>
  <r>
    <x v="1111"/>
    <x v="64"/>
    <x v="1"/>
    <s v="No"/>
    <x v="1"/>
    <x v="319"/>
    <x v="3"/>
    <x v="319"/>
    <x v="3"/>
  </r>
  <r>
    <x v="1112"/>
    <x v="64"/>
    <x v="1"/>
    <s v="No"/>
    <x v="1"/>
    <x v="319"/>
    <x v="3"/>
    <x v="319"/>
    <x v="3"/>
  </r>
  <r>
    <x v="1113"/>
    <x v="64"/>
    <x v="1"/>
    <s v="No"/>
    <x v="1"/>
    <x v="319"/>
    <x v="3"/>
    <x v="319"/>
    <x v="3"/>
  </r>
  <r>
    <x v="1114"/>
    <x v="64"/>
    <x v="1"/>
    <s v="No"/>
    <x v="1"/>
    <x v="319"/>
    <x v="3"/>
    <x v="319"/>
    <x v="3"/>
  </r>
  <r>
    <x v="1115"/>
    <x v="64"/>
    <x v="1"/>
    <s v="No"/>
    <x v="1"/>
    <x v="319"/>
    <x v="3"/>
    <x v="319"/>
    <x v="3"/>
  </r>
  <r>
    <x v="1116"/>
    <x v="64"/>
    <x v="1"/>
    <s v="No"/>
    <x v="1"/>
    <x v="319"/>
    <x v="3"/>
    <x v="319"/>
    <x v="3"/>
  </r>
  <r>
    <x v="1117"/>
    <x v="64"/>
    <x v="1"/>
    <s v="No"/>
    <x v="1"/>
    <x v="319"/>
    <x v="3"/>
    <x v="319"/>
    <x v="3"/>
  </r>
  <r>
    <x v="1118"/>
    <x v="64"/>
    <x v="1"/>
    <s v="No"/>
    <x v="1"/>
    <x v="319"/>
    <x v="3"/>
    <x v="319"/>
    <x v="3"/>
  </r>
  <r>
    <x v="1119"/>
    <x v="64"/>
    <x v="1"/>
    <s v="No"/>
    <x v="1"/>
    <x v="319"/>
    <x v="3"/>
    <x v="319"/>
    <x v="3"/>
  </r>
  <r>
    <x v="1120"/>
    <x v="64"/>
    <x v="1"/>
    <s v="No"/>
    <x v="1"/>
    <x v="319"/>
    <x v="3"/>
    <x v="319"/>
    <x v="3"/>
  </r>
  <r>
    <x v="1121"/>
    <x v="64"/>
    <x v="1"/>
    <s v="No"/>
    <x v="1"/>
    <x v="319"/>
    <x v="3"/>
    <x v="319"/>
    <x v="3"/>
  </r>
  <r>
    <x v="1122"/>
    <x v="64"/>
    <x v="1"/>
    <s v="No"/>
    <x v="1"/>
    <x v="319"/>
    <x v="3"/>
    <x v="319"/>
    <x v="3"/>
  </r>
  <r>
    <x v="1123"/>
    <x v="64"/>
    <x v="1"/>
    <s v="No"/>
    <x v="1"/>
    <x v="319"/>
    <x v="3"/>
    <x v="319"/>
    <x v="3"/>
  </r>
  <r>
    <x v="1124"/>
    <x v="64"/>
    <x v="1"/>
    <s v="No"/>
    <x v="1"/>
    <x v="319"/>
    <x v="3"/>
    <x v="319"/>
    <x v="3"/>
  </r>
  <r>
    <x v="1125"/>
    <x v="64"/>
    <x v="1"/>
    <s v="No"/>
    <x v="1"/>
    <x v="319"/>
    <x v="3"/>
    <x v="319"/>
    <x v="3"/>
  </r>
  <r>
    <x v="1126"/>
    <x v="64"/>
    <x v="1"/>
    <s v="No"/>
    <x v="1"/>
    <x v="319"/>
    <x v="3"/>
    <x v="319"/>
    <x v="3"/>
  </r>
  <r>
    <x v="1127"/>
    <x v="64"/>
    <x v="1"/>
    <s v="No"/>
    <x v="1"/>
    <x v="319"/>
    <x v="3"/>
    <x v="319"/>
    <x v="3"/>
  </r>
  <r>
    <x v="1128"/>
    <x v="64"/>
    <x v="1"/>
    <s v="No"/>
    <x v="1"/>
    <x v="319"/>
    <x v="3"/>
    <x v="319"/>
    <x v="3"/>
  </r>
  <r>
    <x v="1129"/>
    <x v="64"/>
    <x v="1"/>
    <s v="No"/>
    <x v="1"/>
    <x v="319"/>
    <x v="3"/>
    <x v="319"/>
    <x v="3"/>
  </r>
  <r>
    <x v="1130"/>
    <x v="64"/>
    <x v="1"/>
    <s v="No"/>
    <x v="1"/>
    <x v="319"/>
    <x v="3"/>
    <x v="319"/>
    <x v="3"/>
  </r>
  <r>
    <x v="1131"/>
    <x v="64"/>
    <x v="1"/>
    <s v="No"/>
    <x v="1"/>
    <x v="319"/>
    <x v="3"/>
    <x v="319"/>
    <x v="3"/>
  </r>
  <r>
    <x v="1132"/>
    <x v="64"/>
    <x v="1"/>
    <s v="No"/>
    <x v="1"/>
    <x v="319"/>
    <x v="3"/>
    <x v="319"/>
    <x v="3"/>
  </r>
  <r>
    <x v="1133"/>
    <x v="64"/>
    <x v="1"/>
    <s v="No"/>
    <x v="1"/>
    <x v="319"/>
    <x v="3"/>
    <x v="319"/>
    <x v="3"/>
  </r>
  <r>
    <x v="1134"/>
    <x v="64"/>
    <x v="1"/>
    <s v="No"/>
    <x v="1"/>
    <x v="319"/>
    <x v="3"/>
    <x v="319"/>
    <x v="3"/>
  </r>
  <r>
    <x v="1135"/>
    <x v="64"/>
    <x v="1"/>
    <s v="No"/>
    <x v="1"/>
    <x v="319"/>
    <x v="3"/>
    <x v="319"/>
    <x v="3"/>
  </r>
  <r>
    <x v="1136"/>
    <x v="64"/>
    <x v="1"/>
    <s v="No"/>
    <x v="1"/>
    <x v="319"/>
    <x v="3"/>
    <x v="319"/>
    <x v="3"/>
  </r>
  <r>
    <x v="1137"/>
    <x v="64"/>
    <x v="1"/>
    <s v="No"/>
    <x v="1"/>
    <x v="319"/>
    <x v="3"/>
    <x v="319"/>
    <x v="3"/>
  </r>
  <r>
    <x v="1138"/>
    <x v="64"/>
    <x v="1"/>
    <s v="No"/>
    <x v="1"/>
    <x v="319"/>
    <x v="3"/>
    <x v="319"/>
    <x v="3"/>
  </r>
  <r>
    <x v="1139"/>
    <x v="64"/>
    <x v="1"/>
    <s v="No"/>
    <x v="1"/>
    <x v="319"/>
    <x v="3"/>
    <x v="319"/>
    <x v="3"/>
  </r>
  <r>
    <x v="1140"/>
    <x v="64"/>
    <x v="1"/>
    <s v="No"/>
    <x v="1"/>
    <x v="319"/>
    <x v="3"/>
    <x v="319"/>
    <x v="3"/>
  </r>
  <r>
    <x v="1141"/>
    <x v="64"/>
    <x v="1"/>
    <s v="No"/>
    <x v="1"/>
    <x v="319"/>
    <x v="3"/>
    <x v="319"/>
    <x v="3"/>
  </r>
  <r>
    <x v="1142"/>
    <x v="64"/>
    <x v="1"/>
    <s v="No"/>
    <x v="1"/>
    <x v="319"/>
    <x v="3"/>
    <x v="319"/>
    <x v="3"/>
  </r>
  <r>
    <x v="1143"/>
    <x v="64"/>
    <x v="1"/>
    <s v="No"/>
    <x v="1"/>
    <x v="319"/>
    <x v="3"/>
    <x v="319"/>
    <x v="3"/>
  </r>
  <r>
    <x v="1144"/>
    <x v="64"/>
    <x v="1"/>
    <s v="No"/>
    <x v="1"/>
    <x v="319"/>
    <x v="3"/>
    <x v="319"/>
    <x v="3"/>
  </r>
  <r>
    <x v="1145"/>
    <x v="64"/>
    <x v="1"/>
    <s v="No"/>
    <x v="1"/>
    <x v="319"/>
    <x v="3"/>
    <x v="319"/>
    <x v="3"/>
  </r>
  <r>
    <x v="1146"/>
    <x v="64"/>
    <x v="1"/>
    <s v="No"/>
    <x v="1"/>
    <x v="319"/>
    <x v="3"/>
    <x v="319"/>
    <x v="3"/>
  </r>
  <r>
    <x v="1147"/>
    <x v="64"/>
    <x v="1"/>
    <s v="No"/>
    <x v="1"/>
    <x v="319"/>
    <x v="3"/>
    <x v="319"/>
    <x v="3"/>
  </r>
  <r>
    <x v="1148"/>
    <x v="64"/>
    <x v="1"/>
    <s v="No"/>
    <x v="1"/>
    <x v="319"/>
    <x v="3"/>
    <x v="319"/>
    <x v="3"/>
  </r>
  <r>
    <x v="1149"/>
    <x v="64"/>
    <x v="1"/>
    <s v="No"/>
    <x v="1"/>
    <x v="319"/>
    <x v="3"/>
    <x v="319"/>
    <x v="3"/>
  </r>
  <r>
    <x v="1150"/>
    <x v="64"/>
    <x v="1"/>
    <s v="No"/>
    <x v="1"/>
    <x v="319"/>
    <x v="3"/>
    <x v="319"/>
    <x v="3"/>
  </r>
  <r>
    <x v="1151"/>
    <x v="64"/>
    <x v="1"/>
    <s v="No"/>
    <x v="1"/>
    <x v="319"/>
    <x v="3"/>
    <x v="319"/>
    <x v="3"/>
  </r>
  <r>
    <x v="1152"/>
    <x v="64"/>
    <x v="1"/>
    <s v="No"/>
    <x v="1"/>
    <x v="319"/>
    <x v="3"/>
    <x v="319"/>
    <x v="3"/>
  </r>
  <r>
    <x v="1153"/>
    <x v="64"/>
    <x v="1"/>
    <s v="No"/>
    <x v="1"/>
    <x v="319"/>
    <x v="3"/>
    <x v="319"/>
    <x v="3"/>
  </r>
  <r>
    <x v="1154"/>
    <x v="64"/>
    <x v="1"/>
    <s v="No"/>
    <x v="1"/>
    <x v="319"/>
    <x v="3"/>
    <x v="319"/>
    <x v="3"/>
  </r>
  <r>
    <x v="1155"/>
    <x v="64"/>
    <x v="1"/>
    <s v="No"/>
    <x v="1"/>
    <x v="319"/>
    <x v="3"/>
    <x v="319"/>
    <x v="3"/>
  </r>
  <r>
    <x v="1156"/>
    <x v="64"/>
    <x v="1"/>
    <s v="No"/>
    <x v="1"/>
    <x v="319"/>
    <x v="3"/>
    <x v="319"/>
    <x v="3"/>
  </r>
  <r>
    <x v="1157"/>
    <x v="64"/>
    <x v="1"/>
    <s v="No"/>
    <x v="1"/>
    <x v="319"/>
    <x v="3"/>
    <x v="319"/>
    <x v="3"/>
  </r>
  <r>
    <x v="1158"/>
    <x v="64"/>
    <x v="1"/>
    <s v="No"/>
    <x v="1"/>
    <x v="319"/>
    <x v="3"/>
    <x v="319"/>
    <x v="3"/>
  </r>
  <r>
    <x v="1159"/>
    <x v="64"/>
    <x v="1"/>
    <s v="No"/>
    <x v="1"/>
    <x v="319"/>
    <x v="3"/>
    <x v="319"/>
    <x v="3"/>
  </r>
  <r>
    <x v="1160"/>
    <x v="64"/>
    <x v="1"/>
    <s v="No"/>
    <x v="1"/>
    <x v="319"/>
    <x v="3"/>
    <x v="319"/>
    <x v="3"/>
  </r>
  <r>
    <x v="1161"/>
    <x v="64"/>
    <x v="1"/>
    <s v="No"/>
    <x v="1"/>
    <x v="319"/>
    <x v="3"/>
    <x v="319"/>
    <x v="3"/>
  </r>
  <r>
    <x v="1162"/>
    <x v="64"/>
    <x v="1"/>
    <s v="No"/>
    <x v="1"/>
    <x v="319"/>
    <x v="3"/>
    <x v="319"/>
    <x v="3"/>
  </r>
  <r>
    <x v="1163"/>
    <x v="64"/>
    <x v="1"/>
    <s v="No"/>
    <x v="1"/>
    <x v="319"/>
    <x v="3"/>
    <x v="319"/>
    <x v="3"/>
  </r>
  <r>
    <x v="1164"/>
    <x v="64"/>
    <x v="1"/>
    <s v="No"/>
    <x v="1"/>
    <x v="319"/>
    <x v="3"/>
    <x v="319"/>
    <x v="3"/>
  </r>
  <r>
    <x v="1165"/>
    <x v="64"/>
    <x v="1"/>
    <s v="No"/>
    <x v="1"/>
    <x v="319"/>
    <x v="3"/>
    <x v="319"/>
    <x v="3"/>
  </r>
  <r>
    <x v="1166"/>
    <x v="64"/>
    <x v="1"/>
    <s v="No"/>
    <x v="1"/>
    <x v="319"/>
    <x v="3"/>
    <x v="319"/>
    <x v="3"/>
  </r>
  <r>
    <x v="1167"/>
    <x v="64"/>
    <x v="1"/>
    <s v="No"/>
    <x v="1"/>
    <x v="319"/>
    <x v="3"/>
    <x v="319"/>
    <x v="3"/>
  </r>
  <r>
    <x v="1168"/>
    <x v="64"/>
    <x v="1"/>
    <s v="No"/>
    <x v="1"/>
    <x v="319"/>
    <x v="3"/>
    <x v="319"/>
    <x v="3"/>
  </r>
  <r>
    <x v="1169"/>
    <x v="64"/>
    <x v="1"/>
    <s v="No"/>
    <x v="1"/>
    <x v="319"/>
    <x v="3"/>
    <x v="319"/>
    <x v="3"/>
  </r>
  <r>
    <x v="1170"/>
    <x v="64"/>
    <x v="1"/>
    <s v="No"/>
    <x v="1"/>
    <x v="319"/>
    <x v="3"/>
    <x v="319"/>
    <x v="3"/>
  </r>
  <r>
    <x v="1171"/>
    <x v="64"/>
    <x v="1"/>
    <s v="No"/>
    <x v="1"/>
    <x v="319"/>
    <x v="3"/>
    <x v="319"/>
    <x v="3"/>
  </r>
  <r>
    <x v="1172"/>
    <x v="64"/>
    <x v="1"/>
    <s v="No"/>
    <x v="1"/>
    <x v="319"/>
    <x v="3"/>
    <x v="319"/>
    <x v="3"/>
  </r>
  <r>
    <x v="1173"/>
    <x v="64"/>
    <x v="1"/>
    <s v="No"/>
    <x v="1"/>
    <x v="319"/>
    <x v="3"/>
    <x v="319"/>
    <x v="3"/>
  </r>
  <r>
    <x v="1174"/>
    <x v="64"/>
    <x v="1"/>
    <s v="No"/>
    <x v="1"/>
    <x v="319"/>
    <x v="3"/>
    <x v="319"/>
    <x v="3"/>
  </r>
  <r>
    <x v="1175"/>
    <x v="64"/>
    <x v="1"/>
    <s v="No"/>
    <x v="1"/>
    <x v="319"/>
    <x v="3"/>
    <x v="319"/>
    <x v="3"/>
  </r>
  <r>
    <x v="1176"/>
    <x v="64"/>
    <x v="1"/>
    <s v="No"/>
    <x v="1"/>
    <x v="319"/>
    <x v="3"/>
    <x v="319"/>
    <x v="3"/>
  </r>
  <r>
    <x v="1177"/>
    <x v="64"/>
    <x v="1"/>
    <s v="No"/>
    <x v="1"/>
    <x v="319"/>
    <x v="3"/>
    <x v="319"/>
    <x v="3"/>
  </r>
  <r>
    <x v="1178"/>
    <x v="64"/>
    <x v="1"/>
    <s v="No"/>
    <x v="1"/>
    <x v="319"/>
    <x v="3"/>
    <x v="319"/>
    <x v="3"/>
  </r>
  <r>
    <x v="1179"/>
    <x v="64"/>
    <x v="1"/>
    <s v="No"/>
    <x v="1"/>
    <x v="319"/>
    <x v="3"/>
    <x v="319"/>
    <x v="3"/>
  </r>
  <r>
    <x v="1180"/>
    <x v="64"/>
    <x v="1"/>
    <s v="No"/>
    <x v="1"/>
    <x v="319"/>
    <x v="3"/>
    <x v="319"/>
    <x v="3"/>
  </r>
  <r>
    <x v="1181"/>
    <x v="64"/>
    <x v="1"/>
    <s v="No"/>
    <x v="1"/>
    <x v="319"/>
    <x v="3"/>
    <x v="319"/>
    <x v="3"/>
  </r>
  <r>
    <x v="1182"/>
    <x v="64"/>
    <x v="1"/>
    <s v="No"/>
    <x v="1"/>
    <x v="319"/>
    <x v="3"/>
    <x v="319"/>
    <x v="3"/>
  </r>
  <r>
    <x v="1183"/>
    <x v="64"/>
    <x v="1"/>
    <s v="No"/>
    <x v="1"/>
    <x v="319"/>
    <x v="3"/>
    <x v="319"/>
    <x v="3"/>
  </r>
  <r>
    <x v="1184"/>
    <x v="64"/>
    <x v="1"/>
    <s v="No"/>
    <x v="1"/>
    <x v="319"/>
    <x v="3"/>
    <x v="319"/>
    <x v="3"/>
  </r>
  <r>
    <x v="1185"/>
    <x v="64"/>
    <x v="1"/>
    <s v="No"/>
    <x v="1"/>
    <x v="319"/>
    <x v="3"/>
    <x v="319"/>
    <x v="3"/>
  </r>
  <r>
    <x v="1186"/>
    <x v="64"/>
    <x v="1"/>
    <s v="No"/>
    <x v="1"/>
    <x v="319"/>
    <x v="3"/>
    <x v="319"/>
    <x v="3"/>
  </r>
  <r>
    <x v="1187"/>
    <x v="64"/>
    <x v="1"/>
    <s v="No"/>
    <x v="1"/>
    <x v="319"/>
    <x v="3"/>
    <x v="319"/>
    <x v="3"/>
  </r>
  <r>
    <x v="1188"/>
    <x v="64"/>
    <x v="1"/>
    <s v="No"/>
    <x v="1"/>
    <x v="319"/>
    <x v="3"/>
    <x v="319"/>
    <x v="3"/>
  </r>
  <r>
    <x v="1189"/>
    <x v="64"/>
    <x v="1"/>
    <s v="No"/>
    <x v="1"/>
    <x v="319"/>
    <x v="3"/>
    <x v="319"/>
    <x v="3"/>
  </r>
  <r>
    <x v="1190"/>
    <x v="64"/>
    <x v="1"/>
    <s v="No"/>
    <x v="1"/>
    <x v="319"/>
    <x v="3"/>
    <x v="319"/>
    <x v="3"/>
  </r>
  <r>
    <x v="1191"/>
    <x v="64"/>
    <x v="1"/>
    <s v="No"/>
    <x v="1"/>
    <x v="319"/>
    <x v="3"/>
    <x v="319"/>
    <x v="3"/>
  </r>
  <r>
    <x v="1192"/>
    <x v="64"/>
    <x v="1"/>
    <s v="No"/>
    <x v="1"/>
    <x v="319"/>
    <x v="3"/>
    <x v="319"/>
    <x v="3"/>
  </r>
  <r>
    <x v="1193"/>
    <x v="64"/>
    <x v="1"/>
    <s v="No"/>
    <x v="1"/>
    <x v="319"/>
    <x v="3"/>
    <x v="319"/>
    <x v="3"/>
  </r>
  <r>
    <x v="1194"/>
    <x v="64"/>
    <x v="1"/>
    <s v="No"/>
    <x v="1"/>
    <x v="319"/>
    <x v="3"/>
    <x v="319"/>
    <x v="3"/>
  </r>
  <r>
    <x v="1195"/>
    <x v="64"/>
    <x v="1"/>
    <s v="No"/>
    <x v="1"/>
    <x v="319"/>
    <x v="3"/>
    <x v="319"/>
    <x v="3"/>
  </r>
  <r>
    <x v="1196"/>
    <x v="64"/>
    <x v="1"/>
    <s v="No"/>
    <x v="1"/>
    <x v="319"/>
    <x v="3"/>
    <x v="319"/>
    <x v="3"/>
  </r>
  <r>
    <x v="1197"/>
    <x v="64"/>
    <x v="1"/>
    <s v="No"/>
    <x v="1"/>
    <x v="319"/>
    <x v="3"/>
    <x v="319"/>
    <x v="3"/>
  </r>
  <r>
    <x v="1198"/>
    <x v="64"/>
    <x v="1"/>
    <s v="No"/>
    <x v="1"/>
    <x v="319"/>
    <x v="3"/>
    <x v="319"/>
    <x v="3"/>
  </r>
  <r>
    <x v="1199"/>
    <x v="64"/>
    <x v="1"/>
    <s v="No"/>
    <x v="1"/>
    <x v="319"/>
    <x v="3"/>
    <x v="319"/>
    <x v="3"/>
  </r>
  <r>
    <x v="1200"/>
    <x v="64"/>
    <x v="1"/>
    <s v="No"/>
    <x v="1"/>
    <x v="319"/>
    <x v="3"/>
    <x v="319"/>
    <x v="3"/>
  </r>
  <r>
    <x v="1201"/>
    <x v="64"/>
    <x v="1"/>
    <s v="No"/>
    <x v="1"/>
    <x v="319"/>
    <x v="3"/>
    <x v="319"/>
    <x v="3"/>
  </r>
  <r>
    <x v="1202"/>
    <x v="64"/>
    <x v="1"/>
    <s v="No"/>
    <x v="1"/>
    <x v="319"/>
    <x v="3"/>
    <x v="319"/>
    <x v="3"/>
  </r>
  <r>
    <x v="1203"/>
    <x v="64"/>
    <x v="1"/>
    <s v="No"/>
    <x v="1"/>
    <x v="319"/>
    <x v="3"/>
    <x v="319"/>
    <x v="3"/>
  </r>
  <r>
    <x v="1204"/>
    <x v="64"/>
    <x v="1"/>
    <s v="No"/>
    <x v="1"/>
    <x v="319"/>
    <x v="3"/>
    <x v="319"/>
    <x v="3"/>
  </r>
  <r>
    <x v="1205"/>
    <x v="64"/>
    <x v="1"/>
    <s v="No"/>
    <x v="1"/>
    <x v="319"/>
    <x v="3"/>
    <x v="319"/>
    <x v="3"/>
  </r>
  <r>
    <x v="1206"/>
    <x v="64"/>
    <x v="1"/>
    <s v="No"/>
    <x v="1"/>
    <x v="319"/>
    <x v="3"/>
    <x v="319"/>
    <x v="3"/>
  </r>
  <r>
    <x v="1207"/>
    <x v="64"/>
    <x v="1"/>
    <s v="No"/>
    <x v="1"/>
    <x v="319"/>
    <x v="3"/>
    <x v="319"/>
    <x v="3"/>
  </r>
  <r>
    <x v="1208"/>
    <x v="64"/>
    <x v="1"/>
    <s v="No"/>
    <x v="1"/>
    <x v="319"/>
    <x v="3"/>
    <x v="319"/>
    <x v="3"/>
  </r>
  <r>
    <x v="1209"/>
    <x v="64"/>
    <x v="1"/>
    <s v="No"/>
    <x v="1"/>
    <x v="319"/>
    <x v="3"/>
    <x v="319"/>
    <x v="3"/>
  </r>
  <r>
    <x v="1210"/>
    <x v="64"/>
    <x v="1"/>
    <s v="No"/>
    <x v="1"/>
    <x v="319"/>
    <x v="3"/>
    <x v="319"/>
    <x v="3"/>
  </r>
  <r>
    <x v="1211"/>
    <x v="64"/>
    <x v="1"/>
    <s v="No"/>
    <x v="1"/>
    <x v="319"/>
    <x v="3"/>
    <x v="319"/>
    <x v="3"/>
  </r>
  <r>
    <x v="1212"/>
    <x v="64"/>
    <x v="1"/>
    <s v="No"/>
    <x v="1"/>
    <x v="319"/>
    <x v="3"/>
    <x v="319"/>
    <x v="3"/>
  </r>
  <r>
    <x v="1213"/>
    <x v="64"/>
    <x v="1"/>
    <s v="No"/>
    <x v="1"/>
    <x v="319"/>
    <x v="3"/>
    <x v="319"/>
    <x v="3"/>
  </r>
  <r>
    <x v="1214"/>
    <x v="64"/>
    <x v="1"/>
    <s v="No"/>
    <x v="1"/>
    <x v="319"/>
    <x v="3"/>
    <x v="319"/>
    <x v="3"/>
  </r>
  <r>
    <x v="1215"/>
    <x v="64"/>
    <x v="1"/>
    <s v="No"/>
    <x v="1"/>
    <x v="319"/>
    <x v="3"/>
    <x v="319"/>
    <x v="3"/>
  </r>
  <r>
    <x v="1216"/>
    <x v="64"/>
    <x v="1"/>
    <s v="No"/>
    <x v="1"/>
    <x v="319"/>
    <x v="3"/>
    <x v="319"/>
    <x v="3"/>
  </r>
  <r>
    <x v="1217"/>
    <x v="64"/>
    <x v="1"/>
    <s v="No"/>
    <x v="1"/>
    <x v="319"/>
    <x v="3"/>
    <x v="319"/>
    <x v="3"/>
  </r>
  <r>
    <x v="1218"/>
    <x v="64"/>
    <x v="1"/>
    <s v="No"/>
    <x v="1"/>
    <x v="319"/>
    <x v="3"/>
    <x v="319"/>
    <x v="3"/>
  </r>
  <r>
    <x v="1219"/>
    <x v="64"/>
    <x v="1"/>
    <s v="No"/>
    <x v="1"/>
    <x v="319"/>
    <x v="3"/>
    <x v="319"/>
    <x v="3"/>
  </r>
  <r>
    <x v="1220"/>
    <x v="64"/>
    <x v="1"/>
    <s v="No"/>
    <x v="1"/>
    <x v="319"/>
    <x v="3"/>
    <x v="319"/>
    <x v="3"/>
  </r>
  <r>
    <x v="1221"/>
    <x v="64"/>
    <x v="1"/>
    <s v="No"/>
    <x v="1"/>
    <x v="319"/>
    <x v="3"/>
    <x v="319"/>
    <x v="3"/>
  </r>
  <r>
    <x v="1222"/>
    <x v="64"/>
    <x v="1"/>
    <s v="No"/>
    <x v="1"/>
    <x v="319"/>
    <x v="3"/>
    <x v="319"/>
    <x v="3"/>
  </r>
  <r>
    <x v="1223"/>
    <x v="64"/>
    <x v="1"/>
    <s v="No"/>
    <x v="1"/>
    <x v="319"/>
    <x v="3"/>
    <x v="319"/>
    <x v="3"/>
  </r>
  <r>
    <x v="1224"/>
    <x v="64"/>
    <x v="1"/>
    <s v="No"/>
    <x v="1"/>
    <x v="319"/>
    <x v="3"/>
    <x v="319"/>
    <x v="3"/>
  </r>
  <r>
    <x v="1225"/>
    <x v="64"/>
    <x v="1"/>
    <s v="No"/>
    <x v="1"/>
    <x v="319"/>
    <x v="3"/>
    <x v="319"/>
    <x v="3"/>
  </r>
  <r>
    <x v="1226"/>
    <x v="64"/>
    <x v="1"/>
    <s v="No"/>
    <x v="1"/>
    <x v="319"/>
    <x v="3"/>
    <x v="319"/>
    <x v="3"/>
  </r>
  <r>
    <x v="1227"/>
    <x v="64"/>
    <x v="1"/>
    <s v="No"/>
    <x v="1"/>
    <x v="319"/>
    <x v="3"/>
    <x v="319"/>
    <x v="3"/>
  </r>
  <r>
    <x v="1228"/>
    <x v="64"/>
    <x v="1"/>
    <s v="No"/>
    <x v="1"/>
    <x v="319"/>
    <x v="3"/>
    <x v="319"/>
    <x v="3"/>
  </r>
  <r>
    <x v="1229"/>
    <x v="64"/>
    <x v="1"/>
    <s v="No"/>
    <x v="1"/>
    <x v="319"/>
    <x v="3"/>
    <x v="319"/>
    <x v="3"/>
  </r>
  <r>
    <x v="1230"/>
    <x v="64"/>
    <x v="1"/>
    <s v="No"/>
    <x v="1"/>
    <x v="319"/>
    <x v="3"/>
    <x v="319"/>
    <x v="3"/>
  </r>
  <r>
    <x v="1231"/>
    <x v="64"/>
    <x v="1"/>
    <s v="No"/>
    <x v="1"/>
    <x v="319"/>
    <x v="3"/>
    <x v="319"/>
    <x v="3"/>
  </r>
  <r>
    <x v="1232"/>
    <x v="64"/>
    <x v="1"/>
    <s v="No"/>
    <x v="1"/>
    <x v="319"/>
    <x v="3"/>
    <x v="319"/>
    <x v="3"/>
  </r>
  <r>
    <x v="1233"/>
    <x v="64"/>
    <x v="1"/>
    <s v="No"/>
    <x v="1"/>
    <x v="319"/>
    <x v="3"/>
    <x v="319"/>
    <x v="3"/>
  </r>
  <r>
    <x v="1234"/>
    <x v="64"/>
    <x v="1"/>
    <s v="No"/>
    <x v="1"/>
    <x v="319"/>
    <x v="3"/>
    <x v="319"/>
    <x v="3"/>
  </r>
  <r>
    <x v="1235"/>
    <x v="64"/>
    <x v="1"/>
    <s v="No"/>
    <x v="1"/>
    <x v="319"/>
    <x v="3"/>
    <x v="319"/>
    <x v="3"/>
  </r>
  <r>
    <x v="1236"/>
    <x v="64"/>
    <x v="1"/>
    <s v="No"/>
    <x v="1"/>
    <x v="319"/>
    <x v="3"/>
    <x v="319"/>
    <x v="3"/>
  </r>
  <r>
    <x v="1237"/>
    <x v="64"/>
    <x v="1"/>
    <s v="No"/>
    <x v="1"/>
    <x v="319"/>
    <x v="3"/>
    <x v="319"/>
    <x v="3"/>
  </r>
  <r>
    <x v="1238"/>
    <x v="64"/>
    <x v="1"/>
    <s v="No"/>
    <x v="1"/>
    <x v="319"/>
    <x v="3"/>
    <x v="319"/>
    <x v="3"/>
  </r>
  <r>
    <x v="1239"/>
    <x v="64"/>
    <x v="1"/>
    <s v="No"/>
    <x v="1"/>
    <x v="319"/>
    <x v="3"/>
    <x v="319"/>
    <x v="3"/>
  </r>
  <r>
    <x v="1240"/>
    <x v="64"/>
    <x v="1"/>
    <s v="No"/>
    <x v="1"/>
    <x v="319"/>
    <x v="3"/>
    <x v="319"/>
    <x v="3"/>
  </r>
  <r>
    <x v="1241"/>
    <x v="64"/>
    <x v="1"/>
    <s v="No"/>
    <x v="1"/>
    <x v="319"/>
    <x v="3"/>
    <x v="319"/>
    <x v="3"/>
  </r>
  <r>
    <x v="1242"/>
    <x v="64"/>
    <x v="1"/>
    <s v="No"/>
    <x v="1"/>
    <x v="319"/>
    <x v="3"/>
    <x v="319"/>
    <x v="3"/>
  </r>
  <r>
    <x v="1243"/>
    <x v="64"/>
    <x v="1"/>
    <s v="No"/>
    <x v="1"/>
    <x v="319"/>
    <x v="3"/>
    <x v="319"/>
    <x v="3"/>
  </r>
  <r>
    <x v="1244"/>
    <x v="64"/>
    <x v="1"/>
    <s v="No"/>
    <x v="1"/>
    <x v="319"/>
    <x v="3"/>
    <x v="319"/>
    <x v="3"/>
  </r>
  <r>
    <x v="1245"/>
    <x v="64"/>
    <x v="1"/>
    <s v="No"/>
    <x v="1"/>
    <x v="319"/>
    <x v="3"/>
    <x v="319"/>
    <x v="3"/>
  </r>
  <r>
    <x v="1246"/>
    <x v="64"/>
    <x v="1"/>
    <s v="No"/>
    <x v="1"/>
    <x v="319"/>
    <x v="3"/>
    <x v="319"/>
    <x v="3"/>
  </r>
  <r>
    <x v="1247"/>
    <x v="64"/>
    <x v="1"/>
    <s v="No"/>
    <x v="1"/>
    <x v="319"/>
    <x v="3"/>
    <x v="319"/>
    <x v="3"/>
  </r>
  <r>
    <x v="1248"/>
    <x v="64"/>
    <x v="1"/>
    <s v="No"/>
    <x v="1"/>
    <x v="319"/>
    <x v="3"/>
    <x v="319"/>
    <x v="3"/>
  </r>
  <r>
    <x v="1249"/>
    <x v="64"/>
    <x v="1"/>
    <s v="No"/>
    <x v="1"/>
    <x v="319"/>
    <x v="3"/>
    <x v="319"/>
    <x v="3"/>
  </r>
  <r>
    <x v="1250"/>
    <x v="64"/>
    <x v="1"/>
    <s v="No"/>
    <x v="1"/>
    <x v="319"/>
    <x v="3"/>
    <x v="319"/>
    <x v="3"/>
  </r>
  <r>
    <x v="1251"/>
    <x v="64"/>
    <x v="1"/>
    <s v="No"/>
    <x v="1"/>
    <x v="319"/>
    <x v="3"/>
    <x v="319"/>
    <x v="3"/>
  </r>
  <r>
    <x v="1252"/>
    <x v="64"/>
    <x v="1"/>
    <s v="No"/>
    <x v="1"/>
    <x v="319"/>
    <x v="3"/>
    <x v="319"/>
    <x v="3"/>
  </r>
  <r>
    <x v="1253"/>
    <x v="64"/>
    <x v="1"/>
    <s v="No"/>
    <x v="1"/>
    <x v="319"/>
    <x v="3"/>
    <x v="319"/>
    <x v="3"/>
  </r>
  <r>
    <x v="1254"/>
    <x v="64"/>
    <x v="1"/>
    <s v="No"/>
    <x v="1"/>
    <x v="319"/>
    <x v="3"/>
    <x v="319"/>
    <x v="3"/>
  </r>
  <r>
    <x v="1255"/>
    <x v="64"/>
    <x v="1"/>
    <s v="No"/>
    <x v="1"/>
    <x v="319"/>
    <x v="3"/>
    <x v="319"/>
    <x v="3"/>
  </r>
  <r>
    <x v="1256"/>
    <x v="64"/>
    <x v="1"/>
    <s v="No"/>
    <x v="1"/>
    <x v="319"/>
    <x v="3"/>
    <x v="319"/>
    <x v="3"/>
  </r>
  <r>
    <x v="1257"/>
    <x v="64"/>
    <x v="1"/>
    <s v="No"/>
    <x v="1"/>
    <x v="319"/>
    <x v="3"/>
    <x v="319"/>
    <x v="3"/>
  </r>
  <r>
    <x v="1258"/>
    <x v="64"/>
    <x v="1"/>
    <s v="No"/>
    <x v="1"/>
    <x v="319"/>
    <x v="3"/>
    <x v="319"/>
    <x v="3"/>
  </r>
  <r>
    <x v="1259"/>
    <x v="64"/>
    <x v="1"/>
    <s v="No"/>
    <x v="1"/>
    <x v="319"/>
    <x v="3"/>
    <x v="319"/>
    <x v="3"/>
  </r>
  <r>
    <x v="1260"/>
    <x v="64"/>
    <x v="1"/>
    <s v="No"/>
    <x v="1"/>
    <x v="319"/>
    <x v="3"/>
    <x v="319"/>
    <x v="3"/>
  </r>
  <r>
    <x v="1261"/>
    <x v="64"/>
    <x v="1"/>
    <s v="No"/>
    <x v="1"/>
    <x v="319"/>
    <x v="3"/>
    <x v="319"/>
    <x v="3"/>
  </r>
  <r>
    <x v="1262"/>
    <x v="64"/>
    <x v="1"/>
    <s v="No"/>
    <x v="1"/>
    <x v="319"/>
    <x v="3"/>
    <x v="319"/>
    <x v="3"/>
  </r>
  <r>
    <x v="1263"/>
    <x v="64"/>
    <x v="1"/>
    <s v="No"/>
    <x v="1"/>
    <x v="319"/>
    <x v="3"/>
    <x v="319"/>
    <x v="3"/>
  </r>
  <r>
    <x v="1264"/>
    <x v="64"/>
    <x v="1"/>
    <s v="No"/>
    <x v="1"/>
    <x v="319"/>
    <x v="3"/>
    <x v="319"/>
    <x v="3"/>
  </r>
  <r>
    <x v="1265"/>
    <x v="64"/>
    <x v="1"/>
    <s v="No"/>
    <x v="1"/>
    <x v="319"/>
    <x v="3"/>
    <x v="319"/>
    <x v="3"/>
  </r>
  <r>
    <x v="1266"/>
    <x v="64"/>
    <x v="1"/>
    <s v="No"/>
    <x v="1"/>
    <x v="319"/>
    <x v="3"/>
    <x v="319"/>
    <x v="3"/>
  </r>
  <r>
    <x v="1267"/>
    <x v="64"/>
    <x v="1"/>
    <s v="No"/>
    <x v="1"/>
    <x v="319"/>
    <x v="3"/>
    <x v="319"/>
    <x v="3"/>
  </r>
  <r>
    <x v="1268"/>
    <x v="64"/>
    <x v="1"/>
    <s v="No"/>
    <x v="1"/>
    <x v="319"/>
    <x v="3"/>
    <x v="319"/>
    <x v="3"/>
  </r>
  <r>
    <x v="1269"/>
    <x v="64"/>
    <x v="1"/>
    <s v="No"/>
    <x v="1"/>
    <x v="319"/>
    <x v="3"/>
    <x v="319"/>
    <x v="3"/>
  </r>
  <r>
    <x v="1270"/>
    <x v="64"/>
    <x v="1"/>
    <s v="No"/>
    <x v="1"/>
    <x v="319"/>
    <x v="3"/>
    <x v="319"/>
    <x v="3"/>
  </r>
  <r>
    <x v="1271"/>
    <x v="64"/>
    <x v="1"/>
    <s v="No"/>
    <x v="1"/>
    <x v="319"/>
    <x v="3"/>
    <x v="319"/>
    <x v="3"/>
  </r>
  <r>
    <x v="1272"/>
    <x v="64"/>
    <x v="1"/>
    <s v="No"/>
    <x v="1"/>
    <x v="319"/>
    <x v="3"/>
    <x v="319"/>
    <x v="3"/>
  </r>
  <r>
    <x v="1273"/>
    <x v="64"/>
    <x v="1"/>
    <s v="No"/>
    <x v="1"/>
    <x v="319"/>
    <x v="3"/>
    <x v="319"/>
    <x v="3"/>
  </r>
  <r>
    <x v="1274"/>
    <x v="64"/>
    <x v="1"/>
    <s v="No"/>
    <x v="1"/>
    <x v="319"/>
    <x v="3"/>
    <x v="319"/>
    <x v="3"/>
  </r>
  <r>
    <x v="1275"/>
    <x v="64"/>
    <x v="1"/>
    <s v="No"/>
    <x v="1"/>
    <x v="319"/>
    <x v="3"/>
    <x v="319"/>
    <x v="3"/>
  </r>
  <r>
    <x v="1276"/>
    <x v="64"/>
    <x v="1"/>
    <s v="No"/>
    <x v="1"/>
    <x v="319"/>
    <x v="3"/>
    <x v="319"/>
    <x v="3"/>
  </r>
  <r>
    <x v="1277"/>
    <x v="64"/>
    <x v="1"/>
    <s v="No"/>
    <x v="1"/>
    <x v="319"/>
    <x v="3"/>
    <x v="319"/>
    <x v="3"/>
  </r>
  <r>
    <x v="1278"/>
    <x v="64"/>
    <x v="1"/>
    <s v="No"/>
    <x v="1"/>
    <x v="319"/>
    <x v="3"/>
    <x v="319"/>
    <x v="3"/>
  </r>
  <r>
    <x v="1279"/>
    <x v="64"/>
    <x v="1"/>
    <s v="No"/>
    <x v="1"/>
    <x v="319"/>
    <x v="3"/>
    <x v="319"/>
    <x v="3"/>
  </r>
  <r>
    <x v="1280"/>
    <x v="64"/>
    <x v="1"/>
    <s v="No"/>
    <x v="1"/>
    <x v="319"/>
    <x v="3"/>
    <x v="319"/>
    <x v="3"/>
  </r>
  <r>
    <x v="1281"/>
    <x v="64"/>
    <x v="1"/>
    <s v="No"/>
    <x v="1"/>
    <x v="319"/>
    <x v="3"/>
    <x v="319"/>
    <x v="3"/>
  </r>
  <r>
    <x v="1282"/>
    <x v="64"/>
    <x v="1"/>
    <s v="No"/>
    <x v="1"/>
    <x v="319"/>
    <x v="3"/>
    <x v="319"/>
    <x v="3"/>
  </r>
  <r>
    <x v="1283"/>
    <x v="64"/>
    <x v="1"/>
    <s v="No"/>
    <x v="1"/>
    <x v="319"/>
    <x v="3"/>
    <x v="319"/>
    <x v="3"/>
  </r>
  <r>
    <x v="1284"/>
    <x v="64"/>
    <x v="1"/>
    <s v="No"/>
    <x v="1"/>
    <x v="319"/>
    <x v="3"/>
    <x v="319"/>
    <x v="3"/>
  </r>
  <r>
    <x v="1285"/>
    <x v="64"/>
    <x v="1"/>
    <s v="No"/>
    <x v="1"/>
    <x v="319"/>
    <x v="3"/>
    <x v="319"/>
    <x v="3"/>
  </r>
  <r>
    <x v="1286"/>
    <x v="64"/>
    <x v="1"/>
    <s v="No"/>
    <x v="1"/>
    <x v="319"/>
    <x v="3"/>
    <x v="319"/>
    <x v="3"/>
  </r>
  <r>
    <x v="1287"/>
    <x v="64"/>
    <x v="1"/>
    <s v="No"/>
    <x v="1"/>
    <x v="319"/>
    <x v="3"/>
    <x v="319"/>
    <x v="3"/>
  </r>
  <r>
    <x v="1288"/>
    <x v="64"/>
    <x v="1"/>
    <s v="No"/>
    <x v="1"/>
    <x v="319"/>
    <x v="3"/>
    <x v="319"/>
    <x v="3"/>
  </r>
  <r>
    <x v="1289"/>
    <x v="64"/>
    <x v="1"/>
    <s v="No"/>
    <x v="1"/>
    <x v="319"/>
    <x v="3"/>
    <x v="319"/>
    <x v="3"/>
  </r>
  <r>
    <x v="1290"/>
    <x v="64"/>
    <x v="1"/>
    <s v="No"/>
    <x v="1"/>
    <x v="319"/>
    <x v="3"/>
    <x v="319"/>
    <x v="3"/>
  </r>
  <r>
    <x v="1291"/>
    <x v="64"/>
    <x v="1"/>
    <s v="No"/>
    <x v="1"/>
    <x v="319"/>
    <x v="3"/>
    <x v="319"/>
    <x v="3"/>
  </r>
  <r>
    <x v="1292"/>
    <x v="64"/>
    <x v="1"/>
    <s v="No"/>
    <x v="1"/>
    <x v="319"/>
    <x v="3"/>
    <x v="319"/>
    <x v="3"/>
  </r>
  <r>
    <x v="1293"/>
    <x v="64"/>
    <x v="1"/>
    <s v="No"/>
    <x v="1"/>
    <x v="319"/>
    <x v="3"/>
    <x v="319"/>
    <x v="3"/>
  </r>
  <r>
    <x v="1294"/>
    <x v="64"/>
    <x v="1"/>
    <s v="No"/>
    <x v="1"/>
    <x v="319"/>
    <x v="3"/>
    <x v="319"/>
    <x v="3"/>
  </r>
  <r>
    <x v="1295"/>
    <x v="64"/>
    <x v="1"/>
    <s v="No"/>
    <x v="1"/>
    <x v="319"/>
    <x v="3"/>
    <x v="319"/>
    <x v="3"/>
  </r>
  <r>
    <x v="1296"/>
    <x v="64"/>
    <x v="1"/>
    <s v="No"/>
    <x v="1"/>
    <x v="319"/>
    <x v="3"/>
    <x v="319"/>
    <x v="3"/>
  </r>
  <r>
    <x v="1297"/>
    <x v="64"/>
    <x v="1"/>
    <s v="No"/>
    <x v="1"/>
    <x v="319"/>
    <x v="3"/>
    <x v="319"/>
    <x v="3"/>
  </r>
  <r>
    <x v="1298"/>
    <x v="64"/>
    <x v="1"/>
    <s v="No"/>
    <x v="1"/>
    <x v="319"/>
    <x v="3"/>
    <x v="319"/>
    <x v="3"/>
  </r>
  <r>
    <x v="1299"/>
    <x v="64"/>
    <x v="1"/>
    <s v="No"/>
    <x v="1"/>
    <x v="319"/>
    <x v="3"/>
    <x v="319"/>
    <x v="3"/>
  </r>
  <r>
    <x v="1300"/>
    <x v="64"/>
    <x v="1"/>
    <s v="No"/>
    <x v="1"/>
    <x v="319"/>
    <x v="3"/>
    <x v="319"/>
    <x v="3"/>
  </r>
  <r>
    <x v="1301"/>
    <x v="64"/>
    <x v="1"/>
    <s v="No"/>
    <x v="1"/>
    <x v="319"/>
    <x v="3"/>
    <x v="319"/>
    <x v="3"/>
  </r>
  <r>
    <x v="1302"/>
    <x v="64"/>
    <x v="1"/>
    <s v="No"/>
    <x v="1"/>
    <x v="319"/>
    <x v="3"/>
    <x v="319"/>
    <x v="3"/>
  </r>
  <r>
    <x v="1303"/>
    <x v="64"/>
    <x v="1"/>
    <s v="No"/>
    <x v="1"/>
    <x v="319"/>
    <x v="3"/>
    <x v="319"/>
    <x v="3"/>
  </r>
  <r>
    <x v="1304"/>
    <x v="64"/>
    <x v="1"/>
    <s v="No"/>
    <x v="1"/>
    <x v="319"/>
    <x v="3"/>
    <x v="319"/>
    <x v="3"/>
  </r>
  <r>
    <x v="1305"/>
    <x v="64"/>
    <x v="1"/>
    <s v="No"/>
    <x v="1"/>
    <x v="319"/>
    <x v="3"/>
    <x v="319"/>
    <x v="3"/>
  </r>
  <r>
    <x v="1306"/>
    <x v="64"/>
    <x v="1"/>
    <s v="No"/>
    <x v="1"/>
    <x v="319"/>
    <x v="3"/>
    <x v="319"/>
    <x v="3"/>
  </r>
  <r>
    <x v="1307"/>
    <x v="64"/>
    <x v="1"/>
    <s v="No"/>
    <x v="1"/>
    <x v="319"/>
    <x v="3"/>
    <x v="319"/>
    <x v="3"/>
  </r>
  <r>
    <x v="1308"/>
    <x v="64"/>
    <x v="1"/>
    <s v="No"/>
    <x v="1"/>
    <x v="319"/>
    <x v="3"/>
    <x v="319"/>
    <x v="3"/>
  </r>
  <r>
    <x v="1309"/>
    <x v="64"/>
    <x v="1"/>
    <s v="No"/>
    <x v="1"/>
    <x v="319"/>
    <x v="3"/>
    <x v="319"/>
    <x v="3"/>
  </r>
  <r>
    <x v="1310"/>
    <x v="64"/>
    <x v="1"/>
    <s v="No"/>
    <x v="1"/>
    <x v="319"/>
    <x v="3"/>
    <x v="319"/>
    <x v="3"/>
  </r>
  <r>
    <x v="1311"/>
    <x v="64"/>
    <x v="1"/>
    <s v="No"/>
    <x v="1"/>
    <x v="319"/>
    <x v="3"/>
    <x v="319"/>
    <x v="3"/>
  </r>
  <r>
    <x v="1312"/>
    <x v="64"/>
    <x v="1"/>
    <s v="No"/>
    <x v="1"/>
    <x v="319"/>
    <x v="3"/>
    <x v="319"/>
    <x v="3"/>
  </r>
  <r>
    <x v="1313"/>
    <x v="64"/>
    <x v="1"/>
    <s v="No"/>
    <x v="1"/>
    <x v="319"/>
    <x v="3"/>
    <x v="319"/>
    <x v="3"/>
  </r>
  <r>
    <x v="1314"/>
    <x v="64"/>
    <x v="1"/>
    <s v="No"/>
    <x v="1"/>
    <x v="319"/>
    <x v="3"/>
    <x v="319"/>
    <x v="3"/>
  </r>
  <r>
    <x v="1315"/>
    <x v="64"/>
    <x v="1"/>
    <s v="No"/>
    <x v="1"/>
    <x v="319"/>
    <x v="3"/>
    <x v="319"/>
    <x v="3"/>
  </r>
  <r>
    <x v="1316"/>
    <x v="64"/>
    <x v="1"/>
    <s v="No"/>
    <x v="1"/>
    <x v="319"/>
    <x v="3"/>
    <x v="319"/>
    <x v="3"/>
  </r>
  <r>
    <x v="1317"/>
    <x v="64"/>
    <x v="1"/>
    <s v="No"/>
    <x v="1"/>
    <x v="319"/>
    <x v="3"/>
    <x v="319"/>
    <x v="3"/>
  </r>
  <r>
    <x v="1318"/>
    <x v="64"/>
    <x v="1"/>
    <s v="No"/>
    <x v="1"/>
    <x v="319"/>
    <x v="3"/>
    <x v="319"/>
    <x v="3"/>
  </r>
  <r>
    <x v="1319"/>
    <x v="64"/>
    <x v="1"/>
    <s v="No"/>
    <x v="1"/>
    <x v="319"/>
    <x v="3"/>
    <x v="319"/>
    <x v="3"/>
  </r>
  <r>
    <x v="1320"/>
    <x v="64"/>
    <x v="1"/>
    <s v="No"/>
    <x v="1"/>
    <x v="319"/>
    <x v="3"/>
    <x v="319"/>
    <x v="3"/>
  </r>
  <r>
    <x v="1321"/>
    <x v="64"/>
    <x v="1"/>
    <s v="No"/>
    <x v="1"/>
    <x v="319"/>
    <x v="3"/>
    <x v="319"/>
    <x v="3"/>
  </r>
  <r>
    <x v="1322"/>
    <x v="64"/>
    <x v="1"/>
    <s v="No"/>
    <x v="1"/>
    <x v="319"/>
    <x v="3"/>
    <x v="319"/>
    <x v="3"/>
  </r>
  <r>
    <x v="1323"/>
    <x v="64"/>
    <x v="1"/>
    <s v="No"/>
    <x v="1"/>
    <x v="319"/>
    <x v="3"/>
    <x v="319"/>
    <x v="3"/>
  </r>
  <r>
    <x v="1324"/>
    <x v="64"/>
    <x v="1"/>
    <s v="No"/>
    <x v="1"/>
    <x v="319"/>
    <x v="3"/>
    <x v="319"/>
    <x v="3"/>
  </r>
  <r>
    <x v="1325"/>
    <x v="64"/>
    <x v="1"/>
    <s v="No"/>
    <x v="1"/>
    <x v="319"/>
    <x v="3"/>
    <x v="319"/>
    <x v="3"/>
  </r>
  <r>
    <x v="1326"/>
    <x v="64"/>
    <x v="1"/>
    <s v="No"/>
    <x v="1"/>
    <x v="319"/>
    <x v="3"/>
    <x v="319"/>
    <x v="3"/>
  </r>
  <r>
    <x v="1327"/>
    <x v="64"/>
    <x v="1"/>
    <s v="No"/>
    <x v="1"/>
    <x v="319"/>
    <x v="3"/>
    <x v="319"/>
    <x v="3"/>
  </r>
  <r>
    <x v="1328"/>
    <x v="64"/>
    <x v="1"/>
    <s v="No"/>
    <x v="1"/>
    <x v="319"/>
    <x v="3"/>
    <x v="319"/>
    <x v="3"/>
  </r>
  <r>
    <x v="1329"/>
    <x v="64"/>
    <x v="1"/>
    <s v="No"/>
    <x v="1"/>
    <x v="319"/>
    <x v="3"/>
    <x v="319"/>
    <x v="3"/>
  </r>
  <r>
    <x v="1330"/>
    <x v="64"/>
    <x v="1"/>
    <s v="No"/>
    <x v="1"/>
    <x v="319"/>
    <x v="3"/>
    <x v="319"/>
    <x v="3"/>
  </r>
  <r>
    <x v="1331"/>
    <x v="64"/>
    <x v="1"/>
    <s v="No"/>
    <x v="1"/>
    <x v="319"/>
    <x v="3"/>
    <x v="319"/>
    <x v="3"/>
  </r>
  <r>
    <x v="1332"/>
    <x v="64"/>
    <x v="1"/>
    <s v="No"/>
    <x v="1"/>
    <x v="319"/>
    <x v="3"/>
    <x v="319"/>
    <x v="3"/>
  </r>
  <r>
    <x v="1333"/>
    <x v="64"/>
    <x v="1"/>
    <s v="No"/>
    <x v="1"/>
    <x v="319"/>
    <x v="3"/>
    <x v="319"/>
    <x v="3"/>
  </r>
  <r>
    <x v="1334"/>
    <x v="64"/>
    <x v="1"/>
    <s v="No"/>
    <x v="1"/>
    <x v="319"/>
    <x v="3"/>
    <x v="319"/>
    <x v="3"/>
  </r>
  <r>
    <x v="1335"/>
    <x v="64"/>
    <x v="1"/>
    <s v="No"/>
    <x v="1"/>
    <x v="319"/>
    <x v="3"/>
    <x v="319"/>
    <x v="3"/>
  </r>
  <r>
    <x v="1336"/>
    <x v="64"/>
    <x v="1"/>
    <s v="No"/>
    <x v="1"/>
    <x v="319"/>
    <x v="3"/>
    <x v="319"/>
    <x v="3"/>
  </r>
  <r>
    <x v="1337"/>
    <x v="64"/>
    <x v="1"/>
    <s v="No"/>
    <x v="1"/>
    <x v="319"/>
    <x v="3"/>
    <x v="319"/>
    <x v="3"/>
  </r>
  <r>
    <x v="1338"/>
    <x v="64"/>
    <x v="1"/>
    <s v="No"/>
    <x v="1"/>
    <x v="319"/>
    <x v="3"/>
    <x v="319"/>
    <x v="3"/>
  </r>
  <r>
    <x v="1339"/>
    <x v="64"/>
    <x v="1"/>
    <s v="No"/>
    <x v="1"/>
    <x v="319"/>
    <x v="3"/>
    <x v="319"/>
    <x v="3"/>
  </r>
  <r>
    <x v="1340"/>
    <x v="64"/>
    <x v="1"/>
    <s v="No"/>
    <x v="1"/>
    <x v="319"/>
    <x v="3"/>
    <x v="319"/>
    <x v="3"/>
  </r>
  <r>
    <x v="1341"/>
    <x v="64"/>
    <x v="1"/>
    <s v="No"/>
    <x v="1"/>
    <x v="319"/>
    <x v="3"/>
    <x v="319"/>
    <x v="3"/>
  </r>
  <r>
    <x v="1342"/>
    <x v="64"/>
    <x v="1"/>
    <s v="No"/>
    <x v="1"/>
    <x v="319"/>
    <x v="3"/>
    <x v="319"/>
    <x v="3"/>
  </r>
  <r>
    <x v="1343"/>
    <x v="64"/>
    <x v="1"/>
    <s v="No"/>
    <x v="1"/>
    <x v="319"/>
    <x v="3"/>
    <x v="319"/>
    <x v="3"/>
  </r>
  <r>
    <x v="1344"/>
    <x v="64"/>
    <x v="1"/>
    <s v="No"/>
    <x v="1"/>
    <x v="319"/>
    <x v="3"/>
    <x v="319"/>
    <x v="3"/>
  </r>
  <r>
    <x v="1345"/>
    <x v="64"/>
    <x v="1"/>
    <s v="No"/>
    <x v="1"/>
    <x v="319"/>
    <x v="3"/>
    <x v="319"/>
    <x v="3"/>
  </r>
  <r>
    <x v="1346"/>
    <x v="64"/>
    <x v="1"/>
    <s v="No"/>
    <x v="1"/>
    <x v="319"/>
    <x v="3"/>
    <x v="319"/>
    <x v="3"/>
  </r>
  <r>
    <x v="1347"/>
    <x v="64"/>
    <x v="1"/>
    <s v="No"/>
    <x v="1"/>
    <x v="319"/>
    <x v="3"/>
    <x v="319"/>
    <x v="3"/>
  </r>
  <r>
    <x v="1348"/>
    <x v="64"/>
    <x v="1"/>
    <s v="No"/>
    <x v="1"/>
    <x v="319"/>
    <x v="3"/>
    <x v="319"/>
    <x v="3"/>
  </r>
  <r>
    <x v="1349"/>
    <x v="64"/>
    <x v="1"/>
    <s v="No"/>
    <x v="1"/>
    <x v="319"/>
    <x v="3"/>
    <x v="319"/>
    <x v="3"/>
  </r>
  <r>
    <x v="1350"/>
    <x v="64"/>
    <x v="1"/>
    <s v="No"/>
    <x v="1"/>
    <x v="319"/>
    <x v="3"/>
    <x v="319"/>
    <x v="3"/>
  </r>
  <r>
    <x v="1351"/>
    <x v="64"/>
    <x v="1"/>
    <s v="No"/>
    <x v="1"/>
    <x v="319"/>
    <x v="3"/>
    <x v="319"/>
    <x v="3"/>
  </r>
  <r>
    <x v="1352"/>
    <x v="64"/>
    <x v="1"/>
    <s v="No"/>
    <x v="1"/>
    <x v="319"/>
    <x v="3"/>
    <x v="319"/>
    <x v="3"/>
  </r>
  <r>
    <x v="1353"/>
    <x v="64"/>
    <x v="1"/>
    <s v="No"/>
    <x v="1"/>
    <x v="319"/>
    <x v="3"/>
    <x v="319"/>
    <x v="3"/>
  </r>
  <r>
    <x v="1354"/>
    <x v="64"/>
    <x v="1"/>
    <s v="No"/>
    <x v="1"/>
    <x v="319"/>
    <x v="3"/>
    <x v="319"/>
    <x v="3"/>
  </r>
  <r>
    <x v="1355"/>
    <x v="64"/>
    <x v="1"/>
    <s v="No"/>
    <x v="1"/>
    <x v="319"/>
    <x v="3"/>
    <x v="319"/>
    <x v="3"/>
  </r>
  <r>
    <x v="1356"/>
    <x v="64"/>
    <x v="1"/>
    <s v="No"/>
    <x v="1"/>
    <x v="319"/>
    <x v="3"/>
    <x v="319"/>
    <x v="3"/>
  </r>
  <r>
    <x v="1357"/>
    <x v="64"/>
    <x v="1"/>
    <s v="No"/>
    <x v="1"/>
    <x v="319"/>
    <x v="3"/>
    <x v="319"/>
    <x v="3"/>
  </r>
  <r>
    <x v="1358"/>
    <x v="64"/>
    <x v="1"/>
    <s v="No"/>
    <x v="1"/>
    <x v="319"/>
    <x v="3"/>
    <x v="319"/>
    <x v="3"/>
  </r>
  <r>
    <x v="1359"/>
    <x v="64"/>
    <x v="1"/>
    <s v="No"/>
    <x v="1"/>
    <x v="319"/>
    <x v="3"/>
    <x v="319"/>
    <x v="3"/>
  </r>
  <r>
    <x v="1360"/>
    <x v="64"/>
    <x v="1"/>
    <s v="No"/>
    <x v="1"/>
    <x v="319"/>
    <x v="3"/>
    <x v="319"/>
    <x v="3"/>
  </r>
  <r>
    <x v="1361"/>
    <x v="64"/>
    <x v="1"/>
    <s v="No"/>
    <x v="1"/>
    <x v="319"/>
    <x v="3"/>
    <x v="319"/>
    <x v="3"/>
  </r>
  <r>
    <x v="1362"/>
    <x v="64"/>
    <x v="1"/>
    <s v="No"/>
    <x v="1"/>
    <x v="319"/>
    <x v="3"/>
    <x v="319"/>
    <x v="3"/>
  </r>
  <r>
    <x v="1363"/>
    <x v="64"/>
    <x v="1"/>
    <s v="No"/>
    <x v="1"/>
    <x v="319"/>
    <x v="3"/>
    <x v="319"/>
    <x v="3"/>
  </r>
  <r>
    <x v="1364"/>
    <x v="64"/>
    <x v="1"/>
    <s v="No"/>
    <x v="1"/>
    <x v="319"/>
    <x v="3"/>
    <x v="319"/>
    <x v="3"/>
  </r>
  <r>
    <x v="1365"/>
    <x v="64"/>
    <x v="1"/>
    <s v="No"/>
    <x v="1"/>
    <x v="319"/>
    <x v="3"/>
    <x v="319"/>
    <x v="3"/>
  </r>
  <r>
    <x v="1366"/>
    <x v="64"/>
    <x v="1"/>
    <s v="No"/>
    <x v="1"/>
    <x v="319"/>
    <x v="3"/>
    <x v="319"/>
    <x v="3"/>
  </r>
  <r>
    <x v="1367"/>
    <x v="64"/>
    <x v="1"/>
    <s v="No"/>
    <x v="1"/>
    <x v="319"/>
    <x v="3"/>
    <x v="319"/>
    <x v="3"/>
  </r>
  <r>
    <x v="1368"/>
    <x v="64"/>
    <x v="1"/>
    <s v="No"/>
    <x v="1"/>
    <x v="319"/>
    <x v="3"/>
    <x v="319"/>
    <x v="3"/>
  </r>
  <r>
    <x v="1369"/>
    <x v="64"/>
    <x v="1"/>
    <s v="No"/>
    <x v="1"/>
    <x v="319"/>
    <x v="3"/>
    <x v="319"/>
    <x v="3"/>
  </r>
  <r>
    <x v="1370"/>
    <x v="64"/>
    <x v="1"/>
    <s v="No"/>
    <x v="1"/>
    <x v="319"/>
    <x v="3"/>
    <x v="319"/>
    <x v="3"/>
  </r>
  <r>
    <x v="1371"/>
    <x v="64"/>
    <x v="1"/>
    <s v="No"/>
    <x v="1"/>
    <x v="319"/>
    <x v="3"/>
    <x v="319"/>
    <x v="3"/>
  </r>
  <r>
    <x v="1372"/>
    <x v="64"/>
    <x v="1"/>
    <s v="No"/>
    <x v="1"/>
    <x v="319"/>
    <x v="3"/>
    <x v="319"/>
    <x v="3"/>
  </r>
  <r>
    <x v="1373"/>
    <x v="64"/>
    <x v="1"/>
    <s v="No"/>
    <x v="1"/>
    <x v="319"/>
    <x v="3"/>
    <x v="319"/>
    <x v="3"/>
  </r>
  <r>
    <x v="1374"/>
    <x v="64"/>
    <x v="1"/>
    <s v="No"/>
    <x v="1"/>
    <x v="319"/>
    <x v="3"/>
    <x v="319"/>
    <x v="3"/>
  </r>
  <r>
    <x v="1375"/>
    <x v="64"/>
    <x v="1"/>
    <s v="No"/>
    <x v="1"/>
    <x v="319"/>
    <x v="3"/>
    <x v="319"/>
    <x v="3"/>
  </r>
  <r>
    <x v="1376"/>
    <x v="64"/>
    <x v="1"/>
    <s v="No"/>
    <x v="1"/>
    <x v="319"/>
    <x v="3"/>
    <x v="319"/>
    <x v="3"/>
  </r>
  <r>
    <x v="1377"/>
    <x v="64"/>
    <x v="1"/>
    <s v="No"/>
    <x v="1"/>
    <x v="319"/>
    <x v="3"/>
    <x v="319"/>
    <x v="3"/>
  </r>
  <r>
    <x v="1378"/>
    <x v="64"/>
    <x v="1"/>
    <s v="No"/>
    <x v="1"/>
    <x v="319"/>
    <x v="3"/>
    <x v="319"/>
    <x v="3"/>
  </r>
  <r>
    <x v="1379"/>
    <x v="64"/>
    <x v="1"/>
    <s v="No"/>
    <x v="1"/>
    <x v="319"/>
    <x v="3"/>
    <x v="319"/>
    <x v="3"/>
  </r>
  <r>
    <x v="1380"/>
    <x v="64"/>
    <x v="1"/>
    <s v="No"/>
    <x v="1"/>
    <x v="319"/>
    <x v="3"/>
    <x v="319"/>
    <x v="3"/>
  </r>
  <r>
    <x v="1381"/>
    <x v="64"/>
    <x v="1"/>
    <s v="No"/>
    <x v="1"/>
    <x v="319"/>
    <x v="3"/>
    <x v="319"/>
    <x v="3"/>
  </r>
  <r>
    <x v="1382"/>
    <x v="64"/>
    <x v="1"/>
    <s v="No"/>
    <x v="1"/>
    <x v="319"/>
    <x v="3"/>
    <x v="319"/>
    <x v="3"/>
  </r>
  <r>
    <x v="1383"/>
    <x v="64"/>
    <x v="1"/>
    <s v="No"/>
    <x v="1"/>
    <x v="319"/>
    <x v="3"/>
    <x v="319"/>
    <x v="3"/>
  </r>
  <r>
    <x v="1384"/>
    <x v="64"/>
    <x v="1"/>
    <s v="No"/>
    <x v="1"/>
    <x v="319"/>
    <x v="3"/>
    <x v="319"/>
    <x v="3"/>
  </r>
  <r>
    <x v="1385"/>
    <x v="64"/>
    <x v="1"/>
    <s v="No"/>
    <x v="1"/>
    <x v="319"/>
    <x v="3"/>
    <x v="319"/>
    <x v="3"/>
  </r>
  <r>
    <x v="1386"/>
    <x v="64"/>
    <x v="1"/>
    <s v="No"/>
    <x v="1"/>
    <x v="319"/>
    <x v="3"/>
    <x v="319"/>
    <x v="3"/>
  </r>
  <r>
    <x v="1387"/>
    <x v="64"/>
    <x v="1"/>
    <s v="No"/>
    <x v="1"/>
    <x v="319"/>
    <x v="3"/>
    <x v="319"/>
    <x v="3"/>
  </r>
  <r>
    <x v="1388"/>
    <x v="64"/>
    <x v="1"/>
    <s v="No"/>
    <x v="1"/>
    <x v="319"/>
    <x v="3"/>
    <x v="319"/>
    <x v="3"/>
  </r>
  <r>
    <x v="1389"/>
    <x v="64"/>
    <x v="1"/>
    <s v="No"/>
    <x v="1"/>
    <x v="319"/>
    <x v="3"/>
    <x v="319"/>
    <x v="3"/>
  </r>
  <r>
    <x v="1390"/>
    <x v="64"/>
    <x v="1"/>
    <s v="No"/>
    <x v="1"/>
    <x v="319"/>
    <x v="3"/>
    <x v="319"/>
    <x v="3"/>
  </r>
  <r>
    <x v="1391"/>
    <x v="64"/>
    <x v="1"/>
    <s v="No"/>
    <x v="1"/>
    <x v="319"/>
    <x v="3"/>
    <x v="319"/>
    <x v="3"/>
  </r>
  <r>
    <x v="1392"/>
    <x v="64"/>
    <x v="1"/>
    <s v="No"/>
    <x v="1"/>
    <x v="319"/>
    <x v="3"/>
    <x v="319"/>
    <x v="3"/>
  </r>
  <r>
    <x v="1393"/>
    <x v="64"/>
    <x v="1"/>
    <s v="No"/>
    <x v="1"/>
    <x v="319"/>
    <x v="3"/>
    <x v="319"/>
    <x v="3"/>
  </r>
  <r>
    <x v="1394"/>
    <x v="64"/>
    <x v="1"/>
    <s v="No"/>
    <x v="1"/>
    <x v="319"/>
    <x v="3"/>
    <x v="319"/>
    <x v="3"/>
  </r>
  <r>
    <x v="1395"/>
    <x v="64"/>
    <x v="1"/>
    <s v="No"/>
    <x v="1"/>
    <x v="319"/>
    <x v="3"/>
    <x v="319"/>
    <x v="3"/>
  </r>
  <r>
    <x v="1396"/>
    <x v="64"/>
    <x v="1"/>
    <s v="No"/>
    <x v="1"/>
    <x v="319"/>
    <x v="3"/>
    <x v="319"/>
    <x v="3"/>
  </r>
  <r>
    <x v="1397"/>
    <x v="64"/>
    <x v="1"/>
    <s v="No"/>
    <x v="1"/>
    <x v="319"/>
    <x v="3"/>
    <x v="319"/>
    <x v="3"/>
  </r>
  <r>
    <x v="1398"/>
    <x v="64"/>
    <x v="1"/>
    <s v="No"/>
    <x v="1"/>
    <x v="319"/>
    <x v="3"/>
    <x v="319"/>
    <x v="3"/>
  </r>
  <r>
    <x v="1399"/>
    <x v="64"/>
    <x v="1"/>
    <s v="No"/>
    <x v="1"/>
    <x v="319"/>
    <x v="3"/>
    <x v="319"/>
    <x v="3"/>
  </r>
  <r>
    <x v="1400"/>
    <x v="64"/>
    <x v="1"/>
    <s v="No"/>
    <x v="1"/>
    <x v="319"/>
    <x v="3"/>
    <x v="319"/>
    <x v="3"/>
  </r>
  <r>
    <x v="1401"/>
    <x v="64"/>
    <x v="1"/>
    <s v="No"/>
    <x v="1"/>
    <x v="319"/>
    <x v="3"/>
    <x v="319"/>
    <x v="3"/>
  </r>
  <r>
    <x v="1402"/>
    <x v="64"/>
    <x v="1"/>
    <s v="No"/>
    <x v="1"/>
    <x v="319"/>
    <x v="3"/>
    <x v="319"/>
    <x v="3"/>
  </r>
  <r>
    <x v="1403"/>
    <x v="64"/>
    <x v="1"/>
    <s v="No"/>
    <x v="1"/>
    <x v="319"/>
    <x v="3"/>
    <x v="319"/>
    <x v="3"/>
  </r>
  <r>
    <x v="1404"/>
    <x v="64"/>
    <x v="1"/>
    <s v="No"/>
    <x v="1"/>
    <x v="319"/>
    <x v="3"/>
    <x v="319"/>
    <x v="3"/>
  </r>
  <r>
    <x v="1405"/>
    <x v="64"/>
    <x v="1"/>
    <s v="No"/>
    <x v="1"/>
    <x v="319"/>
    <x v="3"/>
    <x v="319"/>
    <x v="3"/>
  </r>
  <r>
    <x v="1406"/>
    <x v="64"/>
    <x v="1"/>
    <s v="No"/>
    <x v="1"/>
    <x v="319"/>
    <x v="3"/>
    <x v="319"/>
    <x v="3"/>
  </r>
  <r>
    <x v="1407"/>
    <x v="64"/>
    <x v="1"/>
    <s v="No"/>
    <x v="1"/>
    <x v="319"/>
    <x v="3"/>
    <x v="319"/>
    <x v="3"/>
  </r>
  <r>
    <x v="1408"/>
    <x v="64"/>
    <x v="1"/>
    <s v="No"/>
    <x v="1"/>
    <x v="319"/>
    <x v="3"/>
    <x v="319"/>
    <x v="3"/>
  </r>
  <r>
    <x v="1409"/>
    <x v="64"/>
    <x v="1"/>
    <s v="No"/>
    <x v="1"/>
    <x v="319"/>
    <x v="3"/>
    <x v="319"/>
    <x v="3"/>
  </r>
  <r>
    <x v="1410"/>
    <x v="64"/>
    <x v="1"/>
    <s v="No"/>
    <x v="1"/>
    <x v="319"/>
    <x v="3"/>
    <x v="319"/>
    <x v="3"/>
  </r>
  <r>
    <x v="1411"/>
    <x v="64"/>
    <x v="1"/>
    <s v="No"/>
    <x v="1"/>
    <x v="319"/>
    <x v="3"/>
    <x v="319"/>
    <x v="3"/>
  </r>
  <r>
    <x v="1412"/>
    <x v="64"/>
    <x v="1"/>
    <s v="No"/>
    <x v="1"/>
    <x v="319"/>
    <x v="3"/>
    <x v="319"/>
    <x v="3"/>
  </r>
  <r>
    <x v="1413"/>
    <x v="64"/>
    <x v="1"/>
    <s v="No"/>
    <x v="1"/>
    <x v="319"/>
    <x v="3"/>
    <x v="319"/>
    <x v="3"/>
  </r>
  <r>
    <x v="1414"/>
    <x v="64"/>
    <x v="1"/>
    <s v="No"/>
    <x v="1"/>
    <x v="319"/>
    <x v="3"/>
    <x v="319"/>
    <x v="3"/>
  </r>
  <r>
    <x v="1415"/>
    <x v="64"/>
    <x v="1"/>
    <s v="No"/>
    <x v="1"/>
    <x v="319"/>
    <x v="3"/>
    <x v="319"/>
    <x v="3"/>
  </r>
  <r>
    <x v="1416"/>
    <x v="64"/>
    <x v="1"/>
    <s v="No"/>
    <x v="1"/>
    <x v="319"/>
    <x v="3"/>
    <x v="319"/>
    <x v="3"/>
  </r>
  <r>
    <x v="1417"/>
    <x v="64"/>
    <x v="1"/>
    <s v="No"/>
    <x v="1"/>
    <x v="319"/>
    <x v="3"/>
    <x v="319"/>
    <x v="3"/>
  </r>
  <r>
    <x v="1418"/>
    <x v="64"/>
    <x v="1"/>
    <s v="No"/>
    <x v="1"/>
    <x v="319"/>
    <x v="3"/>
    <x v="319"/>
    <x v="3"/>
  </r>
  <r>
    <x v="1419"/>
    <x v="64"/>
    <x v="1"/>
    <s v="No"/>
    <x v="1"/>
    <x v="319"/>
    <x v="3"/>
    <x v="319"/>
    <x v="3"/>
  </r>
  <r>
    <x v="1420"/>
    <x v="64"/>
    <x v="1"/>
    <s v="No"/>
    <x v="1"/>
    <x v="319"/>
    <x v="3"/>
    <x v="319"/>
    <x v="3"/>
  </r>
  <r>
    <x v="1421"/>
    <x v="64"/>
    <x v="1"/>
    <s v="No"/>
    <x v="1"/>
    <x v="319"/>
    <x v="3"/>
    <x v="319"/>
    <x v="3"/>
  </r>
  <r>
    <x v="1422"/>
    <x v="64"/>
    <x v="1"/>
    <s v="No"/>
    <x v="1"/>
    <x v="319"/>
    <x v="3"/>
    <x v="319"/>
    <x v="3"/>
  </r>
  <r>
    <x v="1423"/>
    <x v="64"/>
    <x v="1"/>
    <s v="No"/>
    <x v="1"/>
    <x v="319"/>
    <x v="3"/>
    <x v="319"/>
    <x v="3"/>
  </r>
  <r>
    <x v="1424"/>
    <x v="64"/>
    <x v="1"/>
    <s v="No"/>
    <x v="1"/>
    <x v="319"/>
    <x v="3"/>
    <x v="319"/>
    <x v="3"/>
  </r>
  <r>
    <x v="1425"/>
    <x v="64"/>
    <x v="1"/>
    <s v="No"/>
    <x v="1"/>
    <x v="319"/>
    <x v="3"/>
    <x v="319"/>
    <x v="3"/>
  </r>
  <r>
    <x v="1426"/>
    <x v="64"/>
    <x v="1"/>
    <s v="No"/>
    <x v="1"/>
    <x v="319"/>
    <x v="3"/>
    <x v="319"/>
    <x v="3"/>
  </r>
  <r>
    <x v="1427"/>
    <x v="64"/>
    <x v="1"/>
    <s v="No"/>
    <x v="1"/>
    <x v="319"/>
    <x v="3"/>
    <x v="319"/>
    <x v="3"/>
  </r>
  <r>
    <x v="1428"/>
    <x v="64"/>
    <x v="1"/>
    <s v="No"/>
    <x v="1"/>
    <x v="319"/>
    <x v="3"/>
    <x v="319"/>
    <x v="3"/>
  </r>
  <r>
    <x v="1429"/>
    <x v="64"/>
    <x v="1"/>
    <s v="No"/>
    <x v="1"/>
    <x v="319"/>
    <x v="3"/>
    <x v="319"/>
    <x v="3"/>
  </r>
  <r>
    <x v="1430"/>
    <x v="64"/>
    <x v="1"/>
    <s v="No"/>
    <x v="1"/>
    <x v="319"/>
    <x v="3"/>
    <x v="319"/>
    <x v="3"/>
  </r>
  <r>
    <x v="1431"/>
    <x v="64"/>
    <x v="1"/>
    <s v="No"/>
    <x v="1"/>
    <x v="319"/>
    <x v="3"/>
    <x v="319"/>
    <x v="3"/>
  </r>
  <r>
    <x v="1432"/>
    <x v="64"/>
    <x v="1"/>
    <s v="No"/>
    <x v="1"/>
    <x v="319"/>
    <x v="3"/>
    <x v="319"/>
    <x v="3"/>
  </r>
  <r>
    <x v="1433"/>
    <x v="64"/>
    <x v="1"/>
    <s v="No"/>
    <x v="1"/>
    <x v="319"/>
    <x v="3"/>
    <x v="319"/>
    <x v="3"/>
  </r>
  <r>
    <x v="1434"/>
    <x v="64"/>
    <x v="1"/>
    <s v="No"/>
    <x v="1"/>
    <x v="319"/>
    <x v="3"/>
    <x v="319"/>
    <x v="3"/>
  </r>
  <r>
    <x v="1435"/>
    <x v="64"/>
    <x v="1"/>
    <s v="No"/>
    <x v="1"/>
    <x v="319"/>
    <x v="3"/>
    <x v="319"/>
    <x v="3"/>
  </r>
  <r>
    <x v="1436"/>
    <x v="64"/>
    <x v="1"/>
    <s v="No"/>
    <x v="1"/>
    <x v="319"/>
    <x v="3"/>
    <x v="319"/>
    <x v="3"/>
  </r>
  <r>
    <x v="1437"/>
    <x v="64"/>
    <x v="1"/>
    <s v="No"/>
    <x v="1"/>
    <x v="319"/>
    <x v="3"/>
    <x v="319"/>
    <x v="3"/>
  </r>
  <r>
    <x v="1438"/>
    <x v="64"/>
    <x v="1"/>
    <s v="No"/>
    <x v="1"/>
    <x v="319"/>
    <x v="3"/>
    <x v="319"/>
    <x v="3"/>
  </r>
  <r>
    <x v="1439"/>
    <x v="64"/>
    <x v="1"/>
    <s v="No"/>
    <x v="1"/>
    <x v="319"/>
    <x v="3"/>
    <x v="319"/>
    <x v="3"/>
  </r>
  <r>
    <x v="1440"/>
    <x v="64"/>
    <x v="1"/>
    <s v="No"/>
    <x v="1"/>
    <x v="319"/>
    <x v="3"/>
    <x v="319"/>
    <x v="3"/>
  </r>
  <r>
    <x v="1441"/>
    <x v="64"/>
    <x v="1"/>
    <s v="No"/>
    <x v="1"/>
    <x v="319"/>
    <x v="3"/>
    <x v="319"/>
    <x v="3"/>
  </r>
  <r>
    <x v="1442"/>
    <x v="64"/>
    <x v="1"/>
    <s v="No"/>
    <x v="1"/>
    <x v="319"/>
    <x v="3"/>
    <x v="319"/>
    <x v="3"/>
  </r>
  <r>
    <x v="1443"/>
    <x v="64"/>
    <x v="1"/>
    <s v="No"/>
    <x v="1"/>
    <x v="319"/>
    <x v="3"/>
    <x v="319"/>
    <x v="3"/>
  </r>
  <r>
    <x v="1444"/>
    <x v="64"/>
    <x v="1"/>
    <s v="No"/>
    <x v="1"/>
    <x v="319"/>
    <x v="3"/>
    <x v="319"/>
    <x v="3"/>
  </r>
  <r>
    <x v="1445"/>
    <x v="64"/>
    <x v="1"/>
    <s v="No"/>
    <x v="1"/>
    <x v="319"/>
    <x v="3"/>
    <x v="319"/>
    <x v="3"/>
  </r>
  <r>
    <x v="1446"/>
    <x v="64"/>
    <x v="1"/>
    <s v="No"/>
    <x v="1"/>
    <x v="319"/>
    <x v="3"/>
    <x v="319"/>
    <x v="3"/>
  </r>
  <r>
    <x v="1447"/>
    <x v="64"/>
    <x v="1"/>
    <s v="No"/>
    <x v="1"/>
    <x v="319"/>
    <x v="3"/>
    <x v="319"/>
    <x v="3"/>
  </r>
  <r>
    <x v="1448"/>
    <x v="64"/>
    <x v="1"/>
    <s v="No"/>
    <x v="1"/>
    <x v="319"/>
    <x v="3"/>
    <x v="319"/>
    <x v="3"/>
  </r>
  <r>
    <x v="1449"/>
    <x v="64"/>
    <x v="1"/>
    <s v="No"/>
    <x v="1"/>
    <x v="319"/>
    <x v="3"/>
    <x v="319"/>
    <x v="3"/>
  </r>
  <r>
    <x v="1450"/>
    <x v="64"/>
    <x v="1"/>
    <s v="No"/>
    <x v="1"/>
    <x v="319"/>
    <x v="3"/>
    <x v="319"/>
    <x v="3"/>
  </r>
  <r>
    <x v="1451"/>
    <x v="64"/>
    <x v="1"/>
    <s v="No"/>
    <x v="1"/>
    <x v="319"/>
    <x v="3"/>
    <x v="319"/>
    <x v="3"/>
  </r>
  <r>
    <x v="1452"/>
    <x v="64"/>
    <x v="1"/>
    <s v="No"/>
    <x v="1"/>
    <x v="319"/>
    <x v="3"/>
    <x v="319"/>
    <x v="3"/>
  </r>
  <r>
    <x v="1453"/>
    <x v="64"/>
    <x v="1"/>
    <s v="No"/>
    <x v="1"/>
    <x v="319"/>
    <x v="3"/>
    <x v="319"/>
    <x v="3"/>
  </r>
  <r>
    <x v="1454"/>
    <x v="64"/>
    <x v="1"/>
    <s v="No"/>
    <x v="1"/>
    <x v="319"/>
    <x v="3"/>
    <x v="319"/>
    <x v="3"/>
  </r>
  <r>
    <x v="1455"/>
    <x v="64"/>
    <x v="1"/>
    <s v="No"/>
    <x v="1"/>
    <x v="319"/>
    <x v="3"/>
    <x v="319"/>
    <x v="3"/>
  </r>
  <r>
    <x v="1456"/>
    <x v="64"/>
    <x v="1"/>
    <s v="No"/>
    <x v="1"/>
    <x v="319"/>
    <x v="3"/>
    <x v="319"/>
    <x v="3"/>
  </r>
  <r>
    <x v="1457"/>
    <x v="64"/>
    <x v="1"/>
    <s v="No"/>
    <x v="1"/>
    <x v="319"/>
    <x v="3"/>
    <x v="319"/>
    <x v="3"/>
  </r>
  <r>
    <x v="1458"/>
    <x v="64"/>
    <x v="1"/>
    <s v="No"/>
    <x v="1"/>
    <x v="319"/>
    <x v="3"/>
    <x v="319"/>
    <x v="3"/>
  </r>
  <r>
    <x v="1459"/>
    <x v="64"/>
    <x v="1"/>
    <s v="No"/>
    <x v="1"/>
    <x v="319"/>
    <x v="3"/>
    <x v="319"/>
    <x v="3"/>
  </r>
  <r>
    <x v="1460"/>
    <x v="64"/>
    <x v="1"/>
    <s v="No"/>
    <x v="1"/>
    <x v="319"/>
    <x v="3"/>
    <x v="319"/>
    <x v="3"/>
  </r>
  <r>
    <x v="1461"/>
    <x v="64"/>
    <x v="1"/>
    <s v="No"/>
    <x v="1"/>
    <x v="319"/>
    <x v="3"/>
    <x v="319"/>
    <x v="3"/>
  </r>
  <r>
    <x v="1462"/>
    <x v="64"/>
    <x v="1"/>
    <s v="No"/>
    <x v="1"/>
    <x v="319"/>
    <x v="3"/>
    <x v="319"/>
    <x v="3"/>
  </r>
  <r>
    <x v="1463"/>
    <x v="64"/>
    <x v="1"/>
    <s v="No"/>
    <x v="1"/>
    <x v="319"/>
    <x v="3"/>
    <x v="319"/>
    <x v="3"/>
  </r>
  <r>
    <x v="1464"/>
    <x v="64"/>
    <x v="1"/>
    <s v="No"/>
    <x v="1"/>
    <x v="319"/>
    <x v="3"/>
    <x v="319"/>
    <x v="3"/>
  </r>
  <r>
    <x v="1465"/>
    <x v="64"/>
    <x v="1"/>
    <s v="No"/>
    <x v="1"/>
    <x v="319"/>
    <x v="3"/>
    <x v="319"/>
    <x v="3"/>
  </r>
  <r>
    <x v="1466"/>
    <x v="64"/>
    <x v="1"/>
    <s v="No"/>
    <x v="1"/>
    <x v="319"/>
    <x v="3"/>
    <x v="319"/>
    <x v="3"/>
  </r>
  <r>
    <x v="1467"/>
    <x v="64"/>
    <x v="1"/>
    <s v="No"/>
    <x v="1"/>
    <x v="319"/>
    <x v="3"/>
    <x v="319"/>
    <x v="3"/>
  </r>
  <r>
    <x v="1468"/>
    <x v="64"/>
    <x v="1"/>
    <s v="No"/>
    <x v="1"/>
    <x v="319"/>
    <x v="3"/>
    <x v="319"/>
    <x v="3"/>
  </r>
  <r>
    <x v="1469"/>
    <x v="64"/>
    <x v="1"/>
    <s v="No"/>
    <x v="1"/>
    <x v="319"/>
    <x v="3"/>
    <x v="319"/>
    <x v="3"/>
  </r>
  <r>
    <x v="1470"/>
    <x v="64"/>
    <x v="1"/>
    <s v="No"/>
    <x v="1"/>
    <x v="319"/>
    <x v="3"/>
    <x v="319"/>
    <x v="3"/>
  </r>
  <r>
    <x v="1471"/>
    <x v="64"/>
    <x v="1"/>
    <s v="No"/>
    <x v="1"/>
    <x v="319"/>
    <x v="3"/>
    <x v="319"/>
    <x v="3"/>
  </r>
  <r>
    <x v="1472"/>
    <x v="64"/>
    <x v="1"/>
    <s v="No"/>
    <x v="1"/>
    <x v="319"/>
    <x v="3"/>
    <x v="319"/>
    <x v="3"/>
  </r>
  <r>
    <x v="1473"/>
    <x v="64"/>
    <x v="1"/>
    <s v="No"/>
    <x v="1"/>
    <x v="319"/>
    <x v="3"/>
    <x v="319"/>
    <x v="3"/>
  </r>
  <r>
    <x v="1474"/>
    <x v="64"/>
    <x v="1"/>
    <s v="No"/>
    <x v="1"/>
    <x v="319"/>
    <x v="3"/>
    <x v="319"/>
    <x v="3"/>
  </r>
  <r>
    <x v="1475"/>
    <x v="64"/>
    <x v="1"/>
    <s v="No"/>
    <x v="1"/>
    <x v="319"/>
    <x v="3"/>
    <x v="319"/>
    <x v="3"/>
  </r>
  <r>
    <x v="1476"/>
    <x v="64"/>
    <x v="1"/>
    <s v="No"/>
    <x v="1"/>
    <x v="319"/>
    <x v="3"/>
    <x v="319"/>
    <x v="3"/>
  </r>
  <r>
    <x v="1477"/>
    <x v="64"/>
    <x v="1"/>
    <s v="No"/>
    <x v="1"/>
    <x v="319"/>
    <x v="3"/>
    <x v="319"/>
    <x v="3"/>
  </r>
  <r>
    <x v="1478"/>
    <x v="64"/>
    <x v="1"/>
    <s v="No"/>
    <x v="1"/>
    <x v="319"/>
    <x v="3"/>
    <x v="319"/>
    <x v="3"/>
  </r>
  <r>
    <x v="1479"/>
    <x v="64"/>
    <x v="1"/>
    <s v="No"/>
    <x v="1"/>
    <x v="319"/>
    <x v="3"/>
    <x v="319"/>
    <x v="3"/>
  </r>
  <r>
    <x v="1480"/>
    <x v="64"/>
    <x v="1"/>
    <s v="No"/>
    <x v="1"/>
    <x v="319"/>
    <x v="3"/>
    <x v="319"/>
    <x v="3"/>
  </r>
  <r>
    <x v="1481"/>
    <x v="64"/>
    <x v="1"/>
    <s v="No"/>
    <x v="1"/>
    <x v="319"/>
    <x v="3"/>
    <x v="319"/>
    <x v="3"/>
  </r>
  <r>
    <x v="1482"/>
    <x v="64"/>
    <x v="1"/>
    <s v="No"/>
    <x v="1"/>
    <x v="319"/>
    <x v="3"/>
    <x v="319"/>
    <x v="3"/>
  </r>
  <r>
    <x v="1483"/>
    <x v="64"/>
    <x v="1"/>
    <s v="No"/>
    <x v="1"/>
    <x v="319"/>
    <x v="3"/>
    <x v="319"/>
    <x v="3"/>
  </r>
  <r>
    <x v="1484"/>
    <x v="64"/>
    <x v="1"/>
    <s v="No"/>
    <x v="1"/>
    <x v="319"/>
    <x v="3"/>
    <x v="319"/>
    <x v="3"/>
  </r>
  <r>
    <x v="1485"/>
    <x v="64"/>
    <x v="1"/>
    <s v="No"/>
    <x v="1"/>
    <x v="319"/>
    <x v="3"/>
    <x v="319"/>
    <x v="3"/>
  </r>
  <r>
    <x v="1486"/>
    <x v="64"/>
    <x v="1"/>
    <s v="No"/>
    <x v="1"/>
    <x v="319"/>
    <x v="3"/>
    <x v="319"/>
    <x v="3"/>
  </r>
  <r>
    <x v="1487"/>
    <x v="64"/>
    <x v="1"/>
    <s v="No"/>
    <x v="1"/>
    <x v="319"/>
    <x v="3"/>
    <x v="319"/>
    <x v="3"/>
  </r>
  <r>
    <x v="1488"/>
    <x v="64"/>
    <x v="1"/>
    <s v="No"/>
    <x v="1"/>
    <x v="319"/>
    <x v="3"/>
    <x v="319"/>
    <x v="3"/>
  </r>
  <r>
    <x v="1489"/>
    <x v="64"/>
    <x v="1"/>
    <s v="No"/>
    <x v="1"/>
    <x v="319"/>
    <x v="3"/>
    <x v="319"/>
    <x v="3"/>
  </r>
  <r>
    <x v="1490"/>
    <x v="64"/>
    <x v="1"/>
    <s v="No"/>
    <x v="1"/>
    <x v="319"/>
    <x v="3"/>
    <x v="319"/>
    <x v="3"/>
  </r>
  <r>
    <x v="1491"/>
    <x v="64"/>
    <x v="1"/>
    <s v="No"/>
    <x v="1"/>
    <x v="319"/>
    <x v="3"/>
    <x v="319"/>
    <x v="3"/>
  </r>
  <r>
    <x v="1492"/>
    <x v="64"/>
    <x v="1"/>
    <s v="No"/>
    <x v="1"/>
    <x v="319"/>
    <x v="3"/>
    <x v="319"/>
    <x v="3"/>
  </r>
  <r>
    <x v="1493"/>
    <x v="64"/>
    <x v="1"/>
    <s v="No"/>
    <x v="1"/>
    <x v="319"/>
    <x v="3"/>
    <x v="319"/>
    <x v="3"/>
  </r>
  <r>
    <x v="1494"/>
    <x v="64"/>
    <x v="1"/>
    <s v="No"/>
    <x v="1"/>
    <x v="319"/>
    <x v="3"/>
    <x v="319"/>
    <x v="3"/>
  </r>
  <r>
    <x v="1495"/>
    <x v="64"/>
    <x v="1"/>
    <s v="No"/>
    <x v="1"/>
    <x v="319"/>
    <x v="3"/>
    <x v="319"/>
    <x v="3"/>
  </r>
  <r>
    <x v="1496"/>
    <x v="64"/>
    <x v="1"/>
    <s v="No"/>
    <x v="1"/>
    <x v="319"/>
    <x v="3"/>
    <x v="319"/>
    <x v="3"/>
  </r>
  <r>
    <x v="1497"/>
    <x v="64"/>
    <x v="1"/>
    <s v="No"/>
    <x v="1"/>
    <x v="319"/>
    <x v="3"/>
    <x v="319"/>
    <x v="3"/>
  </r>
  <r>
    <x v="1498"/>
    <x v="64"/>
    <x v="1"/>
    <s v="No"/>
    <x v="1"/>
    <x v="319"/>
    <x v="3"/>
    <x v="319"/>
    <x v="3"/>
  </r>
  <r>
    <x v="1499"/>
    <x v="64"/>
    <x v="1"/>
    <s v="No"/>
    <x v="1"/>
    <x v="319"/>
    <x v="3"/>
    <x v="319"/>
    <x v="3"/>
  </r>
  <r>
    <x v="1500"/>
    <x v="64"/>
    <x v="1"/>
    <s v="No"/>
    <x v="1"/>
    <x v="319"/>
    <x v="3"/>
    <x v="319"/>
    <x v="3"/>
  </r>
  <r>
    <x v="1501"/>
    <x v="64"/>
    <x v="1"/>
    <s v="No"/>
    <x v="1"/>
    <x v="319"/>
    <x v="3"/>
    <x v="319"/>
    <x v="3"/>
  </r>
  <r>
    <x v="1502"/>
    <x v="64"/>
    <x v="1"/>
    <s v="No"/>
    <x v="1"/>
    <x v="319"/>
    <x v="3"/>
    <x v="319"/>
    <x v="3"/>
  </r>
  <r>
    <x v="1503"/>
    <x v="64"/>
    <x v="1"/>
    <s v="No"/>
    <x v="1"/>
    <x v="319"/>
    <x v="3"/>
    <x v="319"/>
    <x v="3"/>
  </r>
  <r>
    <x v="1504"/>
    <x v="64"/>
    <x v="1"/>
    <s v="No"/>
    <x v="1"/>
    <x v="319"/>
    <x v="3"/>
    <x v="319"/>
    <x v="3"/>
  </r>
  <r>
    <x v="1505"/>
    <x v="64"/>
    <x v="1"/>
    <s v="No"/>
    <x v="1"/>
    <x v="319"/>
    <x v="3"/>
    <x v="319"/>
    <x v="3"/>
  </r>
  <r>
    <x v="1506"/>
    <x v="64"/>
    <x v="1"/>
    <s v="No"/>
    <x v="1"/>
    <x v="319"/>
    <x v="3"/>
    <x v="319"/>
    <x v="3"/>
  </r>
  <r>
    <x v="1507"/>
    <x v="64"/>
    <x v="1"/>
    <s v="No"/>
    <x v="1"/>
    <x v="319"/>
    <x v="3"/>
    <x v="319"/>
    <x v="3"/>
  </r>
  <r>
    <x v="1508"/>
    <x v="64"/>
    <x v="1"/>
    <s v="No"/>
    <x v="1"/>
    <x v="319"/>
    <x v="3"/>
    <x v="319"/>
    <x v="3"/>
  </r>
  <r>
    <x v="1509"/>
    <x v="64"/>
    <x v="1"/>
    <s v="No"/>
    <x v="1"/>
    <x v="319"/>
    <x v="3"/>
    <x v="319"/>
    <x v="3"/>
  </r>
  <r>
    <x v="1510"/>
    <x v="64"/>
    <x v="1"/>
    <s v="No"/>
    <x v="1"/>
    <x v="319"/>
    <x v="3"/>
    <x v="319"/>
    <x v="3"/>
  </r>
  <r>
    <x v="1511"/>
    <x v="64"/>
    <x v="1"/>
    <s v="No"/>
    <x v="1"/>
    <x v="319"/>
    <x v="3"/>
    <x v="319"/>
    <x v="3"/>
  </r>
  <r>
    <x v="1512"/>
    <x v="64"/>
    <x v="1"/>
    <s v="No"/>
    <x v="1"/>
    <x v="319"/>
    <x v="3"/>
    <x v="319"/>
    <x v="3"/>
  </r>
  <r>
    <x v="1513"/>
    <x v="64"/>
    <x v="1"/>
    <s v="No"/>
    <x v="1"/>
    <x v="319"/>
    <x v="3"/>
    <x v="319"/>
    <x v="3"/>
  </r>
  <r>
    <x v="1514"/>
    <x v="64"/>
    <x v="1"/>
    <s v="No"/>
    <x v="1"/>
    <x v="319"/>
    <x v="3"/>
    <x v="319"/>
    <x v="3"/>
  </r>
  <r>
    <x v="1515"/>
    <x v="64"/>
    <x v="1"/>
    <s v="No"/>
    <x v="1"/>
    <x v="319"/>
    <x v="3"/>
    <x v="319"/>
    <x v="3"/>
  </r>
  <r>
    <x v="1516"/>
    <x v="64"/>
    <x v="1"/>
    <s v="No"/>
    <x v="1"/>
    <x v="319"/>
    <x v="3"/>
    <x v="319"/>
    <x v="3"/>
  </r>
  <r>
    <x v="1517"/>
    <x v="64"/>
    <x v="1"/>
    <s v="No"/>
    <x v="1"/>
    <x v="319"/>
    <x v="3"/>
    <x v="319"/>
    <x v="3"/>
  </r>
  <r>
    <x v="1518"/>
    <x v="64"/>
    <x v="1"/>
    <s v="No"/>
    <x v="1"/>
    <x v="319"/>
    <x v="3"/>
    <x v="319"/>
    <x v="3"/>
  </r>
  <r>
    <x v="1519"/>
    <x v="64"/>
    <x v="1"/>
    <s v="No"/>
    <x v="1"/>
    <x v="319"/>
    <x v="3"/>
    <x v="319"/>
    <x v="3"/>
  </r>
  <r>
    <x v="1520"/>
    <x v="64"/>
    <x v="1"/>
    <s v="No"/>
    <x v="1"/>
    <x v="319"/>
    <x v="3"/>
    <x v="319"/>
    <x v="3"/>
  </r>
  <r>
    <x v="1521"/>
    <x v="64"/>
    <x v="1"/>
    <s v="No"/>
    <x v="1"/>
    <x v="319"/>
    <x v="3"/>
    <x v="319"/>
    <x v="3"/>
  </r>
  <r>
    <x v="1522"/>
    <x v="64"/>
    <x v="1"/>
    <s v="No"/>
    <x v="1"/>
    <x v="319"/>
    <x v="3"/>
    <x v="319"/>
    <x v="3"/>
  </r>
  <r>
    <x v="1523"/>
    <x v="64"/>
    <x v="1"/>
    <s v="No"/>
    <x v="1"/>
    <x v="319"/>
    <x v="3"/>
    <x v="319"/>
    <x v="3"/>
  </r>
  <r>
    <x v="1524"/>
    <x v="64"/>
    <x v="1"/>
    <s v="No"/>
    <x v="1"/>
    <x v="319"/>
    <x v="3"/>
    <x v="319"/>
    <x v="3"/>
  </r>
  <r>
    <x v="1525"/>
    <x v="64"/>
    <x v="1"/>
    <s v="No"/>
    <x v="1"/>
    <x v="319"/>
    <x v="3"/>
    <x v="319"/>
    <x v="3"/>
  </r>
  <r>
    <x v="1526"/>
    <x v="64"/>
    <x v="1"/>
    <s v="No"/>
    <x v="1"/>
    <x v="319"/>
    <x v="3"/>
    <x v="319"/>
    <x v="3"/>
  </r>
  <r>
    <x v="1527"/>
    <x v="64"/>
    <x v="1"/>
    <s v="No"/>
    <x v="1"/>
    <x v="319"/>
    <x v="3"/>
    <x v="319"/>
    <x v="3"/>
  </r>
  <r>
    <x v="1528"/>
    <x v="64"/>
    <x v="1"/>
    <s v="No"/>
    <x v="1"/>
    <x v="319"/>
    <x v="3"/>
    <x v="319"/>
    <x v="3"/>
  </r>
  <r>
    <x v="1529"/>
    <x v="64"/>
    <x v="1"/>
    <s v="No"/>
    <x v="1"/>
    <x v="319"/>
    <x v="3"/>
    <x v="319"/>
    <x v="3"/>
  </r>
  <r>
    <x v="1530"/>
    <x v="64"/>
    <x v="1"/>
    <s v="No"/>
    <x v="1"/>
    <x v="319"/>
    <x v="3"/>
    <x v="319"/>
    <x v="3"/>
  </r>
  <r>
    <x v="1531"/>
    <x v="64"/>
    <x v="1"/>
    <s v="No"/>
    <x v="1"/>
    <x v="319"/>
    <x v="3"/>
    <x v="319"/>
    <x v="3"/>
  </r>
  <r>
    <x v="1532"/>
    <x v="64"/>
    <x v="1"/>
    <s v="No"/>
    <x v="1"/>
    <x v="319"/>
    <x v="3"/>
    <x v="319"/>
    <x v="3"/>
  </r>
  <r>
    <x v="1533"/>
    <x v="64"/>
    <x v="1"/>
    <s v="No"/>
    <x v="1"/>
    <x v="319"/>
    <x v="3"/>
    <x v="319"/>
    <x v="3"/>
  </r>
  <r>
    <x v="1534"/>
    <x v="64"/>
    <x v="1"/>
    <s v="No"/>
    <x v="1"/>
    <x v="319"/>
    <x v="3"/>
    <x v="319"/>
    <x v="3"/>
  </r>
  <r>
    <x v="1535"/>
    <x v="64"/>
    <x v="1"/>
    <s v="No"/>
    <x v="1"/>
    <x v="319"/>
    <x v="3"/>
    <x v="319"/>
    <x v="3"/>
  </r>
  <r>
    <x v="1536"/>
    <x v="64"/>
    <x v="1"/>
    <s v="No"/>
    <x v="1"/>
    <x v="319"/>
    <x v="3"/>
    <x v="319"/>
    <x v="3"/>
  </r>
  <r>
    <x v="1537"/>
    <x v="64"/>
    <x v="1"/>
    <s v="No"/>
    <x v="1"/>
    <x v="319"/>
    <x v="3"/>
    <x v="319"/>
    <x v="3"/>
  </r>
  <r>
    <x v="1538"/>
    <x v="64"/>
    <x v="1"/>
    <s v="No"/>
    <x v="1"/>
    <x v="319"/>
    <x v="3"/>
    <x v="319"/>
    <x v="3"/>
  </r>
  <r>
    <x v="1539"/>
    <x v="64"/>
    <x v="1"/>
    <s v="No"/>
    <x v="1"/>
    <x v="319"/>
    <x v="3"/>
    <x v="319"/>
    <x v="3"/>
  </r>
  <r>
    <x v="1540"/>
    <x v="64"/>
    <x v="1"/>
    <s v="No"/>
    <x v="1"/>
    <x v="319"/>
    <x v="3"/>
    <x v="319"/>
    <x v="3"/>
  </r>
  <r>
    <x v="1541"/>
    <x v="64"/>
    <x v="1"/>
    <s v="No"/>
    <x v="1"/>
    <x v="319"/>
    <x v="3"/>
    <x v="319"/>
    <x v="3"/>
  </r>
  <r>
    <x v="1542"/>
    <x v="64"/>
    <x v="1"/>
    <s v="No"/>
    <x v="1"/>
    <x v="319"/>
    <x v="3"/>
    <x v="319"/>
    <x v="3"/>
  </r>
  <r>
    <x v="1543"/>
    <x v="64"/>
    <x v="1"/>
    <s v="No"/>
    <x v="1"/>
    <x v="319"/>
    <x v="3"/>
    <x v="319"/>
    <x v="3"/>
  </r>
  <r>
    <x v="1544"/>
    <x v="64"/>
    <x v="1"/>
    <s v="No"/>
    <x v="1"/>
    <x v="319"/>
    <x v="3"/>
    <x v="319"/>
    <x v="3"/>
  </r>
  <r>
    <x v="1545"/>
    <x v="64"/>
    <x v="1"/>
    <s v="No"/>
    <x v="1"/>
    <x v="319"/>
    <x v="3"/>
    <x v="319"/>
    <x v="3"/>
  </r>
  <r>
    <x v="1546"/>
    <x v="64"/>
    <x v="1"/>
    <s v="No"/>
    <x v="1"/>
    <x v="319"/>
    <x v="3"/>
    <x v="319"/>
    <x v="3"/>
  </r>
  <r>
    <x v="1547"/>
    <x v="64"/>
    <x v="1"/>
    <s v="No"/>
    <x v="1"/>
    <x v="319"/>
    <x v="3"/>
    <x v="319"/>
    <x v="3"/>
  </r>
  <r>
    <x v="1548"/>
    <x v="64"/>
    <x v="1"/>
    <s v="No"/>
    <x v="1"/>
    <x v="319"/>
    <x v="3"/>
    <x v="319"/>
    <x v="3"/>
  </r>
  <r>
    <x v="1549"/>
    <x v="64"/>
    <x v="1"/>
    <s v="No"/>
    <x v="1"/>
    <x v="319"/>
    <x v="3"/>
    <x v="319"/>
    <x v="3"/>
  </r>
  <r>
    <x v="1550"/>
    <x v="64"/>
    <x v="1"/>
    <s v="No"/>
    <x v="1"/>
    <x v="319"/>
    <x v="3"/>
    <x v="319"/>
    <x v="3"/>
  </r>
  <r>
    <x v="1551"/>
    <x v="64"/>
    <x v="1"/>
    <s v="No"/>
    <x v="1"/>
    <x v="319"/>
    <x v="3"/>
    <x v="319"/>
    <x v="3"/>
  </r>
  <r>
    <x v="1552"/>
    <x v="64"/>
    <x v="1"/>
    <s v="No"/>
    <x v="1"/>
    <x v="319"/>
    <x v="3"/>
    <x v="319"/>
    <x v="3"/>
  </r>
  <r>
    <x v="1553"/>
    <x v="64"/>
    <x v="1"/>
    <s v="No"/>
    <x v="1"/>
    <x v="319"/>
    <x v="3"/>
    <x v="319"/>
    <x v="3"/>
  </r>
  <r>
    <x v="1554"/>
    <x v="64"/>
    <x v="1"/>
    <s v="No"/>
    <x v="1"/>
    <x v="319"/>
    <x v="3"/>
    <x v="319"/>
    <x v="3"/>
  </r>
  <r>
    <x v="1555"/>
    <x v="64"/>
    <x v="1"/>
    <s v="No"/>
    <x v="1"/>
    <x v="319"/>
    <x v="3"/>
    <x v="319"/>
    <x v="3"/>
  </r>
  <r>
    <x v="1556"/>
    <x v="64"/>
    <x v="1"/>
    <s v="No"/>
    <x v="1"/>
    <x v="319"/>
    <x v="3"/>
    <x v="319"/>
    <x v="3"/>
  </r>
  <r>
    <x v="1557"/>
    <x v="64"/>
    <x v="1"/>
    <s v="No"/>
    <x v="1"/>
    <x v="319"/>
    <x v="3"/>
    <x v="319"/>
    <x v="3"/>
  </r>
  <r>
    <x v="1558"/>
    <x v="64"/>
    <x v="1"/>
    <s v="No"/>
    <x v="1"/>
    <x v="319"/>
    <x v="3"/>
    <x v="319"/>
    <x v="3"/>
  </r>
  <r>
    <x v="1559"/>
    <x v="64"/>
    <x v="1"/>
    <s v="No"/>
    <x v="1"/>
    <x v="319"/>
    <x v="3"/>
    <x v="319"/>
    <x v="3"/>
  </r>
  <r>
    <x v="1560"/>
    <x v="64"/>
    <x v="1"/>
    <s v="No"/>
    <x v="1"/>
    <x v="319"/>
    <x v="3"/>
    <x v="319"/>
    <x v="3"/>
  </r>
  <r>
    <x v="1561"/>
    <x v="64"/>
    <x v="1"/>
    <s v="No"/>
    <x v="1"/>
    <x v="319"/>
    <x v="3"/>
    <x v="319"/>
    <x v="3"/>
  </r>
  <r>
    <x v="1562"/>
    <x v="64"/>
    <x v="1"/>
    <s v="No"/>
    <x v="1"/>
    <x v="319"/>
    <x v="3"/>
    <x v="319"/>
    <x v="3"/>
  </r>
  <r>
    <x v="1563"/>
    <x v="64"/>
    <x v="1"/>
    <s v="No"/>
    <x v="1"/>
    <x v="319"/>
    <x v="3"/>
    <x v="319"/>
    <x v="3"/>
  </r>
  <r>
    <x v="1564"/>
    <x v="64"/>
    <x v="1"/>
    <s v="No"/>
    <x v="1"/>
    <x v="319"/>
    <x v="3"/>
    <x v="319"/>
    <x v="3"/>
  </r>
  <r>
    <x v="1565"/>
    <x v="64"/>
    <x v="1"/>
    <s v="No"/>
    <x v="1"/>
    <x v="319"/>
    <x v="3"/>
    <x v="319"/>
    <x v="3"/>
  </r>
  <r>
    <x v="1566"/>
    <x v="64"/>
    <x v="1"/>
    <s v="No"/>
    <x v="1"/>
    <x v="319"/>
    <x v="3"/>
    <x v="319"/>
    <x v="3"/>
  </r>
  <r>
    <x v="1567"/>
    <x v="64"/>
    <x v="1"/>
    <s v="No"/>
    <x v="1"/>
    <x v="319"/>
    <x v="3"/>
    <x v="319"/>
    <x v="3"/>
  </r>
  <r>
    <x v="1568"/>
    <x v="64"/>
    <x v="1"/>
    <s v="No"/>
    <x v="1"/>
    <x v="319"/>
    <x v="3"/>
    <x v="319"/>
    <x v="3"/>
  </r>
  <r>
    <x v="1569"/>
    <x v="64"/>
    <x v="1"/>
    <s v="No"/>
    <x v="1"/>
    <x v="319"/>
    <x v="3"/>
    <x v="319"/>
    <x v="3"/>
  </r>
  <r>
    <x v="1570"/>
    <x v="64"/>
    <x v="1"/>
    <s v="No"/>
    <x v="1"/>
    <x v="319"/>
    <x v="3"/>
    <x v="319"/>
    <x v="3"/>
  </r>
  <r>
    <x v="1571"/>
    <x v="64"/>
    <x v="1"/>
    <s v="No"/>
    <x v="1"/>
    <x v="319"/>
    <x v="3"/>
    <x v="319"/>
    <x v="3"/>
  </r>
  <r>
    <x v="1572"/>
    <x v="64"/>
    <x v="1"/>
    <s v="No"/>
    <x v="1"/>
    <x v="319"/>
    <x v="3"/>
    <x v="319"/>
    <x v="3"/>
  </r>
  <r>
    <x v="1573"/>
    <x v="64"/>
    <x v="1"/>
    <s v="No"/>
    <x v="1"/>
    <x v="319"/>
    <x v="3"/>
    <x v="319"/>
    <x v="3"/>
  </r>
  <r>
    <x v="1574"/>
    <x v="64"/>
    <x v="1"/>
    <s v="No"/>
    <x v="1"/>
    <x v="319"/>
    <x v="3"/>
    <x v="319"/>
    <x v="3"/>
  </r>
  <r>
    <x v="1575"/>
    <x v="64"/>
    <x v="1"/>
    <s v="No"/>
    <x v="1"/>
    <x v="319"/>
    <x v="3"/>
    <x v="319"/>
    <x v="3"/>
  </r>
  <r>
    <x v="1576"/>
    <x v="64"/>
    <x v="1"/>
    <s v="No"/>
    <x v="1"/>
    <x v="319"/>
    <x v="3"/>
    <x v="319"/>
    <x v="3"/>
  </r>
  <r>
    <x v="1577"/>
    <x v="64"/>
    <x v="1"/>
    <s v="No"/>
    <x v="1"/>
    <x v="319"/>
    <x v="3"/>
    <x v="319"/>
    <x v="3"/>
  </r>
  <r>
    <x v="1578"/>
    <x v="64"/>
    <x v="1"/>
    <s v="No"/>
    <x v="1"/>
    <x v="319"/>
    <x v="3"/>
    <x v="319"/>
    <x v="3"/>
  </r>
  <r>
    <x v="1579"/>
    <x v="64"/>
    <x v="1"/>
    <s v="No"/>
    <x v="1"/>
    <x v="319"/>
    <x v="3"/>
    <x v="319"/>
    <x v="3"/>
  </r>
  <r>
    <x v="1580"/>
    <x v="64"/>
    <x v="1"/>
    <s v="No"/>
    <x v="1"/>
    <x v="319"/>
    <x v="3"/>
    <x v="319"/>
    <x v="3"/>
  </r>
  <r>
    <x v="1581"/>
    <x v="64"/>
    <x v="1"/>
    <s v="No"/>
    <x v="1"/>
    <x v="319"/>
    <x v="3"/>
    <x v="319"/>
    <x v="3"/>
  </r>
  <r>
    <x v="1582"/>
    <x v="64"/>
    <x v="1"/>
    <s v="No"/>
    <x v="1"/>
    <x v="319"/>
    <x v="3"/>
    <x v="319"/>
    <x v="3"/>
  </r>
  <r>
    <x v="1583"/>
    <x v="64"/>
    <x v="1"/>
    <s v="No"/>
    <x v="1"/>
    <x v="319"/>
    <x v="3"/>
    <x v="319"/>
    <x v="3"/>
  </r>
  <r>
    <x v="1584"/>
    <x v="64"/>
    <x v="1"/>
    <s v="No"/>
    <x v="1"/>
    <x v="319"/>
    <x v="3"/>
    <x v="319"/>
    <x v="3"/>
  </r>
  <r>
    <x v="1585"/>
    <x v="64"/>
    <x v="1"/>
    <s v="No"/>
    <x v="1"/>
    <x v="319"/>
    <x v="3"/>
    <x v="319"/>
    <x v="3"/>
  </r>
  <r>
    <x v="1586"/>
    <x v="64"/>
    <x v="1"/>
    <s v="No"/>
    <x v="1"/>
    <x v="319"/>
    <x v="3"/>
    <x v="319"/>
    <x v="3"/>
  </r>
  <r>
    <x v="1587"/>
    <x v="64"/>
    <x v="1"/>
    <s v="No"/>
    <x v="1"/>
    <x v="319"/>
    <x v="3"/>
    <x v="319"/>
    <x v="3"/>
  </r>
  <r>
    <x v="1588"/>
    <x v="64"/>
    <x v="1"/>
    <s v="No"/>
    <x v="1"/>
    <x v="319"/>
    <x v="3"/>
    <x v="319"/>
    <x v="3"/>
  </r>
  <r>
    <x v="1589"/>
    <x v="64"/>
    <x v="1"/>
    <s v="No"/>
    <x v="1"/>
    <x v="319"/>
    <x v="3"/>
    <x v="319"/>
    <x v="3"/>
  </r>
  <r>
    <x v="1590"/>
    <x v="64"/>
    <x v="1"/>
    <s v="No"/>
    <x v="1"/>
    <x v="319"/>
    <x v="3"/>
    <x v="319"/>
    <x v="3"/>
  </r>
  <r>
    <x v="1591"/>
    <x v="64"/>
    <x v="1"/>
    <s v="No"/>
    <x v="1"/>
    <x v="319"/>
    <x v="3"/>
    <x v="319"/>
    <x v="3"/>
  </r>
  <r>
    <x v="1592"/>
    <x v="64"/>
    <x v="1"/>
    <s v="No"/>
    <x v="1"/>
    <x v="319"/>
    <x v="3"/>
    <x v="319"/>
    <x v="3"/>
  </r>
  <r>
    <x v="1593"/>
    <x v="64"/>
    <x v="1"/>
    <s v="No"/>
    <x v="1"/>
    <x v="319"/>
    <x v="3"/>
    <x v="319"/>
    <x v="3"/>
  </r>
  <r>
    <x v="1594"/>
    <x v="64"/>
    <x v="1"/>
    <s v="No"/>
    <x v="1"/>
    <x v="319"/>
    <x v="3"/>
    <x v="319"/>
    <x v="3"/>
  </r>
  <r>
    <x v="1595"/>
    <x v="64"/>
    <x v="1"/>
    <s v="No"/>
    <x v="1"/>
    <x v="319"/>
    <x v="3"/>
    <x v="319"/>
    <x v="3"/>
  </r>
  <r>
    <x v="1596"/>
    <x v="64"/>
    <x v="1"/>
    <s v="No"/>
    <x v="1"/>
    <x v="319"/>
    <x v="3"/>
    <x v="319"/>
    <x v="3"/>
  </r>
  <r>
    <x v="1597"/>
    <x v="64"/>
    <x v="1"/>
    <s v="No"/>
    <x v="1"/>
    <x v="319"/>
    <x v="3"/>
    <x v="319"/>
    <x v="3"/>
  </r>
  <r>
    <x v="1598"/>
    <x v="64"/>
    <x v="1"/>
    <s v="No"/>
    <x v="1"/>
    <x v="319"/>
    <x v="3"/>
    <x v="319"/>
    <x v="3"/>
  </r>
  <r>
    <x v="1599"/>
    <x v="64"/>
    <x v="1"/>
    <s v="No"/>
    <x v="1"/>
    <x v="319"/>
    <x v="3"/>
    <x v="319"/>
    <x v="3"/>
  </r>
  <r>
    <x v="1600"/>
    <x v="64"/>
    <x v="1"/>
    <s v="No"/>
    <x v="1"/>
    <x v="319"/>
    <x v="3"/>
    <x v="319"/>
    <x v="3"/>
  </r>
  <r>
    <x v="1601"/>
    <x v="64"/>
    <x v="1"/>
    <s v="No"/>
    <x v="1"/>
    <x v="319"/>
    <x v="3"/>
    <x v="319"/>
    <x v="3"/>
  </r>
  <r>
    <x v="1602"/>
    <x v="64"/>
    <x v="1"/>
    <s v="No"/>
    <x v="1"/>
    <x v="319"/>
    <x v="3"/>
    <x v="319"/>
    <x v="3"/>
  </r>
  <r>
    <x v="1603"/>
    <x v="64"/>
    <x v="1"/>
    <s v="No"/>
    <x v="1"/>
    <x v="319"/>
    <x v="3"/>
    <x v="319"/>
    <x v="3"/>
  </r>
  <r>
    <x v="1604"/>
    <x v="64"/>
    <x v="1"/>
    <s v="No"/>
    <x v="1"/>
    <x v="319"/>
    <x v="3"/>
    <x v="319"/>
    <x v="3"/>
  </r>
  <r>
    <x v="1605"/>
    <x v="64"/>
    <x v="1"/>
    <s v="No"/>
    <x v="1"/>
    <x v="319"/>
    <x v="3"/>
    <x v="319"/>
    <x v="3"/>
  </r>
  <r>
    <x v="1606"/>
    <x v="64"/>
    <x v="1"/>
    <s v="No"/>
    <x v="1"/>
    <x v="319"/>
    <x v="3"/>
    <x v="319"/>
    <x v="3"/>
  </r>
  <r>
    <x v="1607"/>
    <x v="64"/>
    <x v="1"/>
    <s v="No"/>
    <x v="1"/>
    <x v="319"/>
    <x v="3"/>
    <x v="319"/>
    <x v="3"/>
  </r>
  <r>
    <x v="1608"/>
    <x v="64"/>
    <x v="1"/>
    <s v="No"/>
    <x v="1"/>
    <x v="319"/>
    <x v="3"/>
    <x v="319"/>
    <x v="3"/>
  </r>
  <r>
    <x v="1609"/>
    <x v="64"/>
    <x v="1"/>
    <s v="No"/>
    <x v="1"/>
    <x v="319"/>
    <x v="3"/>
    <x v="319"/>
    <x v="3"/>
  </r>
  <r>
    <x v="1610"/>
    <x v="64"/>
    <x v="1"/>
    <s v="No"/>
    <x v="1"/>
    <x v="319"/>
    <x v="3"/>
    <x v="319"/>
    <x v="3"/>
  </r>
  <r>
    <x v="1611"/>
    <x v="64"/>
    <x v="1"/>
    <s v="No"/>
    <x v="1"/>
    <x v="319"/>
    <x v="3"/>
    <x v="319"/>
    <x v="3"/>
  </r>
  <r>
    <x v="1612"/>
    <x v="64"/>
    <x v="1"/>
    <s v="No"/>
    <x v="1"/>
    <x v="319"/>
    <x v="3"/>
    <x v="319"/>
    <x v="3"/>
  </r>
  <r>
    <x v="1613"/>
    <x v="64"/>
    <x v="1"/>
    <s v="No"/>
    <x v="1"/>
    <x v="319"/>
    <x v="3"/>
    <x v="319"/>
    <x v="3"/>
  </r>
  <r>
    <x v="1614"/>
    <x v="64"/>
    <x v="1"/>
    <s v="No"/>
    <x v="1"/>
    <x v="319"/>
    <x v="3"/>
    <x v="319"/>
    <x v="3"/>
  </r>
  <r>
    <x v="1615"/>
    <x v="64"/>
    <x v="1"/>
    <s v="No"/>
    <x v="1"/>
    <x v="319"/>
    <x v="3"/>
    <x v="319"/>
    <x v="3"/>
  </r>
  <r>
    <x v="1616"/>
    <x v="64"/>
    <x v="1"/>
    <s v="No"/>
    <x v="1"/>
    <x v="319"/>
    <x v="3"/>
    <x v="319"/>
    <x v="3"/>
  </r>
  <r>
    <x v="1617"/>
    <x v="64"/>
    <x v="1"/>
    <s v="No"/>
    <x v="1"/>
    <x v="319"/>
    <x v="3"/>
    <x v="319"/>
    <x v="3"/>
  </r>
  <r>
    <x v="1618"/>
    <x v="64"/>
    <x v="1"/>
    <s v="No"/>
    <x v="1"/>
    <x v="319"/>
    <x v="3"/>
    <x v="319"/>
    <x v="3"/>
  </r>
  <r>
    <x v="1619"/>
    <x v="64"/>
    <x v="1"/>
    <s v="No"/>
    <x v="1"/>
    <x v="319"/>
    <x v="3"/>
    <x v="319"/>
    <x v="3"/>
  </r>
  <r>
    <x v="1620"/>
    <x v="64"/>
    <x v="1"/>
    <s v="No"/>
    <x v="1"/>
    <x v="319"/>
    <x v="3"/>
    <x v="319"/>
    <x v="3"/>
  </r>
  <r>
    <x v="1621"/>
    <x v="64"/>
    <x v="1"/>
    <s v="No"/>
    <x v="1"/>
    <x v="319"/>
    <x v="3"/>
    <x v="319"/>
    <x v="3"/>
  </r>
  <r>
    <x v="1622"/>
    <x v="64"/>
    <x v="1"/>
    <s v="No"/>
    <x v="1"/>
    <x v="319"/>
    <x v="3"/>
    <x v="319"/>
    <x v="3"/>
  </r>
  <r>
    <x v="1623"/>
    <x v="64"/>
    <x v="1"/>
    <s v="No"/>
    <x v="1"/>
    <x v="319"/>
    <x v="3"/>
    <x v="319"/>
    <x v="3"/>
  </r>
  <r>
    <x v="1624"/>
    <x v="64"/>
    <x v="1"/>
    <s v="No"/>
    <x v="1"/>
    <x v="319"/>
    <x v="3"/>
    <x v="319"/>
    <x v="3"/>
  </r>
  <r>
    <x v="1625"/>
    <x v="64"/>
    <x v="1"/>
    <s v="No"/>
    <x v="1"/>
    <x v="319"/>
    <x v="3"/>
    <x v="319"/>
    <x v="3"/>
  </r>
  <r>
    <x v="1626"/>
    <x v="64"/>
    <x v="1"/>
    <s v="No"/>
    <x v="1"/>
    <x v="319"/>
    <x v="3"/>
    <x v="319"/>
    <x v="3"/>
  </r>
  <r>
    <x v="1627"/>
    <x v="64"/>
    <x v="1"/>
    <s v="No"/>
    <x v="1"/>
    <x v="319"/>
    <x v="3"/>
    <x v="319"/>
    <x v="3"/>
  </r>
  <r>
    <x v="1628"/>
    <x v="64"/>
    <x v="1"/>
    <s v="No"/>
    <x v="1"/>
    <x v="319"/>
    <x v="3"/>
    <x v="319"/>
    <x v="3"/>
  </r>
  <r>
    <x v="1629"/>
    <x v="64"/>
    <x v="1"/>
    <s v="No"/>
    <x v="1"/>
    <x v="319"/>
    <x v="3"/>
    <x v="319"/>
    <x v="3"/>
  </r>
  <r>
    <x v="1630"/>
    <x v="64"/>
    <x v="1"/>
    <s v="No"/>
    <x v="1"/>
    <x v="319"/>
    <x v="3"/>
    <x v="319"/>
    <x v="3"/>
  </r>
  <r>
    <x v="1631"/>
    <x v="64"/>
    <x v="1"/>
    <s v="No"/>
    <x v="1"/>
    <x v="319"/>
    <x v="3"/>
    <x v="319"/>
    <x v="3"/>
  </r>
  <r>
    <x v="1632"/>
    <x v="64"/>
    <x v="1"/>
    <s v="No"/>
    <x v="1"/>
    <x v="319"/>
    <x v="3"/>
    <x v="319"/>
    <x v="3"/>
  </r>
  <r>
    <x v="1633"/>
    <x v="64"/>
    <x v="1"/>
    <s v="No"/>
    <x v="1"/>
    <x v="319"/>
    <x v="3"/>
    <x v="319"/>
    <x v="3"/>
  </r>
  <r>
    <x v="1634"/>
    <x v="64"/>
    <x v="1"/>
    <s v="No"/>
    <x v="1"/>
    <x v="319"/>
    <x v="3"/>
    <x v="319"/>
    <x v="3"/>
  </r>
  <r>
    <x v="1635"/>
    <x v="64"/>
    <x v="1"/>
    <s v="No"/>
    <x v="1"/>
    <x v="319"/>
    <x v="3"/>
    <x v="319"/>
    <x v="3"/>
  </r>
  <r>
    <x v="1636"/>
    <x v="64"/>
    <x v="1"/>
    <s v="No"/>
    <x v="1"/>
    <x v="319"/>
    <x v="3"/>
    <x v="319"/>
    <x v="3"/>
  </r>
  <r>
    <x v="1637"/>
    <x v="64"/>
    <x v="1"/>
    <s v="No"/>
    <x v="1"/>
    <x v="319"/>
    <x v="3"/>
    <x v="319"/>
    <x v="3"/>
  </r>
  <r>
    <x v="1638"/>
    <x v="64"/>
    <x v="1"/>
    <s v="No"/>
    <x v="1"/>
    <x v="319"/>
    <x v="3"/>
    <x v="319"/>
    <x v="3"/>
  </r>
  <r>
    <x v="1639"/>
    <x v="64"/>
    <x v="1"/>
    <s v="No"/>
    <x v="1"/>
    <x v="319"/>
    <x v="3"/>
    <x v="319"/>
    <x v="3"/>
  </r>
  <r>
    <x v="1640"/>
    <x v="64"/>
    <x v="1"/>
    <s v="No"/>
    <x v="1"/>
    <x v="319"/>
    <x v="3"/>
    <x v="319"/>
    <x v="3"/>
  </r>
  <r>
    <x v="1641"/>
    <x v="64"/>
    <x v="1"/>
    <s v="No"/>
    <x v="1"/>
    <x v="319"/>
    <x v="3"/>
    <x v="319"/>
    <x v="3"/>
  </r>
  <r>
    <x v="1642"/>
    <x v="64"/>
    <x v="1"/>
    <s v="No"/>
    <x v="1"/>
    <x v="319"/>
    <x v="3"/>
    <x v="319"/>
    <x v="3"/>
  </r>
  <r>
    <x v="1643"/>
    <x v="64"/>
    <x v="1"/>
    <s v="No"/>
    <x v="1"/>
    <x v="319"/>
    <x v="3"/>
    <x v="319"/>
    <x v="3"/>
  </r>
  <r>
    <x v="1644"/>
    <x v="64"/>
    <x v="1"/>
    <s v="No"/>
    <x v="1"/>
    <x v="319"/>
    <x v="3"/>
    <x v="319"/>
    <x v="3"/>
  </r>
  <r>
    <x v="1645"/>
    <x v="64"/>
    <x v="1"/>
    <s v="No"/>
    <x v="1"/>
    <x v="319"/>
    <x v="3"/>
    <x v="319"/>
    <x v="3"/>
  </r>
  <r>
    <x v="1646"/>
    <x v="64"/>
    <x v="1"/>
    <s v="No"/>
    <x v="1"/>
    <x v="319"/>
    <x v="3"/>
    <x v="319"/>
    <x v="3"/>
  </r>
  <r>
    <x v="1647"/>
    <x v="64"/>
    <x v="1"/>
    <s v="No"/>
    <x v="1"/>
    <x v="319"/>
    <x v="3"/>
    <x v="319"/>
    <x v="3"/>
  </r>
  <r>
    <x v="1648"/>
    <x v="64"/>
    <x v="1"/>
    <s v="No"/>
    <x v="1"/>
    <x v="319"/>
    <x v="3"/>
    <x v="319"/>
    <x v="3"/>
  </r>
  <r>
    <x v="1649"/>
    <x v="64"/>
    <x v="1"/>
    <s v="No"/>
    <x v="1"/>
    <x v="319"/>
    <x v="3"/>
    <x v="319"/>
    <x v="3"/>
  </r>
  <r>
    <x v="1650"/>
    <x v="64"/>
    <x v="1"/>
    <s v="No"/>
    <x v="1"/>
    <x v="319"/>
    <x v="3"/>
    <x v="319"/>
    <x v="3"/>
  </r>
  <r>
    <x v="1651"/>
    <x v="64"/>
    <x v="1"/>
    <s v="No"/>
    <x v="1"/>
    <x v="319"/>
    <x v="3"/>
    <x v="319"/>
    <x v="3"/>
  </r>
  <r>
    <x v="1652"/>
    <x v="64"/>
    <x v="1"/>
    <s v="No"/>
    <x v="1"/>
    <x v="319"/>
    <x v="3"/>
    <x v="319"/>
    <x v="3"/>
  </r>
  <r>
    <x v="1653"/>
    <x v="64"/>
    <x v="1"/>
    <s v="No"/>
    <x v="1"/>
    <x v="319"/>
    <x v="3"/>
    <x v="319"/>
    <x v="3"/>
  </r>
  <r>
    <x v="1654"/>
    <x v="64"/>
    <x v="1"/>
    <s v="No"/>
    <x v="1"/>
    <x v="319"/>
    <x v="3"/>
    <x v="319"/>
    <x v="3"/>
  </r>
  <r>
    <x v="1655"/>
    <x v="64"/>
    <x v="1"/>
    <s v="No"/>
    <x v="1"/>
    <x v="319"/>
    <x v="3"/>
    <x v="319"/>
    <x v="3"/>
  </r>
  <r>
    <x v="1656"/>
    <x v="64"/>
    <x v="1"/>
    <s v="No"/>
    <x v="1"/>
    <x v="319"/>
    <x v="3"/>
    <x v="319"/>
    <x v="3"/>
  </r>
  <r>
    <x v="1657"/>
    <x v="64"/>
    <x v="1"/>
    <s v="No"/>
    <x v="1"/>
    <x v="319"/>
    <x v="3"/>
    <x v="319"/>
    <x v="3"/>
  </r>
  <r>
    <x v="1658"/>
    <x v="64"/>
    <x v="1"/>
    <s v="No"/>
    <x v="1"/>
    <x v="319"/>
    <x v="3"/>
    <x v="319"/>
    <x v="3"/>
  </r>
  <r>
    <x v="1659"/>
    <x v="64"/>
    <x v="1"/>
    <s v="No"/>
    <x v="1"/>
    <x v="319"/>
    <x v="3"/>
    <x v="319"/>
    <x v="3"/>
  </r>
  <r>
    <x v="1660"/>
    <x v="64"/>
    <x v="1"/>
    <s v="No"/>
    <x v="1"/>
    <x v="319"/>
    <x v="3"/>
    <x v="319"/>
    <x v="3"/>
  </r>
  <r>
    <x v="1661"/>
    <x v="64"/>
    <x v="1"/>
    <s v="No"/>
    <x v="1"/>
    <x v="319"/>
    <x v="3"/>
    <x v="319"/>
    <x v="3"/>
  </r>
  <r>
    <x v="1662"/>
    <x v="64"/>
    <x v="1"/>
    <s v="No"/>
    <x v="1"/>
    <x v="319"/>
    <x v="3"/>
    <x v="319"/>
    <x v="3"/>
  </r>
  <r>
    <x v="1663"/>
    <x v="64"/>
    <x v="1"/>
    <s v="No"/>
    <x v="1"/>
    <x v="319"/>
    <x v="3"/>
    <x v="319"/>
    <x v="3"/>
  </r>
  <r>
    <x v="1664"/>
    <x v="64"/>
    <x v="1"/>
    <s v="No"/>
    <x v="1"/>
    <x v="319"/>
    <x v="3"/>
    <x v="319"/>
    <x v="3"/>
  </r>
  <r>
    <x v="1665"/>
    <x v="64"/>
    <x v="1"/>
    <s v="No"/>
    <x v="1"/>
    <x v="319"/>
    <x v="3"/>
    <x v="319"/>
    <x v="3"/>
  </r>
  <r>
    <x v="1666"/>
    <x v="64"/>
    <x v="1"/>
    <s v="No"/>
    <x v="1"/>
    <x v="319"/>
    <x v="3"/>
    <x v="319"/>
    <x v="3"/>
  </r>
  <r>
    <x v="1667"/>
    <x v="64"/>
    <x v="1"/>
    <s v="No"/>
    <x v="1"/>
    <x v="319"/>
    <x v="3"/>
    <x v="319"/>
    <x v="3"/>
  </r>
  <r>
    <x v="1668"/>
    <x v="64"/>
    <x v="1"/>
    <s v="No"/>
    <x v="1"/>
    <x v="319"/>
    <x v="3"/>
    <x v="319"/>
    <x v="3"/>
  </r>
  <r>
    <x v="1669"/>
    <x v="64"/>
    <x v="1"/>
    <s v="No"/>
    <x v="1"/>
    <x v="319"/>
    <x v="3"/>
    <x v="319"/>
    <x v="3"/>
  </r>
  <r>
    <x v="1670"/>
    <x v="64"/>
    <x v="1"/>
    <s v="No"/>
    <x v="1"/>
    <x v="319"/>
    <x v="3"/>
    <x v="319"/>
    <x v="3"/>
  </r>
  <r>
    <x v="1671"/>
    <x v="64"/>
    <x v="1"/>
    <s v="No"/>
    <x v="1"/>
    <x v="319"/>
    <x v="3"/>
    <x v="319"/>
    <x v="3"/>
  </r>
  <r>
    <x v="1672"/>
    <x v="64"/>
    <x v="1"/>
    <s v="No"/>
    <x v="1"/>
    <x v="319"/>
    <x v="3"/>
    <x v="319"/>
    <x v="3"/>
  </r>
  <r>
    <x v="1673"/>
    <x v="64"/>
    <x v="1"/>
    <s v="No"/>
    <x v="1"/>
    <x v="319"/>
    <x v="3"/>
    <x v="319"/>
    <x v="3"/>
  </r>
  <r>
    <x v="1674"/>
    <x v="64"/>
    <x v="1"/>
    <s v="No"/>
    <x v="1"/>
    <x v="319"/>
    <x v="3"/>
    <x v="319"/>
    <x v="3"/>
  </r>
  <r>
    <x v="1675"/>
    <x v="64"/>
    <x v="1"/>
    <s v="No"/>
    <x v="1"/>
    <x v="319"/>
    <x v="3"/>
    <x v="319"/>
    <x v="3"/>
  </r>
  <r>
    <x v="1676"/>
    <x v="64"/>
    <x v="1"/>
    <s v="No"/>
    <x v="1"/>
    <x v="319"/>
    <x v="3"/>
    <x v="319"/>
    <x v="3"/>
  </r>
  <r>
    <x v="1677"/>
    <x v="64"/>
    <x v="1"/>
    <s v="No"/>
    <x v="1"/>
    <x v="319"/>
    <x v="3"/>
    <x v="319"/>
    <x v="3"/>
  </r>
  <r>
    <x v="1678"/>
    <x v="64"/>
    <x v="1"/>
    <s v="No"/>
    <x v="1"/>
    <x v="319"/>
    <x v="3"/>
    <x v="319"/>
    <x v="3"/>
  </r>
  <r>
    <x v="1679"/>
    <x v="64"/>
    <x v="1"/>
    <s v="No"/>
    <x v="1"/>
    <x v="319"/>
    <x v="3"/>
    <x v="319"/>
    <x v="3"/>
  </r>
  <r>
    <x v="1680"/>
    <x v="64"/>
    <x v="1"/>
    <s v="No"/>
    <x v="1"/>
    <x v="319"/>
    <x v="3"/>
    <x v="319"/>
    <x v="3"/>
  </r>
  <r>
    <x v="1681"/>
    <x v="64"/>
    <x v="1"/>
    <s v="No"/>
    <x v="1"/>
    <x v="319"/>
    <x v="3"/>
    <x v="319"/>
    <x v="3"/>
  </r>
  <r>
    <x v="1682"/>
    <x v="64"/>
    <x v="1"/>
    <s v="No"/>
    <x v="1"/>
    <x v="319"/>
    <x v="3"/>
    <x v="319"/>
    <x v="3"/>
  </r>
  <r>
    <x v="1683"/>
    <x v="64"/>
    <x v="1"/>
    <s v="No"/>
    <x v="1"/>
    <x v="319"/>
    <x v="3"/>
    <x v="319"/>
    <x v="3"/>
  </r>
  <r>
    <x v="1684"/>
    <x v="64"/>
    <x v="1"/>
    <s v="No"/>
    <x v="1"/>
    <x v="319"/>
    <x v="3"/>
    <x v="319"/>
    <x v="3"/>
  </r>
  <r>
    <x v="1685"/>
    <x v="64"/>
    <x v="1"/>
    <s v="No"/>
    <x v="1"/>
    <x v="319"/>
    <x v="3"/>
    <x v="319"/>
    <x v="3"/>
  </r>
  <r>
    <x v="1686"/>
    <x v="64"/>
    <x v="1"/>
    <s v="No"/>
    <x v="1"/>
    <x v="319"/>
    <x v="3"/>
    <x v="319"/>
    <x v="3"/>
  </r>
  <r>
    <x v="1687"/>
    <x v="64"/>
    <x v="1"/>
    <s v="No"/>
    <x v="1"/>
    <x v="319"/>
    <x v="3"/>
    <x v="319"/>
    <x v="3"/>
  </r>
  <r>
    <x v="1688"/>
    <x v="64"/>
    <x v="1"/>
    <s v="No"/>
    <x v="1"/>
    <x v="319"/>
    <x v="3"/>
    <x v="319"/>
    <x v="3"/>
  </r>
  <r>
    <x v="1689"/>
    <x v="64"/>
    <x v="1"/>
    <s v="No"/>
    <x v="1"/>
    <x v="319"/>
    <x v="3"/>
    <x v="319"/>
    <x v="3"/>
  </r>
  <r>
    <x v="1690"/>
    <x v="64"/>
    <x v="1"/>
    <s v="No"/>
    <x v="1"/>
    <x v="319"/>
    <x v="3"/>
    <x v="319"/>
    <x v="3"/>
  </r>
  <r>
    <x v="1691"/>
    <x v="64"/>
    <x v="1"/>
    <s v="No"/>
    <x v="1"/>
    <x v="319"/>
    <x v="3"/>
    <x v="319"/>
    <x v="3"/>
  </r>
  <r>
    <x v="1692"/>
    <x v="64"/>
    <x v="1"/>
    <s v="No"/>
    <x v="1"/>
    <x v="319"/>
    <x v="3"/>
    <x v="319"/>
    <x v="3"/>
  </r>
  <r>
    <x v="1693"/>
    <x v="64"/>
    <x v="1"/>
    <s v="No"/>
    <x v="1"/>
    <x v="319"/>
    <x v="3"/>
    <x v="319"/>
    <x v="3"/>
  </r>
  <r>
    <x v="1694"/>
    <x v="64"/>
    <x v="1"/>
    <s v="No"/>
    <x v="1"/>
    <x v="319"/>
    <x v="3"/>
    <x v="319"/>
    <x v="3"/>
  </r>
  <r>
    <x v="1695"/>
    <x v="64"/>
    <x v="1"/>
    <s v="No"/>
    <x v="1"/>
    <x v="319"/>
    <x v="3"/>
    <x v="319"/>
    <x v="3"/>
  </r>
  <r>
    <x v="1696"/>
    <x v="64"/>
    <x v="1"/>
    <s v="No"/>
    <x v="1"/>
    <x v="319"/>
    <x v="3"/>
    <x v="319"/>
    <x v="3"/>
  </r>
  <r>
    <x v="1697"/>
    <x v="64"/>
    <x v="1"/>
    <s v="No"/>
    <x v="1"/>
    <x v="319"/>
    <x v="3"/>
    <x v="319"/>
    <x v="3"/>
  </r>
  <r>
    <x v="1698"/>
    <x v="64"/>
    <x v="1"/>
    <s v="No"/>
    <x v="1"/>
    <x v="319"/>
    <x v="3"/>
    <x v="319"/>
    <x v="3"/>
  </r>
  <r>
    <x v="1699"/>
    <x v="64"/>
    <x v="1"/>
    <s v="No"/>
    <x v="1"/>
    <x v="319"/>
    <x v="3"/>
    <x v="319"/>
    <x v="3"/>
  </r>
  <r>
    <x v="1700"/>
    <x v="64"/>
    <x v="1"/>
    <s v="No"/>
    <x v="1"/>
    <x v="319"/>
    <x v="3"/>
    <x v="319"/>
    <x v="3"/>
  </r>
  <r>
    <x v="1701"/>
    <x v="64"/>
    <x v="1"/>
    <s v="No"/>
    <x v="1"/>
    <x v="319"/>
    <x v="3"/>
    <x v="319"/>
    <x v="3"/>
  </r>
  <r>
    <x v="1702"/>
    <x v="64"/>
    <x v="1"/>
    <s v="No"/>
    <x v="1"/>
    <x v="319"/>
    <x v="3"/>
    <x v="319"/>
    <x v="3"/>
  </r>
  <r>
    <x v="1703"/>
    <x v="64"/>
    <x v="1"/>
    <s v="No"/>
    <x v="1"/>
    <x v="319"/>
    <x v="3"/>
    <x v="319"/>
    <x v="3"/>
  </r>
  <r>
    <x v="1704"/>
    <x v="64"/>
    <x v="1"/>
    <s v="No"/>
    <x v="1"/>
    <x v="319"/>
    <x v="3"/>
    <x v="319"/>
    <x v="3"/>
  </r>
  <r>
    <x v="1705"/>
    <x v="64"/>
    <x v="1"/>
    <s v="No"/>
    <x v="1"/>
    <x v="319"/>
    <x v="3"/>
    <x v="319"/>
    <x v="3"/>
  </r>
  <r>
    <x v="1706"/>
    <x v="64"/>
    <x v="1"/>
    <s v="No"/>
    <x v="1"/>
    <x v="319"/>
    <x v="3"/>
    <x v="319"/>
    <x v="3"/>
  </r>
  <r>
    <x v="1707"/>
    <x v="64"/>
    <x v="1"/>
    <s v="No"/>
    <x v="1"/>
    <x v="319"/>
    <x v="3"/>
    <x v="319"/>
    <x v="3"/>
  </r>
  <r>
    <x v="1708"/>
    <x v="64"/>
    <x v="1"/>
    <s v="No"/>
    <x v="1"/>
    <x v="319"/>
    <x v="3"/>
    <x v="319"/>
    <x v="3"/>
  </r>
  <r>
    <x v="1709"/>
    <x v="64"/>
    <x v="1"/>
    <s v="No"/>
    <x v="1"/>
    <x v="319"/>
    <x v="3"/>
    <x v="319"/>
    <x v="3"/>
  </r>
  <r>
    <x v="1710"/>
    <x v="64"/>
    <x v="1"/>
    <s v="No"/>
    <x v="1"/>
    <x v="319"/>
    <x v="3"/>
    <x v="319"/>
    <x v="3"/>
  </r>
  <r>
    <x v="1711"/>
    <x v="64"/>
    <x v="1"/>
    <s v="No"/>
    <x v="1"/>
    <x v="319"/>
    <x v="3"/>
    <x v="319"/>
    <x v="3"/>
  </r>
  <r>
    <x v="1712"/>
    <x v="64"/>
    <x v="1"/>
    <s v="No"/>
    <x v="1"/>
    <x v="319"/>
    <x v="3"/>
    <x v="319"/>
    <x v="3"/>
  </r>
  <r>
    <x v="1713"/>
    <x v="64"/>
    <x v="1"/>
    <s v="No"/>
    <x v="1"/>
    <x v="319"/>
    <x v="3"/>
    <x v="319"/>
    <x v="3"/>
  </r>
  <r>
    <x v="1714"/>
    <x v="64"/>
    <x v="1"/>
    <s v="No"/>
    <x v="1"/>
    <x v="319"/>
    <x v="3"/>
    <x v="319"/>
    <x v="3"/>
  </r>
  <r>
    <x v="1715"/>
    <x v="64"/>
    <x v="1"/>
    <s v="No"/>
    <x v="1"/>
    <x v="319"/>
    <x v="3"/>
    <x v="319"/>
    <x v="3"/>
  </r>
  <r>
    <x v="1716"/>
    <x v="64"/>
    <x v="1"/>
    <s v="No"/>
    <x v="1"/>
    <x v="319"/>
    <x v="3"/>
    <x v="319"/>
    <x v="3"/>
  </r>
  <r>
    <x v="1717"/>
    <x v="64"/>
    <x v="1"/>
    <s v="No"/>
    <x v="1"/>
    <x v="319"/>
    <x v="3"/>
    <x v="319"/>
    <x v="3"/>
  </r>
  <r>
    <x v="1718"/>
    <x v="64"/>
    <x v="1"/>
    <s v="No"/>
    <x v="1"/>
    <x v="319"/>
    <x v="3"/>
    <x v="319"/>
    <x v="3"/>
  </r>
  <r>
    <x v="1719"/>
    <x v="64"/>
    <x v="1"/>
    <s v="No"/>
    <x v="1"/>
    <x v="319"/>
    <x v="3"/>
    <x v="319"/>
    <x v="3"/>
  </r>
  <r>
    <x v="1720"/>
    <x v="64"/>
    <x v="1"/>
    <s v="No"/>
    <x v="1"/>
    <x v="319"/>
    <x v="3"/>
    <x v="319"/>
    <x v="3"/>
  </r>
  <r>
    <x v="1721"/>
    <x v="64"/>
    <x v="1"/>
    <s v="No"/>
    <x v="1"/>
    <x v="319"/>
    <x v="3"/>
    <x v="319"/>
    <x v="3"/>
  </r>
  <r>
    <x v="1722"/>
    <x v="64"/>
    <x v="1"/>
    <s v="No"/>
    <x v="1"/>
    <x v="319"/>
    <x v="3"/>
    <x v="319"/>
    <x v="3"/>
  </r>
  <r>
    <x v="1723"/>
    <x v="64"/>
    <x v="1"/>
    <s v="No"/>
    <x v="1"/>
    <x v="319"/>
    <x v="3"/>
    <x v="319"/>
    <x v="3"/>
  </r>
  <r>
    <x v="1724"/>
    <x v="64"/>
    <x v="1"/>
    <s v="No"/>
    <x v="1"/>
    <x v="319"/>
    <x v="3"/>
    <x v="319"/>
    <x v="3"/>
  </r>
  <r>
    <x v="1725"/>
    <x v="64"/>
    <x v="1"/>
    <s v="No"/>
    <x v="1"/>
    <x v="319"/>
    <x v="3"/>
    <x v="319"/>
    <x v="3"/>
  </r>
  <r>
    <x v="1726"/>
    <x v="64"/>
    <x v="1"/>
    <s v="No"/>
    <x v="1"/>
    <x v="319"/>
    <x v="3"/>
    <x v="319"/>
    <x v="3"/>
  </r>
  <r>
    <x v="1727"/>
    <x v="64"/>
    <x v="1"/>
    <s v="No"/>
    <x v="1"/>
    <x v="319"/>
    <x v="3"/>
    <x v="319"/>
    <x v="3"/>
  </r>
  <r>
    <x v="1728"/>
    <x v="64"/>
    <x v="1"/>
    <s v="No"/>
    <x v="1"/>
    <x v="319"/>
    <x v="3"/>
    <x v="319"/>
    <x v="3"/>
  </r>
  <r>
    <x v="1729"/>
    <x v="64"/>
    <x v="1"/>
    <s v="No"/>
    <x v="1"/>
    <x v="319"/>
    <x v="3"/>
    <x v="319"/>
    <x v="3"/>
  </r>
  <r>
    <x v="1730"/>
    <x v="64"/>
    <x v="1"/>
    <s v="No"/>
    <x v="1"/>
    <x v="319"/>
    <x v="3"/>
    <x v="319"/>
    <x v="3"/>
  </r>
  <r>
    <x v="1731"/>
    <x v="64"/>
    <x v="1"/>
    <s v="No"/>
    <x v="1"/>
    <x v="319"/>
    <x v="3"/>
    <x v="319"/>
    <x v="3"/>
  </r>
  <r>
    <x v="1732"/>
    <x v="64"/>
    <x v="1"/>
    <s v="No"/>
    <x v="1"/>
    <x v="319"/>
    <x v="3"/>
    <x v="319"/>
    <x v="3"/>
  </r>
  <r>
    <x v="1733"/>
    <x v="64"/>
    <x v="1"/>
    <s v="No"/>
    <x v="1"/>
    <x v="319"/>
    <x v="3"/>
    <x v="319"/>
    <x v="3"/>
  </r>
  <r>
    <x v="1734"/>
    <x v="64"/>
    <x v="1"/>
    <s v="No"/>
    <x v="1"/>
    <x v="319"/>
    <x v="3"/>
    <x v="319"/>
    <x v="3"/>
  </r>
  <r>
    <x v="1735"/>
    <x v="64"/>
    <x v="1"/>
    <s v="No"/>
    <x v="1"/>
    <x v="319"/>
    <x v="3"/>
    <x v="319"/>
    <x v="3"/>
  </r>
  <r>
    <x v="1736"/>
    <x v="64"/>
    <x v="1"/>
    <s v="No"/>
    <x v="1"/>
    <x v="319"/>
    <x v="3"/>
    <x v="319"/>
    <x v="3"/>
  </r>
  <r>
    <x v="1737"/>
    <x v="64"/>
    <x v="1"/>
    <s v="No"/>
    <x v="1"/>
    <x v="319"/>
    <x v="3"/>
    <x v="319"/>
    <x v="3"/>
  </r>
  <r>
    <x v="1738"/>
    <x v="64"/>
    <x v="1"/>
    <s v="No"/>
    <x v="1"/>
    <x v="319"/>
    <x v="3"/>
    <x v="319"/>
    <x v="3"/>
  </r>
  <r>
    <x v="1739"/>
    <x v="64"/>
    <x v="1"/>
    <s v="No"/>
    <x v="1"/>
    <x v="319"/>
    <x v="3"/>
    <x v="319"/>
    <x v="3"/>
  </r>
  <r>
    <x v="1740"/>
    <x v="64"/>
    <x v="1"/>
    <s v="No"/>
    <x v="1"/>
    <x v="319"/>
    <x v="3"/>
    <x v="319"/>
    <x v="3"/>
  </r>
  <r>
    <x v="1741"/>
    <x v="64"/>
    <x v="1"/>
    <s v="No"/>
    <x v="1"/>
    <x v="319"/>
    <x v="3"/>
    <x v="319"/>
    <x v="3"/>
  </r>
  <r>
    <x v="1742"/>
    <x v="64"/>
    <x v="1"/>
    <s v="No"/>
    <x v="1"/>
    <x v="319"/>
    <x v="3"/>
    <x v="319"/>
    <x v="3"/>
  </r>
  <r>
    <x v="1743"/>
    <x v="64"/>
    <x v="1"/>
    <s v="No"/>
    <x v="1"/>
    <x v="319"/>
    <x v="3"/>
    <x v="319"/>
    <x v="3"/>
  </r>
  <r>
    <x v="1744"/>
    <x v="64"/>
    <x v="1"/>
    <s v="No"/>
    <x v="1"/>
    <x v="319"/>
    <x v="3"/>
    <x v="319"/>
    <x v="3"/>
  </r>
  <r>
    <x v="1745"/>
    <x v="64"/>
    <x v="1"/>
    <s v="No"/>
    <x v="1"/>
    <x v="319"/>
    <x v="3"/>
    <x v="319"/>
    <x v="3"/>
  </r>
  <r>
    <x v="1746"/>
    <x v="64"/>
    <x v="1"/>
    <s v="No"/>
    <x v="1"/>
    <x v="319"/>
    <x v="3"/>
    <x v="319"/>
    <x v="3"/>
  </r>
  <r>
    <x v="1747"/>
    <x v="64"/>
    <x v="1"/>
    <s v="No"/>
    <x v="1"/>
    <x v="319"/>
    <x v="3"/>
    <x v="319"/>
    <x v="3"/>
  </r>
  <r>
    <x v="1748"/>
    <x v="64"/>
    <x v="1"/>
    <s v="No"/>
    <x v="1"/>
    <x v="319"/>
    <x v="3"/>
    <x v="319"/>
    <x v="3"/>
  </r>
  <r>
    <x v="1749"/>
    <x v="64"/>
    <x v="1"/>
    <s v="No"/>
    <x v="1"/>
    <x v="319"/>
    <x v="3"/>
    <x v="319"/>
    <x v="3"/>
  </r>
  <r>
    <x v="1750"/>
    <x v="64"/>
    <x v="1"/>
    <s v="No"/>
    <x v="1"/>
    <x v="319"/>
    <x v="3"/>
    <x v="319"/>
    <x v="3"/>
  </r>
  <r>
    <x v="1751"/>
    <x v="64"/>
    <x v="1"/>
    <s v="No"/>
    <x v="1"/>
    <x v="319"/>
    <x v="3"/>
    <x v="319"/>
    <x v="3"/>
  </r>
  <r>
    <x v="1752"/>
    <x v="64"/>
    <x v="1"/>
    <s v="No"/>
    <x v="1"/>
    <x v="319"/>
    <x v="3"/>
    <x v="319"/>
    <x v="3"/>
  </r>
  <r>
    <x v="1753"/>
    <x v="64"/>
    <x v="1"/>
    <s v="No"/>
    <x v="1"/>
    <x v="319"/>
    <x v="3"/>
    <x v="319"/>
    <x v="3"/>
  </r>
  <r>
    <x v="1754"/>
    <x v="64"/>
    <x v="1"/>
    <s v="No"/>
    <x v="1"/>
    <x v="319"/>
    <x v="3"/>
    <x v="319"/>
    <x v="3"/>
  </r>
  <r>
    <x v="1755"/>
    <x v="64"/>
    <x v="1"/>
    <s v="No"/>
    <x v="1"/>
    <x v="319"/>
    <x v="3"/>
    <x v="319"/>
    <x v="3"/>
  </r>
  <r>
    <x v="1756"/>
    <x v="64"/>
    <x v="1"/>
    <s v="No"/>
    <x v="1"/>
    <x v="319"/>
    <x v="3"/>
    <x v="319"/>
    <x v="3"/>
  </r>
  <r>
    <x v="1757"/>
    <x v="64"/>
    <x v="1"/>
    <s v="No"/>
    <x v="1"/>
    <x v="319"/>
    <x v="3"/>
    <x v="319"/>
    <x v="3"/>
  </r>
  <r>
    <x v="1758"/>
    <x v="64"/>
    <x v="1"/>
    <s v="No"/>
    <x v="1"/>
    <x v="319"/>
    <x v="3"/>
    <x v="319"/>
    <x v="3"/>
  </r>
  <r>
    <x v="1759"/>
    <x v="64"/>
    <x v="1"/>
    <s v="No"/>
    <x v="1"/>
    <x v="319"/>
    <x v="3"/>
    <x v="319"/>
    <x v="3"/>
  </r>
  <r>
    <x v="1760"/>
    <x v="64"/>
    <x v="1"/>
    <s v="No"/>
    <x v="1"/>
    <x v="319"/>
    <x v="3"/>
    <x v="319"/>
    <x v="3"/>
  </r>
  <r>
    <x v="1761"/>
    <x v="64"/>
    <x v="1"/>
    <s v="No"/>
    <x v="1"/>
    <x v="319"/>
    <x v="3"/>
    <x v="319"/>
    <x v="3"/>
  </r>
  <r>
    <x v="1762"/>
    <x v="64"/>
    <x v="1"/>
    <s v="No"/>
    <x v="1"/>
    <x v="319"/>
    <x v="3"/>
    <x v="319"/>
    <x v="3"/>
  </r>
  <r>
    <x v="1763"/>
    <x v="64"/>
    <x v="1"/>
    <s v="No"/>
    <x v="1"/>
    <x v="319"/>
    <x v="3"/>
    <x v="319"/>
    <x v="3"/>
  </r>
  <r>
    <x v="1764"/>
    <x v="64"/>
    <x v="1"/>
    <s v="No"/>
    <x v="1"/>
    <x v="319"/>
    <x v="3"/>
    <x v="319"/>
    <x v="3"/>
  </r>
  <r>
    <x v="1765"/>
    <x v="64"/>
    <x v="1"/>
    <s v="No"/>
    <x v="1"/>
    <x v="319"/>
    <x v="3"/>
    <x v="319"/>
    <x v="3"/>
  </r>
  <r>
    <x v="1766"/>
    <x v="64"/>
    <x v="1"/>
    <s v="No"/>
    <x v="1"/>
    <x v="319"/>
    <x v="3"/>
    <x v="319"/>
    <x v="3"/>
  </r>
  <r>
    <x v="1767"/>
    <x v="64"/>
    <x v="1"/>
    <s v="No"/>
    <x v="1"/>
    <x v="319"/>
    <x v="3"/>
    <x v="319"/>
    <x v="3"/>
  </r>
  <r>
    <x v="1768"/>
    <x v="64"/>
    <x v="1"/>
    <s v="No"/>
    <x v="1"/>
    <x v="319"/>
    <x v="3"/>
    <x v="319"/>
    <x v="3"/>
  </r>
  <r>
    <x v="1769"/>
    <x v="64"/>
    <x v="1"/>
    <s v="No"/>
    <x v="1"/>
    <x v="319"/>
    <x v="3"/>
    <x v="319"/>
    <x v="3"/>
  </r>
  <r>
    <x v="1770"/>
    <x v="64"/>
    <x v="1"/>
    <s v="No"/>
    <x v="1"/>
    <x v="319"/>
    <x v="3"/>
    <x v="319"/>
    <x v="3"/>
  </r>
  <r>
    <x v="1771"/>
    <x v="64"/>
    <x v="1"/>
    <s v="No"/>
    <x v="1"/>
    <x v="319"/>
    <x v="3"/>
    <x v="319"/>
    <x v="3"/>
  </r>
  <r>
    <x v="1772"/>
    <x v="64"/>
    <x v="1"/>
    <s v="No"/>
    <x v="1"/>
    <x v="319"/>
    <x v="3"/>
    <x v="319"/>
    <x v="3"/>
  </r>
  <r>
    <x v="1773"/>
    <x v="64"/>
    <x v="1"/>
    <s v="No"/>
    <x v="1"/>
    <x v="319"/>
    <x v="3"/>
    <x v="319"/>
    <x v="3"/>
  </r>
  <r>
    <x v="1774"/>
    <x v="64"/>
    <x v="1"/>
    <s v="No"/>
    <x v="1"/>
    <x v="319"/>
    <x v="3"/>
    <x v="319"/>
    <x v="3"/>
  </r>
  <r>
    <x v="1775"/>
    <x v="64"/>
    <x v="1"/>
    <s v="No"/>
    <x v="1"/>
    <x v="319"/>
    <x v="3"/>
    <x v="319"/>
    <x v="3"/>
  </r>
  <r>
    <x v="1776"/>
    <x v="64"/>
    <x v="1"/>
    <s v="No"/>
    <x v="1"/>
    <x v="319"/>
    <x v="3"/>
    <x v="319"/>
    <x v="3"/>
  </r>
  <r>
    <x v="1777"/>
    <x v="64"/>
    <x v="1"/>
    <s v="No"/>
    <x v="1"/>
    <x v="319"/>
    <x v="3"/>
    <x v="319"/>
    <x v="3"/>
  </r>
  <r>
    <x v="1778"/>
    <x v="64"/>
    <x v="1"/>
    <s v="No"/>
    <x v="1"/>
    <x v="319"/>
    <x v="3"/>
    <x v="319"/>
    <x v="3"/>
  </r>
  <r>
    <x v="1779"/>
    <x v="64"/>
    <x v="1"/>
    <s v="No"/>
    <x v="1"/>
    <x v="319"/>
    <x v="3"/>
    <x v="319"/>
    <x v="3"/>
  </r>
  <r>
    <x v="1780"/>
    <x v="64"/>
    <x v="1"/>
    <s v="No"/>
    <x v="1"/>
    <x v="319"/>
    <x v="3"/>
    <x v="319"/>
    <x v="3"/>
  </r>
  <r>
    <x v="1781"/>
    <x v="64"/>
    <x v="1"/>
    <s v="No"/>
    <x v="1"/>
    <x v="319"/>
    <x v="3"/>
    <x v="319"/>
    <x v="3"/>
  </r>
  <r>
    <x v="1782"/>
    <x v="64"/>
    <x v="1"/>
    <s v="No"/>
    <x v="1"/>
    <x v="319"/>
    <x v="3"/>
    <x v="319"/>
    <x v="3"/>
  </r>
  <r>
    <x v="1783"/>
    <x v="64"/>
    <x v="1"/>
    <s v="No"/>
    <x v="1"/>
    <x v="319"/>
    <x v="3"/>
    <x v="319"/>
    <x v="3"/>
  </r>
  <r>
    <x v="1784"/>
    <x v="64"/>
    <x v="1"/>
    <s v="No"/>
    <x v="1"/>
    <x v="319"/>
    <x v="3"/>
    <x v="319"/>
    <x v="3"/>
  </r>
  <r>
    <x v="1785"/>
    <x v="64"/>
    <x v="1"/>
    <s v="No"/>
    <x v="1"/>
    <x v="319"/>
    <x v="3"/>
    <x v="319"/>
    <x v="3"/>
  </r>
  <r>
    <x v="1786"/>
    <x v="64"/>
    <x v="1"/>
    <s v="No"/>
    <x v="1"/>
    <x v="319"/>
    <x v="3"/>
    <x v="319"/>
    <x v="3"/>
  </r>
  <r>
    <x v="1787"/>
    <x v="64"/>
    <x v="1"/>
    <s v="No"/>
    <x v="1"/>
    <x v="319"/>
    <x v="3"/>
    <x v="319"/>
    <x v="3"/>
  </r>
  <r>
    <x v="1788"/>
    <x v="64"/>
    <x v="1"/>
    <s v="No"/>
    <x v="1"/>
    <x v="319"/>
    <x v="3"/>
    <x v="319"/>
    <x v="3"/>
  </r>
  <r>
    <x v="1789"/>
    <x v="64"/>
    <x v="1"/>
    <s v="No"/>
    <x v="1"/>
    <x v="319"/>
    <x v="3"/>
    <x v="319"/>
    <x v="3"/>
  </r>
  <r>
    <x v="1790"/>
    <x v="64"/>
    <x v="1"/>
    <s v="No"/>
    <x v="1"/>
    <x v="319"/>
    <x v="3"/>
    <x v="319"/>
    <x v="3"/>
  </r>
  <r>
    <x v="1791"/>
    <x v="64"/>
    <x v="1"/>
    <s v="No"/>
    <x v="1"/>
    <x v="319"/>
    <x v="3"/>
    <x v="319"/>
    <x v="3"/>
  </r>
  <r>
    <x v="1792"/>
    <x v="64"/>
    <x v="1"/>
    <s v="No"/>
    <x v="1"/>
    <x v="319"/>
    <x v="3"/>
    <x v="319"/>
    <x v="3"/>
  </r>
  <r>
    <x v="1793"/>
    <x v="64"/>
    <x v="1"/>
    <s v="No"/>
    <x v="1"/>
    <x v="319"/>
    <x v="3"/>
    <x v="319"/>
    <x v="3"/>
  </r>
  <r>
    <x v="1794"/>
    <x v="64"/>
    <x v="1"/>
    <s v="No"/>
    <x v="1"/>
    <x v="319"/>
    <x v="3"/>
    <x v="319"/>
    <x v="3"/>
  </r>
  <r>
    <x v="1795"/>
    <x v="64"/>
    <x v="1"/>
    <s v="No"/>
    <x v="1"/>
    <x v="319"/>
    <x v="3"/>
    <x v="319"/>
    <x v="3"/>
  </r>
  <r>
    <x v="1796"/>
    <x v="64"/>
    <x v="1"/>
    <s v="No"/>
    <x v="1"/>
    <x v="319"/>
    <x v="3"/>
    <x v="319"/>
    <x v="3"/>
  </r>
  <r>
    <x v="1797"/>
    <x v="64"/>
    <x v="1"/>
    <s v="No"/>
    <x v="1"/>
    <x v="319"/>
    <x v="3"/>
    <x v="319"/>
    <x v="3"/>
  </r>
  <r>
    <x v="1798"/>
    <x v="64"/>
    <x v="1"/>
    <s v="No"/>
    <x v="1"/>
    <x v="319"/>
    <x v="3"/>
    <x v="319"/>
    <x v="3"/>
  </r>
  <r>
    <x v="1799"/>
    <x v="64"/>
    <x v="1"/>
    <s v="No"/>
    <x v="1"/>
    <x v="319"/>
    <x v="3"/>
    <x v="319"/>
    <x v="3"/>
  </r>
  <r>
    <x v="1800"/>
    <x v="64"/>
    <x v="1"/>
    <s v="No"/>
    <x v="1"/>
    <x v="319"/>
    <x v="3"/>
    <x v="319"/>
    <x v="3"/>
  </r>
  <r>
    <x v="1801"/>
    <x v="64"/>
    <x v="1"/>
    <s v="No"/>
    <x v="1"/>
    <x v="319"/>
    <x v="3"/>
    <x v="319"/>
    <x v="3"/>
  </r>
  <r>
    <x v="1802"/>
    <x v="64"/>
    <x v="1"/>
    <s v="No"/>
    <x v="1"/>
    <x v="319"/>
    <x v="3"/>
    <x v="319"/>
    <x v="3"/>
  </r>
  <r>
    <x v="1803"/>
    <x v="64"/>
    <x v="1"/>
    <s v="No"/>
    <x v="1"/>
    <x v="319"/>
    <x v="3"/>
    <x v="319"/>
    <x v="3"/>
  </r>
  <r>
    <x v="1804"/>
    <x v="64"/>
    <x v="1"/>
    <s v="No"/>
    <x v="1"/>
    <x v="319"/>
    <x v="3"/>
    <x v="319"/>
    <x v="3"/>
  </r>
  <r>
    <x v="1805"/>
    <x v="64"/>
    <x v="1"/>
    <s v="No"/>
    <x v="1"/>
    <x v="319"/>
    <x v="3"/>
    <x v="319"/>
    <x v="3"/>
  </r>
  <r>
    <x v="1806"/>
    <x v="64"/>
    <x v="1"/>
    <s v="No"/>
    <x v="1"/>
    <x v="319"/>
    <x v="3"/>
    <x v="319"/>
    <x v="3"/>
  </r>
  <r>
    <x v="1807"/>
    <x v="64"/>
    <x v="1"/>
    <s v="No"/>
    <x v="1"/>
    <x v="319"/>
    <x v="3"/>
    <x v="319"/>
    <x v="3"/>
  </r>
  <r>
    <x v="1808"/>
    <x v="64"/>
    <x v="1"/>
    <s v="No"/>
    <x v="1"/>
    <x v="319"/>
    <x v="3"/>
    <x v="319"/>
    <x v="3"/>
  </r>
  <r>
    <x v="1809"/>
    <x v="64"/>
    <x v="1"/>
    <s v="No"/>
    <x v="1"/>
    <x v="319"/>
    <x v="3"/>
    <x v="319"/>
    <x v="3"/>
  </r>
  <r>
    <x v="1810"/>
    <x v="64"/>
    <x v="1"/>
    <s v="No"/>
    <x v="1"/>
    <x v="319"/>
    <x v="3"/>
    <x v="319"/>
    <x v="3"/>
  </r>
  <r>
    <x v="1811"/>
    <x v="64"/>
    <x v="1"/>
    <s v="No"/>
    <x v="1"/>
    <x v="319"/>
    <x v="3"/>
    <x v="319"/>
    <x v="3"/>
  </r>
  <r>
    <x v="1812"/>
    <x v="64"/>
    <x v="1"/>
    <s v="No"/>
    <x v="1"/>
    <x v="319"/>
    <x v="3"/>
    <x v="319"/>
    <x v="3"/>
  </r>
  <r>
    <x v="1813"/>
    <x v="64"/>
    <x v="1"/>
    <s v="No"/>
    <x v="1"/>
    <x v="319"/>
    <x v="3"/>
    <x v="319"/>
    <x v="3"/>
  </r>
  <r>
    <x v="1814"/>
    <x v="64"/>
    <x v="1"/>
    <s v="No"/>
    <x v="1"/>
    <x v="319"/>
    <x v="3"/>
    <x v="319"/>
    <x v="3"/>
  </r>
  <r>
    <x v="1815"/>
    <x v="64"/>
    <x v="1"/>
    <s v="No"/>
    <x v="1"/>
    <x v="319"/>
    <x v="3"/>
    <x v="319"/>
    <x v="3"/>
  </r>
  <r>
    <x v="1816"/>
    <x v="64"/>
    <x v="1"/>
    <s v="No"/>
    <x v="1"/>
    <x v="319"/>
    <x v="3"/>
    <x v="319"/>
    <x v="3"/>
  </r>
  <r>
    <x v="1817"/>
    <x v="64"/>
    <x v="1"/>
    <s v="No"/>
    <x v="1"/>
    <x v="319"/>
    <x v="3"/>
    <x v="319"/>
    <x v="3"/>
  </r>
  <r>
    <x v="1818"/>
    <x v="64"/>
    <x v="1"/>
    <s v="No"/>
    <x v="1"/>
    <x v="319"/>
    <x v="3"/>
    <x v="319"/>
    <x v="3"/>
  </r>
  <r>
    <x v="1819"/>
    <x v="64"/>
    <x v="1"/>
    <s v="No"/>
    <x v="1"/>
    <x v="319"/>
    <x v="3"/>
    <x v="319"/>
    <x v="3"/>
  </r>
  <r>
    <x v="1820"/>
    <x v="64"/>
    <x v="1"/>
    <s v="No"/>
    <x v="1"/>
    <x v="319"/>
    <x v="3"/>
    <x v="319"/>
    <x v="3"/>
  </r>
  <r>
    <x v="1821"/>
    <x v="64"/>
    <x v="1"/>
    <s v="No"/>
    <x v="1"/>
    <x v="319"/>
    <x v="3"/>
    <x v="319"/>
    <x v="3"/>
  </r>
  <r>
    <x v="1822"/>
    <x v="64"/>
    <x v="1"/>
    <s v="No"/>
    <x v="1"/>
    <x v="319"/>
    <x v="3"/>
    <x v="319"/>
    <x v="3"/>
  </r>
  <r>
    <x v="1823"/>
    <x v="64"/>
    <x v="1"/>
    <s v="No"/>
    <x v="1"/>
    <x v="319"/>
    <x v="3"/>
    <x v="319"/>
    <x v="3"/>
  </r>
  <r>
    <x v="1824"/>
    <x v="64"/>
    <x v="1"/>
    <s v="No"/>
    <x v="1"/>
    <x v="319"/>
    <x v="3"/>
    <x v="319"/>
    <x v="3"/>
  </r>
  <r>
    <x v="1825"/>
    <x v="64"/>
    <x v="1"/>
    <s v="No"/>
    <x v="1"/>
    <x v="319"/>
    <x v="3"/>
    <x v="319"/>
    <x v="3"/>
  </r>
  <r>
    <x v="1826"/>
    <x v="64"/>
    <x v="1"/>
    <s v="No"/>
    <x v="1"/>
    <x v="319"/>
    <x v="3"/>
    <x v="319"/>
    <x v="3"/>
  </r>
  <r>
    <x v="1827"/>
    <x v="64"/>
    <x v="1"/>
    <s v="No"/>
    <x v="1"/>
    <x v="319"/>
    <x v="3"/>
    <x v="319"/>
    <x v="3"/>
  </r>
  <r>
    <x v="1828"/>
    <x v="64"/>
    <x v="1"/>
    <s v="No"/>
    <x v="1"/>
    <x v="319"/>
    <x v="3"/>
    <x v="319"/>
    <x v="3"/>
  </r>
  <r>
    <x v="1829"/>
    <x v="64"/>
    <x v="1"/>
    <s v="No"/>
    <x v="1"/>
    <x v="319"/>
    <x v="3"/>
    <x v="319"/>
    <x v="3"/>
  </r>
  <r>
    <x v="1830"/>
    <x v="64"/>
    <x v="1"/>
    <s v="No"/>
    <x v="1"/>
    <x v="319"/>
    <x v="3"/>
    <x v="319"/>
    <x v="3"/>
  </r>
  <r>
    <x v="1831"/>
    <x v="64"/>
    <x v="1"/>
    <s v="No"/>
    <x v="1"/>
    <x v="319"/>
    <x v="3"/>
    <x v="319"/>
    <x v="3"/>
  </r>
  <r>
    <x v="1832"/>
    <x v="64"/>
    <x v="1"/>
    <s v="No"/>
    <x v="1"/>
    <x v="319"/>
    <x v="3"/>
    <x v="319"/>
    <x v="3"/>
  </r>
  <r>
    <x v="1833"/>
    <x v="64"/>
    <x v="1"/>
    <s v="No"/>
    <x v="1"/>
    <x v="319"/>
    <x v="3"/>
    <x v="319"/>
    <x v="3"/>
  </r>
  <r>
    <x v="1834"/>
    <x v="64"/>
    <x v="1"/>
    <s v="No"/>
    <x v="1"/>
    <x v="319"/>
    <x v="3"/>
    <x v="319"/>
    <x v="3"/>
  </r>
  <r>
    <x v="1835"/>
    <x v="64"/>
    <x v="1"/>
    <s v="No"/>
    <x v="1"/>
    <x v="319"/>
    <x v="3"/>
    <x v="319"/>
    <x v="3"/>
  </r>
  <r>
    <x v="1836"/>
    <x v="64"/>
    <x v="1"/>
    <s v="No"/>
    <x v="1"/>
    <x v="319"/>
    <x v="3"/>
    <x v="319"/>
    <x v="3"/>
  </r>
  <r>
    <x v="1837"/>
    <x v="64"/>
    <x v="1"/>
    <s v="No"/>
    <x v="1"/>
    <x v="319"/>
    <x v="3"/>
    <x v="319"/>
    <x v="3"/>
  </r>
  <r>
    <x v="1838"/>
    <x v="64"/>
    <x v="1"/>
    <s v="No"/>
    <x v="1"/>
    <x v="319"/>
    <x v="3"/>
    <x v="319"/>
    <x v="3"/>
  </r>
  <r>
    <x v="1839"/>
    <x v="64"/>
    <x v="1"/>
    <s v="No"/>
    <x v="1"/>
    <x v="319"/>
    <x v="3"/>
    <x v="319"/>
    <x v="3"/>
  </r>
  <r>
    <x v="1840"/>
    <x v="64"/>
    <x v="1"/>
    <s v="No"/>
    <x v="1"/>
    <x v="319"/>
    <x v="3"/>
    <x v="319"/>
    <x v="3"/>
  </r>
  <r>
    <x v="1841"/>
    <x v="64"/>
    <x v="1"/>
    <s v="No"/>
    <x v="1"/>
    <x v="319"/>
    <x v="3"/>
    <x v="319"/>
    <x v="3"/>
  </r>
  <r>
    <x v="1842"/>
    <x v="64"/>
    <x v="1"/>
    <s v="No"/>
    <x v="1"/>
    <x v="319"/>
    <x v="3"/>
    <x v="319"/>
    <x v="3"/>
  </r>
  <r>
    <x v="1843"/>
    <x v="64"/>
    <x v="1"/>
    <s v="No"/>
    <x v="1"/>
    <x v="319"/>
    <x v="3"/>
    <x v="319"/>
    <x v="3"/>
  </r>
  <r>
    <x v="1844"/>
    <x v="64"/>
    <x v="1"/>
    <s v="No"/>
    <x v="1"/>
    <x v="319"/>
    <x v="3"/>
    <x v="319"/>
    <x v="3"/>
  </r>
  <r>
    <x v="1845"/>
    <x v="64"/>
    <x v="1"/>
    <s v="No"/>
    <x v="1"/>
    <x v="319"/>
    <x v="3"/>
    <x v="319"/>
    <x v="3"/>
  </r>
  <r>
    <x v="1846"/>
    <x v="64"/>
    <x v="1"/>
    <s v="No"/>
    <x v="1"/>
    <x v="319"/>
    <x v="3"/>
    <x v="319"/>
    <x v="3"/>
  </r>
  <r>
    <x v="1847"/>
    <x v="64"/>
    <x v="1"/>
    <s v="No"/>
    <x v="1"/>
    <x v="319"/>
    <x v="3"/>
    <x v="319"/>
    <x v="3"/>
  </r>
  <r>
    <x v="1848"/>
    <x v="64"/>
    <x v="1"/>
    <s v="No"/>
    <x v="1"/>
    <x v="319"/>
    <x v="3"/>
    <x v="319"/>
    <x v="3"/>
  </r>
  <r>
    <x v="1849"/>
    <x v="64"/>
    <x v="1"/>
    <s v="No"/>
    <x v="1"/>
    <x v="319"/>
    <x v="3"/>
    <x v="319"/>
    <x v="3"/>
  </r>
  <r>
    <x v="1850"/>
    <x v="64"/>
    <x v="1"/>
    <s v="No"/>
    <x v="1"/>
    <x v="319"/>
    <x v="3"/>
    <x v="319"/>
    <x v="3"/>
  </r>
  <r>
    <x v="1851"/>
    <x v="64"/>
    <x v="1"/>
    <s v="No"/>
    <x v="1"/>
    <x v="319"/>
    <x v="3"/>
    <x v="319"/>
    <x v="3"/>
  </r>
  <r>
    <x v="1852"/>
    <x v="64"/>
    <x v="1"/>
    <s v="No"/>
    <x v="1"/>
    <x v="319"/>
    <x v="3"/>
    <x v="319"/>
    <x v="3"/>
  </r>
  <r>
    <x v="1853"/>
    <x v="64"/>
    <x v="1"/>
    <s v="No"/>
    <x v="1"/>
    <x v="319"/>
    <x v="3"/>
    <x v="319"/>
    <x v="3"/>
  </r>
  <r>
    <x v="1854"/>
    <x v="64"/>
    <x v="1"/>
    <s v="No"/>
    <x v="1"/>
    <x v="319"/>
    <x v="3"/>
    <x v="319"/>
    <x v="3"/>
  </r>
  <r>
    <x v="1855"/>
    <x v="64"/>
    <x v="1"/>
    <s v="No"/>
    <x v="1"/>
    <x v="319"/>
    <x v="3"/>
    <x v="319"/>
    <x v="3"/>
  </r>
  <r>
    <x v="1856"/>
    <x v="64"/>
    <x v="1"/>
    <s v="No"/>
    <x v="1"/>
    <x v="319"/>
    <x v="3"/>
    <x v="319"/>
    <x v="3"/>
  </r>
  <r>
    <x v="1857"/>
    <x v="64"/>
    <x v="1"/>
    <s v="No"/>
    <x v="1"/>
    <x v="319"/>
    <x v="3"/>
    <x v="319"/>
    <x v="3"/>
  </r>
  <r>
    <x v="1858"/>
    <x v="64"/>
    <x v="1"/>
    <s v="No"/>
    <x v="1"/>
    <x v="319"/>
    <x v="3"/>
    <x v="319"/>
    <x v="3"/>
  </r>
  <r>
    <x v="1859"/>
    <x v="64"/>
    <x v="1"/>
    <s v="No"/>
    <x v="1"/>
    <x v="319"/>
    <x v="3"/>
    <x v="319"/>
    <x v="3"/>
  </r>
  <r>
    <x v="1860"/>
    <x v="64"/>
    <x v="1"/>
    <s v="No"/>
    <x v="1"/>
    <x v="319"/>
    <x v="3"/>
    <x v="319"/>
    <x v="3"/>
  </r>
  <r>
    <x v="1861"/>
    <x v="64"/>
    <x v="1"/>
    <s v="No"/>
    <x v="1"/>
    <x v="319"/>
    <x v="3"/>
    <x v="319"/>
    <x v="3"/>
  </r>
  <r>
    <x v="1862"/>
    <x v="64"/>
    <x v="1"/>
    <s v="No"/>
    <x v="1"/>
    <x v="319"/>
    <x v="3"/>
    <x v="319"/>
    <x v="3"/>
  </r>
  <r>
    <x v="1863"/>
    <x v="64"/>
    <x v="1"/>
    <s v="No"/>
    <x v="1"/>
    <x v="319"/>
    <x v="3"/>
    <x v="319"/>
    <x v="3"/>
  </r>
  <r>
    <x v="1864"/>
    <x v="64"/>
    <x v="1"/>
    <s v="No"/>
    <x v="1"/>
    <x v="319"/>
    <x v="3"/>
    <x v="319"/>
    <x v="3"/>
  </r>
  <r>
    <x v="1865"/>
    <x v="64"/>
    <x v="1"/>
    <s v="No"/>
    <x v="1"/>
    <x v="319"/>
    <x v="3"/>
    <x v="319"/>
    <x v="3"/>
  </r>
  <r>
    <x v="1866"/>
    <x v="64"/>
    <x v="1"/>
    <s v="No"/>
    <x v="1"/>
    <x v="319"/>
    <x v="3"/>
    <x v="319"/>
    <x v="3"/>
  </r>
  <r>
    <x v="1867"/>
    <x v="64"/>
    <x v="1"/>
    <s v="No"/>
    <x v="1"/>
    <x v="319"/>
    <x v="3"/>
    <x v="319"/>
    <x v="3"/>
  </r>
  <r>
    <x v="1868"/>
    <x v="64"/>
    <x v="1"/>
    <s v="No"/>
    <x v="1"/>
    <x v="319"/>
    <x v="3"/>
    <x v="319"/>
    <x v="3"/>
  </r>
  <r>
    <x v="1869"/>
    <x v="64"/>
    <x v="1"/>
    <s v="No"/>
    <x v="1"/>
    <x v="319"/>
    <x v="3"/>
    <x v="319"/>
    <x v="3"/>
  </r>
  <r>
    <x v="1870"/>
    <x v="64"/>
    <x v="1"/>
    <s v="No"/>
    <x v="1"/>
    <x v="319"/>
    <x v="3"/>
    <x v="319"/>
    <x v="3"/>
  </r>
  <r>
    <x v="1871"/>
    <x v="64"/>
    <x v="1"/>
    <s v="No"/>
    <x v="1"/>
    <x v="319"/>
    <x v="3"/>
    <x v="319"/>
    <x v="3"/>
  </r>
  <r>
    <x v="1872"/>
    <x v="64"/>
    <x v="1"/>
    <s v="No"/>
    <x v="1"/>
    <x v="319"/>
    <x v="3"/>
    <x v="319"/>
    <x v="3"/>
  </r>
  <r>
    <x v="1873"/>
    <x v="64"/>
    <x v="1"/>
    <s v="No"/>
    <x v="1"/>
    <x v="319"/>
    <x v="3"/>
    <x v="319"/>
    <x v="3"/>
  </r>
  <r>
    <x v="1874"/>
    <x v="64"/>
    <x v="1"/>
    <s v="No"/>
    <x v="1"/>
    <x v="319"/>
    <x v="3"/>
    <x v="319"/>
    <x v="3"/>
  </r>
  <r>
    <x v="1875"/>
    <x v="64"/>
    <x v="1"/>
    <s v="No"/>
    <x v="1"/>
    <x v="319"/>
    <x v="3"/>
    <x v="319"/>
    <x v="3"/>
  </r>
  <r>
    <x v="1876"/>
    <x v="64"/>
    <x v="1"/>
    <s v="No"/>
    <x v="1"/>
    <x v="319"/>
    <x v="3"/>
    <x v="319"/>
    <x v="3"/>
  </r>
  <r>
    <x v="1877"/>
    <x v="64"/>
    <x v="1"/>
    <s v="No"/>
    <x v="1"/>
    <x v="319"/>
    <x v="3"/>
    <x v="319"/>
    <x v="3"/>
  </r>
  <r>
    <x v="1878"/>
    <x v="64"/>
    <x v="1"/>
    <s v="No"/>
    <x v="1"/>
    <x v="319"/>
    <x v="3"/>
    <x v="319"/>
    <x v="3"/>
  </r>
  <r>
    <x v="1879"/>
    <x v="64"/>
    <x v="1"/>
    <s v="No"/>
    <x v="1"/>
    <x v="319"/>
    <x v="3"/>
    <x v="319"/>
    <x v="3"/>
  </r>
  <r>
    <x v="1880"/>
    <x v="64"/>
    <x v="1"/>
    <s v="No"/>
    <x v="1"/>
    <x v="319"/>
    <x v="3"/>
    <x v="319"/>
    <x v="3"/>
  </r>
  <r>
    <x v="1881"/>
    <x v="64"/>
    <x v="1"/>
    <s v="No"/>
    <x v="1"/>
    <x v="319"/>
    <x v="3"/>
    <x v="319"/>
    <x v="3"/>
  </r>
  <r>
    <x v="1882"/>
    <x v="64"/>
    <x v="1"/>
    <s v="No"/>
    <x v="1"/>
    <x v="319"/>
    <x v="3"/>
    <x v="319"/>
    <x v="3"/>
  </r>
  <r>
    <x v="1883"/>
    <x v="64"/>
    <x v="1"/>
    <s v="No"/>
    <x v="1"/>
    <x v="319"/>
    <x v="3"/>
    <x v="319"/>
    <x v="3"/>
  </r>
  <r>
    <x v="1884"/>
    <x v="64"/>
    <x v="1"/>
    <s v="No"/>
    <x v="1"/>
    <x v="319"/>
    <x v="3"/>
    <x v="319"/>
    <x v="3"/>
  </r>
  <r>
    <x v="1885"/>
    <x v="64"/>
    <x v="1"/>
    <s v="No"/>
    <x v="1"/>
    <x v="319"/>
    <x v="3"/>
    <x v="319"/>
    <x v="3"/>
  </r>
  <r>
    <x v="1886"/>
    <x v="64"/>
    <x v="1"/>
    <s v="No"/>
    <x v="1"/>
    <x v="319"/>
    <x v="3"/>
    <x v="319"/>
    <x v="3"/>
  </r>
  <r>
    <x v="1887"/>
    <x v="64"/>
    <x v="1"/>
    <s v="No"/>
    <x v="1"/>
    <x v="319"/>
    <x v="3"/>
    <x v="319"/>
    <x v="3"/>
  </r>
  <r>
    <x v="1888"/>
    <x v="64"/>
    <x v="1"/>
    <s v="No"/>
    <x v="1"/>
    <x v="319"/>
    <x v="3"/>
    <x v="319"/>
    <x v="3"/>
  </r>
  <r>
    <x v="1889"/>
    <x v="64"/>
    <x v="1"/>
    <s v="No"/>
    <x v="1"/>
    <x v="319"/>
    <x v="3"/>
    <x v="319"/>
    <x v="3"/>
  </r>
  <r>
    <x v="1890"/>
    <x v="64"/>
    <x v="1"/>
    <s v="No"/>
    <x v="1"/>
    <x v="319"/>
    <x v="3"/>
    <x v="319"/>
    <x v="3"/>
  </r>
  <r>
    <x v="1891"/>
    <x v="64"/>
    <x v="1"/>
    <s v="No"/>
    <x v="1"/>
    <x v="319"/>
    <x v="3"/>
    <x v="319"/>
    <x v="3"/>
  </r>
  <r>
    <x v="1892"/>
    <x v="64"/>
    <x v="1"/>
    <s v="No"/>
    <x v="1"/>
    <x v="319"/>
    <x v="3"/>
    <x v="319"/>
    <x v="3"/>
  </r>
  <r>
    <x v="1893"/>
    <x v="64"/>
    <x v="1"/>
    <s v="No"/>
    <x v="1"/>
    <x v="319"/>
    <x v="3"/>
    <x v="319"/>
    <x v="3"/>
  </r>
  <r>
    <x v="1894"/>
    <x v="64"/>
    <x v="1"/>
    <s v="No"/>
    <x v="1"/>
    <x v="319"/>
    <x v="3"/>
    <x v="319"/>
    <x v="3"/>
  </r>
  <r>
    <x v="1895"/>
    <x v="64"/>
    <x v="1"/>
    <s v="No"/>
    <x v="1"/>
    <x v="319"/>
    <x v="3"/>
    <x v="319"/>
    <x v="3"/>
  </r>
  <r>
    <x v="1896"/>
    <x v="64"/>
    <x v="1"/>
    <s v="No"/>
    <x v="1"/>
    <x v="319"/>
    <x v="3"/>
    <x v="319"/>
    <x v="3"/>
  </r>
  <r>
    <x v="1897"/>
    <x v="64"/>
    <x v="1"/>
    <s v="No"/>
    <x v="1"/>
    <x v="319"/>
    <x v="3"/>
    <x v="319"/>
    <x v="3"/>
  </r>
  <r>
    <x v="1898"/>
    <x v="64"/>
    <x v="1"/>
    <s v="No"/>
    <x v="1"/>
    <x v="319"/>
    <x v="3"/>
    <x v="319"/>
    <x v="3"/>
  </r>
  <r>
    <x v="1899"/>
    <x v="64"/>
    <x v="1"/>
    <s v="No"/>
    <x v="1"/>
    <x v="319"/>
    <x v="3"/>
    <x v="319"/>
    <x v="3"/>
  </r>
  <r>
    <x v="1900"/>
    <x v="64"/>
    <x v="1"/>
    <s v="No"/>
    <x v="1"/>
    <x v="319"/>
    <x v="3"/>
    <x v="319"/>
    <x v="3"/>
  </r>
  <r>
    <x v="1901"/>
    <x v="64"/>
    <x v="1"/>
    <s v="No"/>
    <x v="1"/>
    <x v="319"/>
    <x v="3"/>
    <x v="319"/>
    <x v="3"/>
  </r>
  <r>
    <x v="1902"/>
    <x v="64"/>
    <x v="1"/>
    <s v="No"/>
    <x v="1"/>
    <x v="319"/>
    <x v="3"/>
    <x v="319"/>
    <x v="3"/>
  </r>
  <r>
    <x v="1903"/>
    <x v="64"/>
    <x v="1"/>
    <s v="No"/>
    <x v="1"/>
    <x v="319"/>
    <x v="3"/>
    <x v="319"/>
    <x v="3"/>
  </r>
  <r>
    <x v="1904"/>
    <x v="64"/>
    <x v="1"/>
    <s v="No"/>
    <x v="1"/>
    <x v="319"/>
    <x v="3"/>
    <x v="319"/>
    <x v="3"/>
  </r>
  <r>
    <x v="1905"/>
    <x v="64"/>
    <x v="1"/>
    <s v="No"/>
    <x v="1"/>
    <x v="319"/>
    <x v="3"/>
    <x v="319"/>
    <x v="3"/>
  </r>
  <r>
    <x v="1906"/>
    <x v="64"/>
    <x v="1"/>
    <s v="No"/>
    <x v="1"/>
    <x v="319"/>
    <x v="3"/>
    <x v="319"/>
    <x v="3"/>
  </r>
  <r>
    <x v="1907"/>
    <x v="64"/>
    <x v="1"/>
    <s v="No"/>
    <x v="1"/>
    <x v="319"/>
    <x v="3"/>
    <x v="319"/>
    <x v="3"/>
  </r>
  <r>
    <x v="1908"/>
    <x v="64"/>
    <x v="1"/>
    <s v="No"/>
    <x v="1"/>
    <x v="319"/>
    <x v="3"/>
    <x v="319"/>
    <x v="3"/>
  </r>
  <r>
    <x v="1909"/>
    <x v="64"/>
    <x v="1"/>
    <s v="No"/>
    <x v="1"/>
    <x v="319"/>
    <x v="3"/>
    <x v="319"/>
    <x v="3"/>
  </r>
  <r>
    <x v="1910"/>
    <x v="64"/>
    <x v="1"/>
    <s v="No"/>
    <x v="1"/>
    <x v="319"/>
    <x v="3"/>
    <x v="319"/>
    <x v="3"/>
  </r>
  <r>
    <x v="1911"/>
    <x v="64"/>
    <x v="1"/>
    <s v="No"/>
    <x v="1"/>
    <x v="319"/>
    <x v="3"/>
    <x v="319"/>
    <x v="3"/>
  </r>
  <r>
    <x v="1912"/>
    <x v="64"/>
    <x v="1"/>
    <s v="No"/>
    <x v="1"/>
    <x v="319"/>
    <x v="3"/>
    <x v="319"/>
    <x v="3"/>
  </r>
  <r>
    <x v="1913"/>
    <x v="64"/>
    <x v="1"/>
    <s v="No"/>
    <x v="1"/>
    <x v="319"/>
    <x v="3"/>
    <x v="319"/>
    <x v="3"/>
  </r>
  <r>
    <x v="1914"/>
    <x v="64"/>
    <x v="1"/>
    <s v="No"/>
    <x v="1"/>
    <x v="319"/>
    <x v="3"/>
    <x v="319"/>
    <x v="3"/>
  </r>
  <r>
    <x v="1915"/>
    <x v="64"/>
    <x v="1"/>
    <s v="No"/>
    <x v="1"/>
    <x v="319"/>
    <x v="3"/>
    <x v="319"/>
    <x v="3"/>
  </r>
  <r>
    <x v="1916"/>
    <x v="64"/>
    <x v="1"/>
    <s v="No"/>
    <x v="1"/>
    <x v="319"/>
    <x v="3"/>
    <x v="319"/>
    <x v="3"/>
  </r>
  <r>
    <x v="1917"/>
    <x v="64"/>
    <x v="1"/>
    <s v="No"/>
    <x v="1"/>
    <x v="319"/>
    <x v="3"/>
    <x v="319"/>
    <x v="3"/>
  </r>
  <r>
    <x v="1918"/>
    <x v="64"/>
    <x v="1"/>
    <s v="No"/>
    <x v="1"/>
    <x v="319"/>
    <x v="3"/>
    <x v="319"/>
    <x v="3"/>
  </r>
  <r>
    <x v="1919"/>
    <x v="64"/>
    <x v="1"/>
    <s v="No"/>
    <x v="1"/>
    <x v="319"/>
    <x v="3"/>
    <x v="319"/>
    <x v="3"/>
  </r>
  <r>
    <x v="1920"/>
    <x v="64"/>
    <x v="1"/>
    <s v="No"/>
    <x v="1"/>
    <x v="319"/>
    <x v="3"/>
    <x v="319"/>
    <x v="3"/>
  </r>
  <r>
    <x v="1921"/>
    <x v="64"/>
    <x v="1"/>
    <s v="No"/>
    <x v="1"/>
    <x v="319"/>
    <x v="3"/>
    <x v="319"/>
    <x v="3"/>
  </r>
  <r>
    <x v="1922"/>
    <x v="64"/>
    <x v="1"/>
    <s v="No"/>
    <x v="1"/>
    <x v="319"/>
    <x v="3"/>
    <x v="319"/>
    <x v="3"/>
  </r>
  <r>
    <x v="1923"/>
    <x v="64"/>
    <x v="1"/>
    <s v="No"/>
    <x v="1"/>
    <x v="319"/>
    <x v="3"/>
    <x v="319"/>
    <x v="3"/>
  </r>
  <r>
    <x v="1924"/>
    <x v="64"/>
    <x v="1"/>
    <s v="No"/>
    <x v="1"/>
    <x v="319"/>
    <x v="3"/>
    <x v="319"/>
    <x v="3"/>
  </r>
  <r>
    <x v="1925"/>
    <x v="64"/>
    <x v="1"/>
    <s v="No"/>
    <x v="1"/>
    <x v="319"/>
    <x v="3"/>
    <x v="319"/>
    <x v="3"/>
  </r>
  <r>
    <x v="1926"/>
    <x v="64"/>
    <x v="1"/>
    <s v="No"/>
    <x v="1"/>
    <x v="319"/>
    <x v="3"/>
    <x v="319"/>
    <x v="3"/>
  </r>
  <r>
    <x v="1927"/>
    <x v="64"/>
    <x v="1"/>
    <s v="No"/>
    <x v="1"/>
    <x v="319"/>
    <x v="3"/>
    <x v="319"/>
    <x v="3"/>
  </r>
  <r>
    <x v="1928"/>
    <x v="64"/>
    <x v="1"/>
    <s v="No"/>
    <x v="1"/>
    <x v="319"/>
    <x v="3"/>
    <x v="319"/>
    <x v="3"/>
  </r>
  <r>
    <x v="1929"/>
    <x v="64"/>
    <x v="1"/>
    <s v="No"/>
    <x v="1"/>
    <x v="319"/>
    <x v="3"/>
    <x v="319"/>
    <x v="3"/>
  </r>
  <r>
    <x v="1930"/>
    <x v="64"/>
    <x v="1"/>
    <s v="No"/>
    <x v="1"/>
    <x v="319"/>
    <x v="3"/>
    <x v="319"/>
    <x v="3"/>
  </r>
  <r>
    <x v="1931"/>
    <x v="64"/>
    <x v="1"/>
    <s v="No"/>
    <x v="1"/>
    <x v="319"/>
    <x v="3"/>
    <x v="319"/>
    <x v="3"/>
  </r>
  <r>
    <x v="1932"/>
    <x v="64"/>
    <x v="1"/>
    <s v="No"/>
    <x v="1"/>
    <x v="319"/>
    <x v="3"/>
    <x v="319"/>
    <x v="3"/>
  </r>
  <r>
    <x v="1933"/>
    <x v="64"/>
    <x v="1"/>
    <s v="No"/>
    <x v="1"/>
    <x v="319"/>
    <x v="3"/>
    <x v="319"/>
    <x v="3"/>
  </r>
  <r>
    <x v="1934"/>
    <x v="64"/>
    <x v="1"/>
    <s v="No"/>
    <x v="1"/>
    <x v="319"/>
    <x v="3"/>
    <x v="319"/>
    <x v="3"/>
  </r>
  <r>
    <x v="1935"/>
    <x v="64"/>
    <x v="1"/>
    <s v="No"/>
    <x v="1"/>
    <x v="319"/>
    <x v="3"/>
    <x v="319"/>
    <x v="3"/>
  </r>
  <r>
    <x v="1936"/>
    <x v="64"/>
    <x v="1"/>
    <s v="No"/>
    <x v="1"/>
    <x v="319"/>
    <x v="3"/>
    <x v="319"/>
    <x v="3"/>
  </r>
  <r>
    <x v="1937"/>
    <x v="64"/>
    <x v="1"/>
    <s v="No"/>
    <x v="1"/>
    <x v="319"/>
    <x v="3"/>
    <x v="319"/>
    <x v="3"/>
  </r>
  <r>
    <x v="1938"/>
    <x v="64"/>
    <x v="1"/>
    <s v="No"/>
    <x v="1"/>
    <x v="319"/>
    <x v="3"/>
    <x v="319"/>
    <x v="3"/>
  </r>
  <r>
    <x v="1939"/>
    <x v="64"/>
    <x v="1"/>
    <s v="No"/>
    <x v="1"/>
    <x v="319"/>
    <x v="3"/>
    <x v="319"/>
    <x v="3"/>
  </r>
  <r>
    <x v="1940"/>
    <x v="64"/>
    <x v="1"/>
    <s v="No"/>
    <x v="1"/>
    <x v="319"/>
    <x v="3"/>
    <x v="319"/>
    <x v="3"/>
  </r>
  <r>
    <x v="1941"/>
    <x v="64"/>
    <x v="1"/>
    <s v="No"/>
    <x v="1"/>
    <x v="319"/>
    <x v="3"/>
    <x v="319"/>
    <x v="3"/>
  </r>
  <r>
    <x v="1942"/>
    <x v="64"/>
    <x v="1"/>
    <s v="No"/>
    <x v="1"/>
    <x v="319"/>
    <x v="3"/>
    <x v="319"/>
    <x v="3"/>
  </r>
  <r>
    <x v="1943"/>
    <x v="64"/>
    <x v="1"/>
    <s v="No"/>
    <x v="1"/>
    <x v="319"/>
    <x v="3"/>
    <x v="319"/>
    <x v="3"/>
  </r>
  <r>
    <x v="1944"/>
    <x v="64"/>
    <x v="1"/>
    <s v="No"/>
    <x v="1"/>
    <x v="319"/>
    <x v="3"/>
    <x v="319"/>
    <x v="3"/>
  </r>
  <r>
    <x v="1945"/>
    <x v="64"/>
    <x v="1"/>
    <s v="No"/>
    <x v="1"/>
    <x v="319"/>
    <x v="3"/>
    <x v="319"/>
    <x v="3"/>
  </r>
  <r>
    <x v="1946"/>
    <x v="64"/>
    <x v="1"/>
    <s v="No"/>
    <x v="1"/>
    <x v="319"/>
    <x v="3"/>
    <x v="319"/>
    <x v="3"/>
  </r>
  <r>
    <x v="1947"/>
    <x v="64"/>
    <x v="1"/>
    <s v="No"/>
    <x v="1"/>
    <x v="319"/>
    <x v="3"/>
    <x v="319"/>
    <x v="3"/>
  </r>
  <r>
    <x v="1948"/>
    <x v="64"/>
    <x v="1"/>
    <s v="No"/>
    <x v="1"/>
    <x v="319"/>
    <x v="3"/>
    <x v="319"/>
    <x v="3"/>
  </r>
  <r>
    <x v="1949"/>
    <x v="64"/>
    <x v="1"/>
    <s v="No"/>
    <x v="1"/>
    <x v="319"/>
    <x v="3"/>
    <x v="319"/>
    <x v="3"/>
  </r>
  <r>
    <x v="1950"/>
    <x v="64"/>
    <x v="1"/>
    <s v="No"/>
    <x v="1"/>
    <x v="319"/>
    <x v="3"/>
    <x v="319"/>
    <x v="3"/>
  </r>
  <r>
    <x v="1951"/>
    <x v="64"/>
    <x v="1"/>
    <s v="No"/>
    <x v="1"/>
    <x v="319"/>
    <x v="3"/>
    <x v="319"/>
    <x v="3"/>
  </r>
  <r>
    <x v="1952"/>
    <x v="64"/>
    <x v="1"/>
    <s v="No"/>
    <x v="1"/>
    <x v="319"/>
    <x v="3"/>
    <x v="319"/>
    <x v="3"/>
  </r>
  <r>
    <x v="1953"/>
    <x v="64"/>
    <x v="1"/>
    <s v="No"/>
    <x v="1"/>
    <x v="319"/>
    <x v="3"/>
    <x v="319"/>
    <x v="3"/>
  </r>
  <r>
    <x v="1954"/>
    <x v="64"/>
    <x v="1"/>
    <s v="No"/>
    <x v="1"/>
    <x v="319"/>
    <x v="3"/>
    <x v="319"/>
    <x v="3"/>
  </r>
  <r>
    <x v="1955"/>
    <x v="64"/>
    <x v="1"/>
    <s v="No"/>
    <x v="1"/>
    <x v="319"/>
    <x v="3"/>
    <x v="319"/>
    <x v="3"/>
  </r>
  <r>
    <x v="1956"/>
    <x v="64"/>
    <x v="1"/>
    <s v="No"/>
    <x v="1"/>
    <x v="319"/>
    <x v="3"/>
    <x v="319"/>
    <x v="3"/>
  </r>
  <r>
    <x v="1957"/>
    <x v="64"/>
    <x v="1"/>
    <s v="No"/>
    <x v="1"/>
    <x v="319"/>
    <x v="3"/>
    <x v="319"/>
    <x v="3"/>
  </r>
  <r>
    <x v="1958"/>
    <x v="64"/>
    <x v="1"/>
    <s v="No"/>
    <x v="1"/>
    <x v="319"/>
    <x v="3"/>
    <x v="319"/>
    <x v="3"/>
  </r>
  <r>
    <x v="1959"/>
    <x v="64"/>
    <x v="1"/>
    <s v="No"/>
    <x v="1"/>
    <x v="319"/>
    <x v="3"/>
    <x v="319"/>
    <x v="3"/>
  </r>
  <r>
    <x v="1960"/>
    <x v="64"/>
    <x v="1"/>
    <s v="No"/>
    <x v="1"/>
    <x v="319"/>
    <x v="3"/>
    <x v="319"/>
    <x v="3"/>
  </r>
  <r>
    <x v="1961"/>
    <x v="64"/>
    <x v="1"/>
    <s v="No"/>
    <x v="1"/>
    <x v="319"/>
    <x v="3"/>
    <x v="319"/>
    <x v="3"/>
  </r>
  <r>
    <x v="1962"/>
    <x v="64"/>
    <x v="1"/>
    <s v="No"/>
    <x v="1"/>
    <x v="319"/>
    <x v="3"/>
    <x v="319"/>
    <x v="3"/>
  </r>
  <r>
    <x v="1963"/>
    <x v="64"/>
    <x v="1"/>
    <s v="No"/>
    <x v="1"/>
    <x v="319"/>
    <x v="3"/>
    <x v="319"/>
    <x v="3"/>
  </r>
  <r>
    <x v="1964"/>
    <x v="64"/>
    <x v="1"/>
    <s v="No"/>
    <x v="1"/>
    <x v="319"/>
    <x v="3"/>
    <x v="319"/>
    <x v="3"/>
  </r>
  <r>
    <x v="1965"/>
    <x v="64"/>
    <x v="1"/>
    <s v="No"/>
    <x v="1"/>
    <x v="319"/>
    <x v="3"/>
    <x v="319"/>
    <x v="3"/>
  </r>
  <r>
    <x v="1966"/>
    <x v="64"/>
    <x v="1"/>
    <s v="No"/>
    <x v="1"/>
    <x v="319"/>
    <x v="3"/>
    <x v="319"/>
    <x v="3"/>
  </r>
  <r>
    <x v="1967"/>
    <x v="64"/>
    <x v="1"/>
    <s v="No"/>
    <x v="1"/>
    <x v="319"/>
    <x v="3"/>
    <x v="319"/>
    <x v="3"/>
  </r>
  <r>
    <x v="1968"/>
    <x v="64"/>
    <x v="1"/>
    <s v="No"/>
    <x v="1"/>
    <x v="319"/>
    <x v="3"/>
    <x v="319"/>
    <x v="3"/>
  </r>
  <r>
    <x v="1969"/>
    <x v="64"/>
    <x v="1"/>
    <s v="No"/>
    <x v="1"/>
    <x v="319"/>
    <x v="3"/>
    <x v="319"/>
    <x v="3"/>
  </r>
  <r>
    <x v="1970"/>
    <x v="64"/>
    <x v="1"/>
    <s v="No"/>
    <x v="1"/>
    <x v="319"/>
    <x v="3"/>
    <x v="319"/>
    <x v="3"/>
  </r>
  <r>
    <x v="1971"/>
    <x v="64"/>
    <x v="1"/>
    <s v="No"/>
    <x v="1"/>
    <x v="319"/>
    <x v="3"/>
    <x v="319"/>
    <x v="3"/>
  </r>
  <r>
    <x v="1972"/>
    <x v="64"/>
    <x v="1"/>
    <s v="No"/>
    <x v="1"/>
    <x v="319"/>
    <x v="3"/>
    <x v="319"/>
    <x v="3"/>
  </r>
  <r>
    <x v="1973"/>
    <x v="64"/>
    <x v="1"/>
    <s v="No"/>
    <x v="1"/>
    <x v="319"/>
    <x v="3"/>
    <x v="319"/>
    <x v="3"/>
  </r>
  <r>
    <x v="1974"/>
    <x v="64"/>
    <x v="1"/>
    <s v="No"/>
    <x v="1"/>
    <x v="319"/>
    <x v="3"/>
    <x v="319"/>
    <x v="3"/>
  </r>
  <r>
    <x v="1975"/>
    <x v="64"/>
    <x v="1"/>
    <s v="No"/>
    <x v="1"/>
    <x v="319"/>
    <x v="3"/>
    <x v="319"/>
    <x v="3"/>
  </r>
  <r>
    <x v="1976"/>
    <x v="64"/>
    <x v="1"/>
    <s v="No"/>
    <x v="1"/>
    <x v="319"/>
    <x v="3"/>
    <x v="319"/>
    <x v="3"/>
  </r>
  <r>
    <x v="1977"/>
    <x v="64"/>
    <x v="1"/>
    <s v="No"/>
    <x v="1"/>
    <x v="319"/>
    <x v="3"/>
    <x v="319"/>
    <x v="3"/>
  </r>
  <r>
    <x v="1978"/>
    <x v="64"/>
    <x v="1"/>
    <s v="No"/>
    <x v="1"/>
    <x v="319"/>
    <x v="3"/>
    <x v="319"/>
    <x v="3"/>
  </r>
  <r>
    <x v="1979"/>
    <x v="64"/>
    <x v="1"/>
    <s v="No"/>
    <x v="1"/>
    <x v="319"/>
    <x v="3"/>
    <x v="319"/>
    <x v="3"/>
  </r>
  <r>
    <x v="1980"/>
    <x v="64"/>
    <x v="1"/>
    <s v="No"/>
    <x v="1"/>
    <x v="319"/>
    <x v="3"/>
    <x v="319"/>
    <x v="3"/>
  </r>
  <r>
    <x v="1981"/>
    <x v="64"/>
    <x v="1"/>
    <s v="No"/>
    <x v="1"/>
    <x v="319"/>
    <x v="3"/>
    <x v="319"/>
    <x v="3"/>
  </r>
  <r>
    <x v="1982"/>
    <x v="64"/>
    <x v="1"/>
    <s v="No"/>
    <x v="1"/>
    <x v="319"/>
    <x v="3"/>
    <x v="319"/>
    <x v="3"/>
  </r>
  <r>
    <x v="1983"/>
    <x v="64"/>
    <x v="1"/>
    <s v="No"/>
    <x v="1"/>
    <x v="319"/>
    <x v="3"/>
    <x v="319"/>
    <x v="3"/>
  </r>
  <r>
    <x v="1984"/>
    <x v="64"/>
    <x v="1"/>
    <s v="No"/>
    <x v="1"/>
    <x v="319"/>
    <x v="3"/>
    <x v="319"/>
    <x v="3"/>
  </r>
  <r>
    <x v="1985"/>
    <x v="64"/>
    <x v="1"/>
    <s v="No"/>
    <x v="1"/>
    <x v="319"/>
    <x v="3"/>
    <x v="319"/>
    <x v="3"/>
  </r>
  <r>
    <x v="1986"/>
    <x v="64"/>
    <x v="1"/>
    <s v="No"/>
    <x v="1"/>
    <x v="319"/>
    <x v="3"/>
    <x v="319"/>
    <x v="3"/>
  </r>
  <r>
    <x v="1987"/>
    <x v="64"/>
    <x v="1"/>
    <s v="No"/>
    <x v="1"/>
    <x v="319"/>
    <x v="3"/>
    <x v="319"/>
    <x v="3"/>
  </r>
  <r>
    <x v="1988"/>
    <x v="64"/>
    <x v="1"/>
    <s v="No"/>
    <x v="1"/>
    <x v="319"/>
    <x v="3"/>
    <x v="319"/>
    <x v="3"/>
  </r>
  <r>
    <x v="1989"/>
    <x v="64"/>
    <x v="1"/>
    <s v="No"/>
    <x v="1"/>
    <x v="319"/>
    <x v="3"/>
    <x v="319"/>
    <x v="3"/>
  </r>
  <r>
    <x v="1990"/>
    <x v="64"/>
    <x v="1"/>
    <s v="No"/>
    <x v="1"/>
    <x v="319"/>
    <x v="3"/>
    <x v="319"/>
    <x v="3"/>
  </r>
  <r>
    <x v="1991"/>
    <x v="64"/>
    <x v="1"/>
    <s v="No"/>
    <x v="1"/>
    <x v="319"/>
    <x v="3"/>
    <x v="319"/>
    <x v="3"/>
  </r>
  <r>
    <x v="1992"/>
    <x v="64"/>
    <x v="1"/>
    <s v="No"/>
    <x v="1"/>
    <x v="319"/>
    <x v="3"/>
    <x v="319"/>
    <x v="3"/>
  </r>
  <r>
    <x v="1993"/>
    <x v="64"/>
    <x v="1"/>
    <s v="No"/>
    <x v="1"/>
    <x v="319"/>
    <x v="3"/>
    <x v="319"/>
    <x v="3"/>
  </r>
  <r>
    <x v="1994"/>
    <x v="64"/>
    <x v="1"/>
    <s v="No"/>
    <x v="1"/>
    <x v="319"/>
    <x v="3"/>
    <x v="319"/>
    <x v="3"/>
  </r>
  <r>
    <x v="1995"/>
    <x v="64"/>
    <x v="1"/>
    <s v="No"/>
    <x v="1"/>
    <x v="319"/>
    <x v="3"/>
    <x v="319"/>
    <x v="3"/>
  </r>
  <r>
    <x v="1996"/>
    <x v="64"/>
    <x v="1"/>
    <s v="No"/>
    <x v="1"/>
    <x v="319"/>
    <x v="3"/>
    <x v="319"/>
    <x v="3"/>
  </r>
  <r>
    <x v="1997"/>
    <x v="64"/>
    <x v="1"/>
    <s v="No"/>
    <x v="1"/>
    <x v="319"/>
    <x v="3"/>
    <x v="319"/>
    <x v="3"/>
  </r>
  <r>
    <x v="1998"/>
    <x v="64"/>
    <x v="1"/>
    <s v="No"/>
    <x v="1"/>
    <x v="319"/>
    <x v="3"/>
    <x v="319"/>
    <x v="3"/>
  </r>
  <r>
    <x v="1999"/>
    <x v="64"/>
    <x v="1"/>
    <s v="No"/>
    <x v="1"/>
    <x v="319"/>
    <x v="3"/>
    <x v="319"/>
    <x v="3"/>
  </r>
  <r>
    <x v="2000"/>
    <x v="64"/>
    <x v="1"/>
    <s v="No"/>
    <x v="1"/>
    <x v="319"/>
    <x v="3"/>
    <x v="319"/>
    <x v="3"/>
  </r>
  <r>
    <x v="2001"/>
    <x v="64"/>
    <x v="1"/>
    <s v="No"/>
    <x v="1"/>
    <x v="319"/>
    <x v="3"/>
    <x v="319"/>
    <x v="3"/>
  </r>
  <r>
    <x v="2002"/>
    <x v="64"/>
    <x v="1"/>
    <s v="No"/>
    <x v="1"/>
    <x v="319"/>
    <x v="3"/>
    <x v="319"/>
    <x v="3"/>
  </r>
  <r>
    <x v="2003"/>
    <x v="64"/>
    <x v="1"/>
    <s v="No"/>
    <x v="1"/>
    <x v="319"/>
    <x v="3"/>
    <x v="319"/>
    <x v="3"/>
  </r>
  <r>
    <x v="2004"/>
    <x v="64"/>
    <x v="1"/>
    <s v="No"/>
    <x v="1"/>
    <x v="319"/>
    <x v="3"/>
    <x v="319"/>
    <x v="3"/>
  </r>
  <r>
    <x v="2005"/>
    <x v="64"/>
    <x v="1"/>
    <s v="No"/>
    <x v="1"/>
    <x v="319"/>
    <x v="3"/>
    <x v="319"/>
    <x v="3"/>
  </r>
  <r>
    <x v="2006"/>
    <x v="64"/>
    <x v="1"/>
    <s v="No"/>
    <x v="1"/>
    <x v="319"/>
    <x v="3"/>
    <x v="319"/>
    <x v="3"/>
  </r>
  <r>
    <x v="2007"/>
    <x v="64"/>
    <x v="1"/>
    <s v="No"/>
    <x v="1"/>
    <x v="319"/>
    <x v="3"/>
    <x v="319"/>
    <x v="3"/>
  </r>
  <r>
    <x v="2008"/>
    <x v="64"/>
    <x v="1"/>
    <s v="No"/>
    <x v="1"/>
    <x v="319"/>
    <x v="3"/>
    <x v="319"/>
    <x v="3"/>
  </r>
  <r>
    <x v="2009"/>
    <x v="64"/>
    <x v="1"/>
    <s v="No"/>
    <x v="1"/>
    <x v="319"/>
    <x v="3"/>
    <x v="319"/>
    <x v="3"/>
  </r>
  <r>
    <x v="2010"/>
    <x v="64"/>
    <x v="1"/>
    <s v="No"/>
    <x v="1"/>
    <x v="319"/>
    <x v="3"/>
    <x v="319"/>
    <x v="3"/>
  </r>
  <r>
    <x v="2011"/>
    <x v="64"/>
    <x v="1"/>
    <s v="No"/>
    <x v="1"/>
    <x v="319"/>
    <x v="3"/>
    <x v="319"/>
    <x v="3"/>
  </r>
  <r>
    <x v="2012"/>
    <x v="64"/>
    <x v="1"/>
    <s v="No"/>
    <x v="1"/>
    <x v="319"/>
    <x v="3"/>
    <x v="319"/>
    <x v="3"/>
  </r>
  <r>
    <x v="2013"/>
    <x v="64"/>
    <x v="1"/>
    <s v="No"/>
    <x v="1"/>
    <x v="319"/>
    <x v="3"/>
    <x v="319"/>
    <x v="3"/>
  </r>
  <r>
    <x v="2014"/>
    <x v="64"/>
    <x v="1"/>
    <s v="No"/>
    <x v="1"/>
    <x v="319"/>
    <x v="3"/>
    <x v="319"/>
    <x v="3"/>
  </r>
  <r>
    <x v="2015"/>
    <x v="64"/>
    <x v="1"/>
    <s v="No"/>
    <x v="1"/>
    <x v="319"/>
    <x v="3"/>
    <x v="319"/>
    <x v="3"/>
  </r>
  <r>
    <x v="2016"/>
    <x v="64"/>
    <x v="1"/>
    <s v="No"/>
    <x v="1"/>
    <x v="319"/>
    <x v="3"/>
    <x v="319"/>
    <x v="3"/>
  </r>
  <r>
    <x v="2017"/>
    <x v="64"/>
    <x v="1"/>
    <s v="No"/>
    <x v="1"/>
    <x v="319"/>
    <x v="3"/>
    <x v="319"/>
    <x v="3"/>
  </r>
  <r>
    <x v="2018"/>
    <x v="64"/>
    <x v="1"/>
    <s v="No"/>
    <x v="1"/>
    <x v="319"/>
    <x v="3"/>
    <x v="319"/>
    <x v="3"/>
  </r>
  <r>
    <x v="2019"/>
    <x v="64"/>
    <x v="1"/>
    <s v="No"/>
    <x v="1"/>
    <x v="319"/>
    <x v="3"/>
    <x v="319"/>
    <x v="3"/>
  </r>
  <r>
    <x v="2020"/>
    <x v="64"/>
    <x v="1"/>
    <s v="No"/>
    <x v="1"/>
    <x v="319"/>
    <x v="3"/>
    <x v="319"/>
    <x v="3"/>
  </r>
  <r>
    <x v="2021"/>
    <x v="64"/>
    <x v="1"/>
    <s v="No"/>
    <x v="1"/>
    <x v="319"/>
    <x v="3"/>
    <x v="319"/>
    <x v="3"/>
  </r>
  <r>
    <x v="2022"/>
    <x v="64"/>
    <x v="1"/>
    <s v="No"/>
    <x v="1"/>
    <x v="319"/>
    <x v="3"/>
    <x v="319"/>
    <x v="3"/>
  </r>
  <r>
    <x v="2023"/>
    <x v="64"/>
    <x v="1"/>
    <s v="No"/>
    <x v="1"/>
    <x v="319"/>
    <x v="3"/>
    <x v="319"/>
    <x v="3"/>
  </r>
  <r>
    <x v="2024"/>
    <x v="64"/>
    <x v="1"/>
    <s v="No"/>
    <x v="1"/>
    <x v="319"/>
    <x v="3"/>
    <x v="319"/>
    <x v="3"/>
  </r>
  <r>
    <x v="2025"/>
    <x v="64"/>
    <x v="1"/>
    <s v="No"/>
    <x v="1"/>
    <x v="319"/>
    <x v="3"/>
    <x v="319"/>
    <x v="3"/>
  </r>
  <r>
    <x v="2026"/>
    <x v="64"/>
    <x v="1"/>
    <s v="No"/>
    <x v="1"/>
    <x v="319"/>
    <x v="3"/>
    <x v="319"/>
    <x v="3"/>
  </r>
  <r>
    <x v="2027"/>
    <x v="64"/>
    <x v="1"/>
    <s v="No"/>
    <x v="1"/>
    <x v="319"/>
    <x v="3"/>
    <x v="319"/>
    <x v="3"/>
  </r>
  <r>
    <x v="2028"/>
    <x v="64"/>
    <x v="1"/>
    <s v="No"/>
    <x v="1"/>
    <x v="319"/>
    <x v="3"/>
    <x v="319"/>
    <x v="3"/>
  </r>
  <r>
    <x v="2029"/>
    <x v="64"/>
    <x v="1"/>
    <s v="No"/>
    <x v="1"/>
    <x v="319"/>
    <x v="3"/>
    <x v="319"/>
    <x v="3"/>
  </r>
  <r>
    <x v="2030"/>
    <x v="64"/>
    <x v="1"/>
    <s v="No"/>
    <x v="1"/>
    <x v="319"/>
    <x v="3"/>
    <x v="319"/>
    <x v="3"/>
  </r>
  <r>
    <x v="2031"/>
    <x v="64"/>
    <x v="1"/>
    <s v="No"/>
    <x v="1"/>
    <x v="319"/>
    <x v="3"/>
    <x v="319"/>
    <x v="3"/>
  </r>
  <r>
    <x v="2032"/>
    <x v="64"/>
    <x v="1"/>
    <s v="No"/>
    <x v="1"/>
    <x v="319"/>
    <x v="3"/>
    <x v="319"/>
    <x v="3"/>
  </r>
  <r>
    <x v="2033"/>
    <x v="64"/>
    <x v="1"/>
    <s v="No"/>
    <x v="1"/>
    <x v="319"/>
    <x v="3"/>
    <x v="319"/>
    <x v="3"/>
  </r>
  <r>
    <x v="2034"/>
    <x v="64"/>
    <x v="1"/>
    <s v="No"/>
    <x v="1"/>
    <x v="319"/>
    <x v="3"/>
    <x v="319"/>
    <x v="3"/>
  </r>
  <r>
    <x v="2035"/>
    <x v="64"/>
    <x v="1"/>
    <s v="No"/>
    <x v="1"/>
    <x v="319"/>
    <x v="3"/>
    <x v="319"/>
    <x v="3"/>
  </r>
  <r>
    <x v="2036"/>
    <x v="64"/>
    <x v="1"/>
    <s v="No"/>
    <x v="1"/>
    <x v="319"/>
    <x v="3"/>
    <x v="319"/>
    <x v="3"/>
  </r>
  <r>
    <x v="2037"/>
    <x v="64"/>
    <x v="1"/>
    <s v="No"/>
    <x v="1"/>
    <x v="319"/>
    <x v="3"/>
    <x v="319"/>
    <x v="3"/>
  </r>
  <r>
    <x v="2038"/>
    <x v="64"/>
    <x v="1"/>
    <s v="No"/>
    <x v="1"/>
    <x v="319"/>
    <x v="3"/>
    <x v="319"/>
    <x v="3"/>
  </r>
  <r>
    <x v="2039"/>
    <x v="64"/>
    <x v="1"/>
    <s v="No"/>
    <x v="1"/>
    <x v="319"/>
    <x v="3"/>
    <x v="319"/>
    <x v="3"/>
  </r>
  <r>
    <x v="2040"/>
    <x v="64"/>
    <x v="1"/>
    <s v="No"/>
    <x v="1"/>
    <x v="319"/>
    <x v="3"/>
    <x v="319"/>
    <x v="3"/>
  </r>
  <r>
    <x v="2041"/>
    <x v="64"/>
    <x v="1"/>
    <s v="No"/>
    <x v="1"/>
    <x v="319"/>
    <x v="3"/>
    <x v="319"/>
    <x v="3"/>
  </r>
  <r>
    <x v="2042"/>
    <x v="64"/>
    <x v="1"/>
    <s v="No"/>
    <x v="1"/>
    <x v="319"/>
    <x v="3"/>
    <x v="319"/>
    <x v="3"/>
  </r>
  <r>
    <x v="2043"/>
    <x v="64"/>
    <x v="1"/>
    <s v="No"/>
    <x v="1"/>
    <x v="319"/>
    <x v="3"/>
    <x v="319"/>
    <x v="3"/>
  </r>
  <r>
    <x v="2044"/>
    <x v="64"/>
    <x v="1"/>
    <s v="No"/>
    <x v="1"/>
    <x v="319"/>
    <x v="3"/>
    <x v="319"/>
    <x v="3"/>
  </r>
  <r>
    <x v="2045"/>
    <x v="64"/>
    <x v="1"/>
    <s v="No"/>
    <x v="1"/>
    <x v="319"/>
    <x v="3"/>
    <x v="319"/>
    <x v="3"/>
  </r>
  <r>
    <x v="2046"/>
    <x v="64"/>
    <x v="1"/>
    <s v="No"/>
    <x v="1"/>
    <x v="319"/>
    <x v="3"/>
    <x v="319"/>
    <x v="3"/>
  </r>
  <r>
    <x v="2047"/>
    <x v="64"/>
    <x v="1"/>
    <s v="No"/>
    <x v="1"/>
    <x v="319"/>
    <x v="3"/>
    <x v="319"/>
    <x v="3"/>
  </r>
  <r>
    <x v="2048"/>
    <x v="64"/>
    <x v="1"/>
    <s v="No"/>
    <x v="1"/>
    <x v="319"/>
    <x v="3"/>
    <x v="319"/>
    <x v="3"/>
  </r>
  <r>
    <x v="2049"/>
    <x v="64"/>
    <x v="1"/>
    <s v="No"/>
    <x v="1"/>
    <x v="319"/>
    <x v="3"/>
    <x v="319"/>
    <x v="3"/>
  </r>
  <r>
    <x v="2050"/>
    <x v="64"/>
    <x v="1"/>
    <s v="No"/>
    <x v="1"/>
    <x v="319"/>
    <x v="3"/>
    <x v="319"/>
    <x v="3"/>
  </r>
  <r>
    <x v="2051"/>
    <x v="64"/>
    <x v="1"/>
    <s v="No"/>
    <x v="1"/>
    <x v="319"/>
    <x v="3"/>
    <x v="319"/>
    <x v="3"/>
  </r>
  <r>
    <x v="2052"/>
    <x v="64"/>
    <x v="1"/>
    <s v="No"/>
    <x v="1"/>
    <x v="319"/>
    <x v="3"/>
    <x v="319"/>
    <x v="3"/>
  </r>
  <r>
    <x v="2053"/>
    <x v="64"/>
    <x v="1"/>
    <s v="No"/>
    <x v="1"/>
    <x v="319"/>
    <x v="3"/>
    <x v="319"/>
    <x v="3"/>
  </r>
  <r>
    <x v="2054"/>
    <x v="64"/>
    <x v="1"/>
    <s v="No"/>
    <x v="1"/>
    <x v="319"/>
    <x v="3"/>
    <x v="319"/>
    <x v="3"/>
  </r>
  <r>
    <x v="2055"/>
    <x v="64"/>
    <x v="1"/>
    <s v="No"/>
    <x v="1"/>
    <x v="319"/>
    <x v="3"/>
    <x v="319"/>
    <x v="3"/>
  </r>
  <r>
    <x v="2056"/>
    <x v="64"/>
    <x v="1"/>
    <s v="No"/>
    <x v="1"/>
    <x v="319"/>
    <x v="3"/>
    <x v="319"/>
    <x v="3"/>
  </r>
  <r>
    <x v="2057"/>
    <x v="64"/>
    <x v="1"/>
    <s v="No"/>
    <x v="1"/>
    <x v="319"/>
    <x v="3"/>
    <x v="319"/>
    <x v="3"/>
  </r>
  <r>
    <x v="2058"/>
    <x v="64"/>
    <x v="1"/>
    <s v="No"/>
    <x v="1"/>
    <x v="319"/>
    <x v="3"/>
    <x v="319"/>
    <x v="3"/>
  </r>
  <r>
    <x v="2059"/>
    <x v="64"/>
    <x v="1"/>
    <s v="No"/>
    <x v="1"/>
    <x v="319"/>
    <x v="3"/>
    <x v="319"/>
    <x v="3"/>
  </r>
  <r>
    <x v="2060"/>
    <x v="64"/>
    <x v="1"/>
    <s v="No"/>
    <x v="1"/>
    <x v="319"/>
    <x v="3"/>
    <x v="319"/>
    <x v="3"/>
  </r>
  <r>
    <x v="2061"/>
    <x v="64"/>
    <x v="1"/>
    <s v="No"/>
    <x v="1"/>
    <x v="319"/>
    <x v="3"/>
    <x v="319"/>
    <x v="3"/>
  </r>
  <r>
    <x v="2062"/>
    <x v="64"/>
    <x v="1"/>
    <s v="No"/>
    <x v="1"/>
    <x v="319"/>
    <x v="3"/>
    <x v="319"/>
    <x v="3"/>
  </r>
  <r>
    <x v="2063"/>
    <x v="64"/>
    <x v="1"/>
    <s v="No"/>
    <x v="1"/>
    <x v="319"/>
    <x v="3"/>
    <x v="319"/>
    <x v="3"/>
  </r>
  <r>
    <x v="2064"/>
    <x v="64"/>
    <x v="1"/>
    <s v="No"/>
    <x v="1"/>
    <x v="319"/>
    <x v="3"/>
    <x v="319"/>
    <x v="3"/>
  </r>
  <r>
    <x v="2065"/>
    <x v="64"/>
    <x v="1"/>
    <s v="No"/>
    <x v="1"/>
    <x v="319"/>
    <x v="3"/>
    <x v="319"/>
    <x v="3"/>
  </r>
  <r>
    <x v="2066"/>
    <x v="64"/>
    <x v="1"/>
    <s v="No"/>
    <x v="1"/>
    <x v="319"/>
    <x v="3"/>
    <x v="319"/>
    <x v="3"/>
  </r>
  <r>
    <x v="2067"/>
    <x v="64"/>
    <x v="1"/>
    <s v="No"/>
    <x v="1"/>
    <x v="319"/>
    <x v="3"/>
    <x v="319"/>
    <x v="3"/>
  </r>
  <r>
    <x v="2068"/>
    <x v="64"/>
    <x v="1"/>
    <s v="No"/>
    <x v="1"/>
    <x v="319"/>
    <x v="3"/>
    <x v="319"/>
    <x v="3"/>
  </r>
  <r>
    <x v="2069"/>
    <x v="64"/>
    <x v="1"/>
    <s v="No"/>
    <x v="1"/>
    <x v="319"/>
    <x v="3"/>
    <x v="319"/>
    <x v="3"/>
  </r>
  <r>
    <x v="2070"/>
    <x v="64"/>
    <x v="1"/>
    <s v="No"/>
    <x v="1"/>
    <x v="319"/>
    <x v="3"/>
    <x v="319"/>
    <x v="3"/>
  </r>
  <r>
    <x v="2071"/>
    <x v="64"/>
    <x v="1"/>
    <s v="No"/>
    <x v="1"/>
    <x v="319"/>
    <x v="3"/>
    <x v="319"/>
    <x v="3"/>
  </r>
  <r>
    <x v="2072"/>
    <x v="64"/>
    <x v="1"/>
    <s v="No"/>
    <x v="1"/>
    <x v="319"/>
    <x v="3"/>
    <x v="319"/>
    <x v="3"/>
  </r>
  <r>
    <x v="2073"/>
    <x v="64"/>
    <x v="1"/>
    <s v="No"/>
    <x v="1"/>
    <x v="319"/>
    <x v="3"/>
    <x v="319"/>
    <x v="3"/>
  </r>
  <r>
    <x v="2074"/>
    <x v="64"/>
    <x v="1"/>
    <s v="No"/>
    <x v="1"/>
    <x v="319"/>
    <x v="3"/>
    <x v="319"/>
    <x v="3"/>
  </r>
  <r>
    <x v="2075"/>
    <x v="64"/>
    <x v="1"/>
    <s v="No"/>
    <x v="1"/>
    <x v="319"/>
    <x v="3"/>
    <x v="319"/>
    <x v="3"/>
  </r>
  <r>
    <x v="2076"/>
    <x v="64"/>
    <x v="1"/>
    <s v="No"/>
    <x v="1"/>
    <x v="319"/>
    <x v="3"/>
    <x v="319"/>
    <x v="3"/>
  </r>
  <r>
    <x v="2077"/>
    <x v="64"/>
    <x v="1"/>
    <s v="No"/>
    <x v="1"/>
    <x v="319"/>
    <x v="3"/>
    <x v="319"/>
    <x v="3"/>
  </r>
  <r>
    <x v="2078"/>
    <x v="64"/>
    <x v="1"/>
    <s v="No"/>
    <x v="1"/>
    <x v="319"/>
    <x v="3"/>
    <x v="319"/>
    <x v="3"/>
  </r>
  <r>
    <x v="2079"/>
    <x v="64"/>
    <x v="1"/>
    <s v="No"/>
    <x v="1"/>
    <x v="319"/>
    <x v="3"/>
    <x v="319"/>
    <x v="3"/>
  </r>
  <r>
    <x v="2080"/>
    <x v="64"/>
    <x v="1"/>
    <s v="No"/>
    <x v="1"/>
    <x v="319"/>
    <x v="3"/>
    <x v="319"/>
    <x v="3"/>
  </r>
  <r>
    <x v="2081"/>
    <x v="64"/>
    <x v="1"/>
    <s v="No"/>
    <x v="1"/>
    <x v="319"/>
    <x v="3"/>
    <x v="319"/>
    <x v="3"/>
  </r>
  <r>
    <x v="2082"/>
    <x v="64"/>
    <x v="1"/>
    <s v="No"/>
    <x v="1"/>
    <x v="319"/>
    <x v="3"/>
    <x v="319"/>
    <x v="3"/>
  </r>
  <r>
    <x v="2083"/>
    <x v="64"/>
    <x v="1"/>
    <s v="No"/>
    <x v="1"/>
    <x v="319"/>
    <x v="3"/>
    <x v="319"/>
    <x v="3"/>
  </r>
  <r>
    <x v="2084"/>
    <x v="64"/>
    <x v="1"/>
    <s v="No"/>
    <x v="1"/>
    <x v="319"/>
    <x v="3"/>
    <x v="319"/>
    <x v="3"/>
  </r>
  <r>
    <x v="2085"/>
    <x v="64"/>
    <x v="1"/>
    <s v="No"/>
    <x v="1"/>
    <x v="319"/>
    <x v="3"/>
    <x v="319"/>
    <x v="3"/>
  </r>
  <r>
    <x v="2086"/>
    <x v="64"/>
    <x v="1"/>
    <s v="No"/>
    <x v="1"/>
    <x v="319"/>
    <x v="3"/>
    <x v="319"/>
    <x v="3"/>
  </r>
  <r>
    <x v="2087"/>
    <x v="64"/>
    <x v="1"/>
    <s v="No"/>
    <x v="1"/>
    <x v="319"/>
    <x v="3"/>
    <x v="319"/>
    <x v="3"/>
  </r>
  <r>
    <x v="2088"/>
    <x v="64"/>
    <x v="1"/>
    <s v="No"/>
    <x v="1"/>
    <x v="319"/>
    <x v="3"/>
    <x v="319"/>
    <x v="3"/>
  </r>
  <r>
    <x v="2089"/>
    <x v="64"/>
    <x v="1"/>
    <s v="No"/>
    <x v="1"/>
    <x v="319"/>
    <x v="3"/>
    <x v="319"/>
    <x v="3"/>
  </r>
  <r>
    <x v="2090"/>
    <x v="64"/>
    <x v="1"/>
    <s v="No"/>
    <x v="1"/>
    <x v="319"/>
    <x v="3"/>
    <x v="319"/>
    <x v="3"/>
  </r>
  <r>
    <x v="2091"/>
    <x v="64"/>
    <x v="1"/>
    <s v="No"/>
    <x v="1"/>
    <x v="319"/>
    <x v="3"/>
    <x v="319"/>
    <x v="3"/>
  </r>
  <r>
    <x v="2092"/>
    <x v="64"/>
    <x v="1"/>
    <s v="No"/>
    <x v="1"/>
    <x v="319"/>
    <x v="3"/>
    <x v="319"/>
    <x v="3"/>
  </r>
  <r>
    <x v="2093"/>
    <x v="64"/>
    <x v="1"/>
    <s v="No"/>
    <x v="1"/>
    <x v="319"/>
    <x v="3"/>
    <x v="319"/>
    <x v="3"/>
  </r>
  <r>
    <x v="2094"/>
    <x v="64"/>
    <x v="1"/>
    <s v="No"/>
    <x v="1"/>
    <x v="319"/>
    <x v="3"/>
    <x v="319"/>
    <x v="3"/>
  </r>
  <r>
    <x v="2095"/>
    <x v="64"/>
    <x v="1"/>
    <s v="No"/>
    <x v="1"/>
    <x v="319"/>
    <x v="3"/>
    <x v="319"/>
    <x v="3"/>
  </r>
  <r>
    <x v="2096"/>
    <x v="64"/>
    <x v="1"/>
    <s v="No"/>
    <x v="1"/>
    <x v="319"/>
    <x v="3"/>
    <x v="319"/>
    <x v="3"/>
  </r>
  <r>
    <x v="2097"/>
    <x v="64"/>
    <x v="1"/>
    <s v="No"/>
    <x v="1"/>
    <x v="319"/>
    <x v="3"/>
    <x v="319"/>
    <x v="3"/>
  </r>
  <r>
    <x v="2098"/>
    <x v="64"/>
    <x v="1"/>
    <s v="No"/>
    <x v="1"/>
    <x v="319"/>
    <x v="3"/>
    <x v="319"/>
    <x v="3"/>
  </r>
  <r>
    <x v="2099"/>
    <x v="64"/>
    <x v="1"/>
    <s v="No"/>
    <x v="1"/>
    <x v="319"/>
    <x v="3"/>
    <x v="319"/>
    <x v="3"/>
  </r>
  <r>
    <x v="2100"/>
    <x v="64"/>
    <x v="1"/>
    <s v="No"/>
    <x v="1"/>
    <x v="319"/>
    <x v="3"/>
    <x v="319"/>
    <x v="3"/>
  </r>
  <r>
    <x v="2101"/>
    <x v="64"/>
    <x v="1"/>
    <s v="No"/>
    <x v="1"/>
    <x v="319"/>
    <x v="3"/>
    <x v="319"/>
    <x v="3"/>
  </r>
  <r>
    <x v="2102"/>
    <x v="64"/>
    <x v="1"/>
    <s v="No"/>
    <x v="1"/>
    <x v="319"/>
    <x v="3"/>
    <x v="319"/>
    <x v="3"/>
  </r>
  <r>
    <x v="2103"/>
    <x v="64"/>
    <x v="1"/>
    <s v="No"/>
    <x v="1"/>
    <x v="319"/>
    <x v="3"/>
    <x v="319"/>
    <x v="3"/>
  </r>
  <r>
    <x v="2104"/>
    <x v="64"/>
    <x v="1"/>
    <s v="No"/>
    <x v="1"/>
    <x v="319"/>
    <x v="3"/>
    <x v="319"/>
    <x v="3"/>
  </r>
  <r>
    <x v="2105"/>
    <x v="64"/>
    <x v="1"/>
    <s v="No"/>
    <x v="1"/>
    <x v="319"/>
    <x v="3"/>
    <x v="319"/>
    <x v="3"/>
  </r>
  <r>
    <x v="2106"/>
    <x v="64"/>
    <x v="1"/>
    <s v="No"/>
    <x v="1"/>
    <x v="319"/>
    <x v="3"/>
    <x v="319"/>
    <x v="3"/>
  </r>
  <r>
    <x v="2107"/>
    <x v="64"/>
    <x v="1"/>
    <s v="No"/>
    <x v="1"/>
    <x v="319"/>
    <x v="3"/>
    <x v="319"/>
    <x v="3"/>
  </r>
  <r>
    <x v="2108"/>
    <x v="64"/>
    <x v="1"/>
    <s v="No"/>
    <x v="1"/>
    <x v="319"/>
    <x v="3"/>
    <x v="319"/>
    <x v="3"/>
  </r>
  <r>
    <x v="2109"/>
    <x v="64"/>
    <x v="1"/>
    <s v="No"/>
    <x v="1"/>
    <x v="319"/>
    <x v="3"/>
    <x v="319"/>
    <x v="3"/>
  </r>
  <r>
    <x v="2110"/>
    <x v="64"/>
    <x v="1"/>
    <s v="No"/>
    <x v="1"/>
    <x v="319"/>
    <x v="3"/>
    <x v="319"/>
    <x v="3"/>
  </r>
  <r>
    <x v="2111"/>
    <x v="64"/>
    <x v="1"/>
    <s v="No"/>
    <x v="1"/>
    <x v="319"/>
    <x v="3"/>
    <x v="319"/>
    <x v="3"/>
  </r>
  <r>
    <x v="2112"/>
    <x v="64"/>
    <x v="1"/>
    <s v="No"/>
    <x v="1"/>
    <x v="319"/>
    <x v="3"/>
    <x v="319"/>
    <x v="3"/>
  </r>
  <r>
    <x v="2113"/>
    <x v="64"/>
    <x v="1"/>
    <s v="No"/>
    <x v="1"/>
    <x v="319"/>
    <x v="3"/>
    <x v="319"/>
    <x v="3"/>
  </r>
  <r>
    <x v="2114"/>
    <x v="64"/>
    <x v="1"/>
    <s v="No"/>
    <x v="1"/>
    <x v="319"/>
    <x v="3"/>
    <x v="319"/>
    <x v="3"/>
  </r>
  <r>
    <x v="2115"/>
    <x v="64"/>
    <x v="1"/>
    <s v="No"/>
    <x v="1"/>
    <x v="319"/>
    <x v="3"/>
    <x v="319"/>
    <x v="3"/>
  </r>
  <r>
    <x v="2116"/>
    <x v="64"/>
    <x v="1"/>
    <s v="No"/>
    <x v="1"/>
    <x v="319"/>
    <x v="3"/>
    <x v="319"/>
    <x v="3"/>
  </r>
  <r>
    <x v="2117"/>
    <x v="64"/>
    <x v="1"/>
    <s v="No"/>
    <x v="1"/>
    <x v="319"/>
    <x v="3"/>
    <x v="319"/>
    <x v="3"/>
  </r>
  <r>
    <x v="2118"/>
    <x v="64"/>
    <x v="1"/>
    <s v="No"/>
    <x v="1"/>
    <x v="319"/>
    <x v="3"/>
    <x v="319"/>
    <x v="3"/>
  </r>
  <r>
    <x v="2119"/>
    <x v="64"/>
    <x v="1"/>
    <s v="No"/>
    <x v="1"/>
    <x v="319"/>
    <x v="3"/>
    <x v="319"/>
    <x v="3"/>
  </r>
  <r>
    <x v="2120"/>
    <x v="64"/>
    <x v="1"/>
    <s v="No"/>
    <x v="1"/>
    <x v="319"/>
    <x v="3"/>
    <x v="319"/>
    <x v="3"/>
  </r>
  <r>
    <x v="2121"/>
    <x v="64"/>
    <x v="1"/>
    <s v="No"/>
    <x v="1"/>
    <x v="319"/>
    <x v="3"/>
    <x v="319"/>
    <x v="3"/>
  </r>
  <r>
    <x v="2122"/>
    <x v="64"/>
    <x v="1"/>
    <s v="No"/>
    <x v="1"/>
    <x v="319"/>
    <x v="3"/>
    <x v="319"/>
    <x v="3"/>
  </r>
  <r>
    <x v="2123"/>
    <x v="64"/>
    <x v="1"/>
    <s v="No"/>
    <x v="1"/>
    <x v="319"/>
    <x v="3"/>
    <x v="319"/>
    <x v="3"/>
  </r>
  <r>
    <x v="2124"/>
    <x v="64"/>
    <x v="1"/>
    <s v="No"/>
    <x v="1"/>
    <x v="319"/>
    <x v="3"/>
    <x v="319"/>
    <x v="3"/>
  </r>
  <r>
    <x v="2125"/>
    <x v="64"/>
    <x v="1"/>
    <s v="No"/>
    <x v="1"/>
    <x v="319"/>
    <x v="3"/>
    <x v="319"/>
    <x v="3"/>
  </r>
  <r>
    <x v="2126"/>
    <x v="64"/>
    <x v="1"/>
    <s v="No"/>
    <x v="1"/>
    <x v="319"/>
    <x v="3"/>
    <x v="319"/>
    <x v="3"/>
  </r>
  <r>
    <x v="2127"/>
    <x v="64"/>
    <x v="1"/>
    <s v="No"/>
    <x v="1"/>
    <x v="319"/>
    <x v="3"/>
    <x v="319"/>
    <x v="3"/>
  </r>
  <r>
    <x v="2128"/>
    <x v="64"/>
    <x v="1"/>
    <s v="No"/>
    <x v="1"/>
    <x v="319"/>
    <x v="3"/>
    <x v="319"/>
    <x v="3"/>
  </r>
  <r>
    <x v="2129"/>
    <x v="64"/>
    <x v="1"/>
    <s v="No"/>
    <x v="1"/>
    <x v="319"/>
    <x v="3"/>
    <x v="319"/>
    <x v="3"/>
  </r>
  <r>
    <x v="2130"/>
    <x v="64"/>
    <x v="1"/>
    <s v="No"/>
    <x v="1"/>
    <x v="319"/>
    <x v="3"/>
    <x v="319"/>
    <x v="3"/>
  </r>
  <r>
    <x v="2131"/>
    <x v="64"/>
    <x v="1"/>
    <s v="No"/>
    <x v="1"/>
    <x v="319"/>
    <x v="3"/>
    <x v="319"/>
    <x v="3"/>
  </r>
  <r>
    <x v="2132"/>
    <x v="64"/>
    <x v="1"/>
    <s v="No"/>
    <x v="1"/>
    <x v="319"/>
    <x v="3"/>
    <x v="319"/>
    <x v="3"/>
  </r>
  <r>
    <x v="2133"/>
    <x v="64"/>
    <x v="1"/>
    <s v="No"/>
    <x v="1"/>
    <x v="319"/>
    <x v="3"/>
    <x v="319"/>
    <x v="3"/>
  </r>
  <r>
    <x v="2134"/>
    <x v="64"/>
    <x v="1"/>
    <s v="No"/>
    <x v="1"/>
    <x v="319"/>
    <x v="3"/>
    <x v="319"/>
    <x v="3"/>
  </r>
  <r>
    <x v="2135"/>
    <x v="64"/>
    <x v="1"/>
    <s v="No"/>
    <x v="1"/>
    <x v="319"/>
    <x v="3"/>
    <x v="319"/>
    <x v="3"/>
  </r>
  <r>
    <x v="2136"/>
    <x v="64"/>
    <x v="1"/>
    <s v="No"/>
    <x v="1"/>
    <x v="319"/>
    <x v="3"/>
    <x v="319"/>
    <x v="3"/>
  </r>
  <r>
    <x v="2137"/>
    <x v="64"/>
    <x v="1"/>
    <s v="No"/>
    <x v="1"/>
    <x v="319"/>
    <x v="3"/>
    <x v="319"/>
    <x v="3"/>
  </r>
  <r>
    <x v="2138"/>
    <x v="64"/>
    <x v="1"/>
    <s v="No"/>
    <x v="1"/>
    <x v="319"/>
    <x v="3"/>
    <x v="319"/>
    <x v="3"/>
  </r>
  <r>
    <x v="2139"/>
    <x v="64"/>
    <x v="1"/>
    <s v="No"/>
    <x v="1"/>
    <x v="319"/>
    <x v="3"/>
    <x v="319"/>
    <x v="3"/>
  </r>
  <r>
    <x v="2140"/>
    <x v="64"/>
    <x v="1"/>
    <s v="No"/>
    <x v="1"/>
    <x v="319"/>
    <x v="3"/>
    <x v="319"/>
    <x v="3"/>
  </r>
  <r>
    <x v="2141"/>
    <x v="64"/>
    <x v="1"/>
    <s v="No"/>
    <x v="1"/>
    <x v="319"/>
    <x v="3"/>
    <x v="319"/>
    <x v="3"/>
  </r>
  <r>
    <x v="2142"/>
    <x v="64"/>
    <x v="1"/>
    <s v="No"/>
    <x v="1"/>
    <x v="319"/>
    <x v="3"/>
    <x v="319"/>
    <x v="3"/>
  </r>
  <r>
    <x v="2143"/>
    <x v="64"/>
    <x v="1"/>
    <s v="No"/>
    <x v="1"/>
    <x v="319"/>
    <x v="3"/>
    <x v="319"/>
    <x v="3"/>
  </r>
  <r>
    <x v="2144"/>
    <x v="64"/>
    <x v="1"/>
    <s v="No"/>
    <x v="1"/>
    <x v="319"/>
    <x v="3"/>
    <x v="319"/>
    <x v="3"/>
  </r>
  <r>
    <x v="2145"/>
    <x v="64"/>
    <x v="1"/>
    <s v="No"/>
    <x v="1"/>
    <x v="319"/>
    <x v="3"/>
    <x v="319"/>
    <x v="3"/>
  </r>
  <r>
    <x v="2146"/>
    <x v="64"/>
    <x v="1"/>
    <s v="No"/>
    <x v="1"/>
    <x v="319"/>
    <x v="3"/>
    <x v="319"/>
    <x v="3"/>
  </r>
  <r>
    <x v="2147"/>
    <x v="64"/>
    <x v="1"/>
    <s v="No"/>
    <x v="1"/>
    <x v="319"/>
    <x v="3"/>
    <x v="319"/>
    <x v="3"/>
  </r>
  <r>
    <x v="2148"/>
    <x v="64"/>
    <x v="1"/>
    <s v="No"/>
    <x v="1"/>
    <x v="319"/>
    <x v="3"/>
    <x v="319"/>
    <x v="3"/>
  </r>
  <r>
    <x v="2149"/>
    <x v="64"/>
    <x v="1"/>
    <s v="No"/>
    <x v="1"/>
    <x v="319"/>
    <x v="3"/>
    <x v="319"/>
    <x v="3"/>
  </r>
  <r>
    <x v="2150"/>
    <x v="64"/>
    <x v="1"/>
    <s v="No"/>
    <x v="1"/>
    <x v="319"/>
    <x v="3"/>
    <x v="319"/>
    <x v="3"/>
  </r>
  <r>
    <x v="2151"/>
    <x v="64"/>
    <x v="1"/>
    <s v="No"/>
    <x v="1"/>
    <x v="319"/>
    <x v="3"/>
    <x v="319"/>
    <x v="3"/>
  </r>
  <r>
    <x v="2152"/>
    <x v="64"/>
    <x v="1"/>
    <s v="No"/>
    <x v="1"/>
    <x v="319"/>
    <x v="3"/>
    <x v="319"/>
    <x v="3"/>
  </r>
  <r>
    <x v="2153"/>
    <x v="64"/>
    <x v="1"/>
    <s v="No"/>
    <x v="1"/>
    <x v="319"/>
    <x v="3"/>
    <x v="319"/>
    <x v="3"/>
  </r>
  <r>
    <x v="2154"/>
    <x v="64"/>
    <x v="1"/>
    <s v="No"/>
    <x v="1"/>
    <x v="319"/>
    <x v="3"/>
    <x v="319"/>
    <x v="3"/>
  </r>
  <r>
    <x v="2155"/>
    <x v="64"/>
    <x v="1"/>
    <s v="No"/>
    <x v="1"/>
    <x v="319"/>
    <x v="3"/>
    <x v="319"/>
    <x v="3"/>
  </r>
  <r>
    <x v="2156"/>
    <x v="64"/>
    <x v="1"/>
    <s v="No"/>
    <x v="1"/>
    <x v="319"/>
    <x v="3"/>
    <x v="319"/>
    <x v="3"/>
  </r>
  <r>
    <x v="2157"/>
    <x v="64"/>
    <x v="1"/>
    <s v="No"/>
    <x v="1"/>
    <x v="319"/>
    <x v="3"/>
    <x v="319"/>
    <x v="3"/>
  </r>
  <r>
    <x v="2158"/>
    <x v="64"/>
    <x v="1"/>
    <s v="No"/>
    <x v="1"/>
    <x v="319"/>
    <x v="3"/>
    <x v="319"/>
    <x v="3"/>
  </r>
  <r>
    <x v="2159"/>
    <x v="64"/>
    <x v="1"/>
    <s v="No"/>
    <x v="1"/>
    <x v="319"/>
    <x v="3"/>
    <x v="319"/>
    <x v="3"/>
  </r>
  <r>
    <x v="2160"/>
    <x v="64"/>
    <x v="1"/>
    <s v="No"/>
    <x v="1"/>
    <x v="319"/>
    <x v="3"/>
    <x v="319"/>
    <x v="3"/>
  </r>
  <r>
    <x v="2161"/>
    <x v="64"/>
    <x v="1"/>
    <s v="No"/>
    <x v="1"/>
    <x v="319"/>
    <x v="3"/>
    <x v="319"/>
    <x v="3"/>
  </r>
  <r>
    <x v="2162"/>
    <x v="64"/>
    <x v="1"/>
    <s v="No"/>
    <x v="1"/>
    <x v="319"/>
    <x v="3"/>
    <x v="319"/>
    <x v="3"/>
  </r>
  <r>
    <x v="2163"/>
    <x v="64"/>
    <x v="1"/>
    <s v="No"/>
    <x v="1"/>
    <x v="319"/>
    <x v="3"/>
    <x v="319"/>
    <x v="3"/>
  </r>
  <r>
    <x v="2164"/>
    <x v="64"/>
    <x v="1"/>
    <s v="No"/>
    <x v="1"/>
    <x v="319"/>
    <x v="3"/>
    <x v="319"/>
    <x v="3"/>
  </r>
  <r>
    <x v="2165"/>
    <x v="64"/>
    <x v="1"/>
    <s v="No"/>
    <x v="1"/>
    <x v="319"/>
    <x v="3"/>
    <x v="319"/>
    <x v="3"/>
  </r>
  <r>
    <x v="2166"/>
    <x v="64"/>
    <x v="1"/>
    <s v="No"/>
    <x v="1"/>
    <x v="319"/>
    <x v="3"/>
    <x v="319"/>
    <x v="3"/>
  </r>
  <r>
    <x v="2167"/>
    <x v="64"/>
    <x v="1"/>
    <s v="No"/>
    <x v="1"/>
    <x v="319"/>
    <x v="3"/>
    <x v="319"/>
    <x v="3"/>
  </r>
  <r>
    <x v="2168"/>
    <x v="64"/>
    <x v="1"/>
    <s v="No"/>
    <x v="1"/>
    <x v="319"/>
    <x v="3"/>
    <x v="319"/>
    <x v="3"/>
  </r>
  <r>
    <x v="2169"/>
    <x v="64"/>
    <x v="1"/>
    <s v="No"/>
    <x v="1"/>
    <x v="319"/>
    <x v="3"/>
    <x v="319"/>
    <x v="3"/>
  </r>
  <r>
    <x v="2170"/>
    <x v="64"/>
    <x v="1"/>
    <s v="No"/>
    <x v="1"/>
    <x v="319"/>
    <x v="3"/>
    <x v="319"/>
    <x v="3"/>
  </r>
  <r>
    <x v="2171"/>
    <x v="64"/>
    <x v="1"/>
    <s v="No"/>
    <x v="1"/>
    <x v="319"/>
    <x v="3"/>
    <x v="319"/>
    <x v="3"/>
  </r>
  <r>
    <x v="2172"/>
    <x v="64"/>
    <x v="1"/>
    <s v="No"/>
    <x v="1"/>
    <x v="319"/>
    <x v="3"/>
    <x v="319"/>
    <x v="3"/>
  </r>
  <r>
    <x v="2173"/>
    <x v="64"/>
    <x v="1"/>
    <s v="No"/>
    <x v="1"/>
    <x v="319"/>
    <x v="3"/>
    <x v="319"/>
    <x v="3"/>
  </r>
  <r>
    <x v="2174"/>
    <x v="64"/>
    <x v="1"/>
    <s v="No"/>
    <x v="1"/>
    <x v="319"/>
    <x v="3"/>
    <x v="319"/>
    <x v="3"/>
  </r>
  <r>
    <x v="2175"/>
    <x v="64"/>
    <x v="1"/>
    <s v="No"/>
    <x v="1"/>
    <x v="319"/>
    <x v="3"/>
    <x v="319"/>
    <x v="3"/>
  </r>
  <r>
    <x v="2176"/>
    <x v="64"/>
    <x v="1"/>
    <s v="No"/>
    <x v="1"/>
    <x v="319"/>
    <x v="3"/>
    <x v="319"/>
    <x v="3"/>
  </r>
  <r>
    <x v="2177"/>
    <x v="64"/>
    <x v="1"/>
    <s v="No"/>
    <x v="1"/>
    <x v="319"/>
    <x v="3"/>
    <x v="319"/>
    <x v="3"/>
  </r>
  <r>
    <x v="2178"/>
    <x v="64"/>
    <x v="1"/>
    <s v="No"/>
    <x v="1"/>
    <x v="319"/>
    <x v="3"/>
    <x v="319"/>
    <x v="3"/>
  </r>
  <r>
    <x v="2179"/>
    <x v="64"/>
    <x v="1"/>
    <s v="No"/>
    <x v="1"/>
    <x v="319"/>
    <x v="3"/>
    <x v="319"/>
    <x v="3"/>
  </r>
  <r>
    <x v="2180"/>
    <x v="64"/>
    <x v="1"/>
    <s v="No"/>
    <x v="1"/>
    <x v="319"/>
    <x v="3"/>
    <x v="319"/>
    <x v="3"/>
  </r>
  <r>
    <x v="2181"/>
    <x v="64"/>
    <x v="1"/>
    <s v="No"/>
    <x v="1"/>
    <x v="319"/>
    <x v="3"/>
    <x v="319"/>
    <x v="3"/>
  </r>
  <r>
    <x v="2182"/>
    <x v="64"/>
    <x v="1"/>
    <s v="No"/>
    <x v="1"/>
    <x v="319"/>
    <x v="3"/>
    <x v="319"/>
    <x v="3"/>
  </r>
  <r>
    <x v="2183"/>
    <x v="64"/>
    <x v="1"/>
    <s v="No"/>
    <x v="1"/>
    <x v="319"/>
    <x v="3"/>
    <x v="319"/>
    <x v="3"/>
  </r>
  <r>
    <x v="2184"/>
    <x v="64"/>
    <x v="1"/>
    <s v="No"/>
    <x v="1"/>
    <x v="319"/>
    <x v="3"/>
    <x v="319"/>
    <x v="3"/>
  </r>
  <r>
    <x v="2185"/>
    <x v="64"/>
    <x v="1"/>
    <s v="No"/>
    <x v="1"/>
    <x v="319"/>
    <x v="3"/>
    <x v="319"/>
    <x v="3"/>
  </r>
  <r>
    <x v="2186"/>
    <x v="64"/>
    <x v="1"/>
    <s v="No"/>
    <x v="1"/>
    <x v="319"/>
    <x v="3"/>
    <x v="319"/>
    <x v="3"/>
  </r>
  <r>
    <x v="2187"/>
    <x v="64"/>
    <x v="1"/>
    <s v="No"/>
    <x v="1"/>
    <x v="319"/>
    <x v="3"/>
    <x v="319"/>
    <x v="3"/>
  </r>
  <r>
    <x v="2188"/>
    <x v="64"/>
    <x v="1"/>
    <s v="No"/>
    <x v="1"/>
    <x v="319"/>
    <x v="3"/>
    <x v="319"/>
    <x v="3"/>
  </r>
  <r>
    <x v="2189"/>
    <x v="64"/>
    <x v="1"/>
    <s v="No"/>
    <x v="1"/>
    <x v="319"/>
    <x v="3"/>
    <x v="319"/>
    <x v="3"/>
  </r>
  <r>
    <x v="2190"/>
    <x v="64"/>
    <x v="1"/>
    <s v="No"/>
    <x v="1"/>
    <x v="319"/>
    <x v="3"/>
    <x v="319"/>
    <x v="3"/>
  </r>
  <r>
    <x v="2191"/>
    <x v="64"/>
    <x v="1"/>
    <s v="No"/>
    <x v="1"/>
    <x v="319"/>
    <x v="3"/>
    <x v="319"/>
    <x v="3"/>
  </r>
  <r>
    <x v="2192"/>
    <x v="64"/>
    <x v="1"/>
    <s v="No"/>
    <x v="1"/>
    <x v="319"/>
    <x v="3"/>
    <x v="319"/>
    <x v="3"/>
  </r>
  <r>
    <x v="2193"/>
    <x v="64"/>
    <x v="1"/>
    <s v="No"/>
    <x v="1"/>
    <x v="319"/>
    <x v="3"/>
    <x v="319"/>
    <x v="3"/>
  </r>
  <r>
    <x v="2194"/>
    <x v="64"/>
    <x v="1"/>
    <s v="No"/>
    <x v="1"/>
    <x v="319"/>
    <x v="3"/>
    <x v="319"/>
    <x v="3"/>
  </r>
  <r>
    <x v="2195"/>
    <x v="64"/>
    <x v="1"/>
    <s v="No"/>
    <x v="1"/>
    <x v="319"/>
    <x v="3"/>
    <x v="319"/>
    <x v="3"/>
  </r>
  <r>
    <x v="2196"/>
    <x v="64"/>
    <x v="1"/>
    <s v="No"/>
    <x v="1"/>
    <x v="319"/>
    <x v="3"/>
    <x v="319"/>
    <x v="3"/>
  </r>
  <r>
    <x v="2197"/>
    <x v="64"/>
    <x v="1"/>
    <s v="No"/>
    <x v="1"/>
    <x v="319"/>
    <x v="3"/>
    <x v="319"/>
    <x v="3"/>
  </r>
  <r>
    <x v="2198"/>
    <x v="64"/>
    <x v="1"/>
    <s v="No"/>
    <x v="1"/>
    <x v="319"/>
    <x v="3"/>
    <x v="319"/>
    <x v="3"/>
  </r>
  <r>
    <x v="2199"/>
    <x v="64"/>
    <x v="1"/>
    <s v="No"/>
    <x v="1"/>
    <x v="319"/>
    <x v="3"/>
    <x v="319"/>
    <x v="3"/>
  </r>
  <r>
    <x v="2200"/>
    <x v="64"/>
    <x v="1"/>
    <s v="No"/>
    <x v="1"/>
    <x v="319"/>
    <x v="3"/>
    <x v="319"/>
    <x v="3"/>
  </r>
  <r>
    <x v="2201"/>
    <x v="64"/>
    <x v="1"/>
    <s v="No"/>
    <x v="1"/>
    <x v="319"/>
    <x v="3"/>
    <x v="319"/>
    <x v="3"/>
  </r>
  <r>
    <x v="2202"/>
    <x v="64"/>
    <x v="1"/>
    <s v="No"/>
    <x v="1"/>
    <x v="319"/>
    <x v="3"/>
    <x v="319"/>
    <x v="3"/>
  </r>
  <r>
    <x v="2203"/>
    <x v="64"/>
    <x v="1"/>
    <s v="No"/>
    <x v="1"/>
    <x v="319"/>
    <x v="3"/>
    <x v="319"/>
    <x v="3"/>
  </r>
  <r>
    <x v="2204"/>
    <x v="64"/>
    <x v="1"/>
    <s v="No"/>
    <x v="1"/>
    <x v="319"/>
    <x v="3"/>
    <x v="319"/>
    <x v="3"/>
  </r>
  <r>
    <x v="2205"/>
    <x v="64"/>
    <x v="1"/>
    <s v="No"/>
    <x v="1"/>
    <x v="319"/>
    <x v="3"/>
    <x v="319"/>
    <x v="3"/>
  </r>
  <r>
    <x v="2206"/>
    <x v="64"/>
    <x v="1"/>
    <s v="No"/>
    <x v="1"/>
    <x v="319"/>
    <x v="3"/>
    <x v="319"/>
    <x v="3"/>
  </r>
  <r>
    <x v="2207"/>
    <x v="64"/>
    <x v="1"/>
    <s v="No"/>
    <x v="1"/>
    <x v="319"/>
    <x v="3"/>
    <x v="319"/>
    <x v="3"/>
  </r>
  <r>
    <x v="2208"/>
    <x v="64"/>
    <x v="1"/>
    <s v="No"/>
    <x v="1"/>
    <x v="319"/>
    <x v="3"/>
    <x v="319"/>
    <x v="3"/>
  </r>
  <r>
    <x v="2209"/>
    <x v="64"/>
    <x v="1"/>
    <s v="No"/>
    <x v="1"/>
    <x v="319"/>
    <x v="3"/>
    <x v="319"/>
    <x v="3"/>
  </r>
  <r>
    <x v="2210"/>
    <x v="64"/>
    <x v="1"/>
    <s v="No"/>
    <x v="1"/>
    <x v="319"/>
    <x v="3"/>
    <x v="319"/>
    <x v="3"/>
  </r>
  <r>
    <x v="2211"/>
    <x v="64"/>
    <x v="1"/>
    <s v="No"/>
    <x v="1"/>
    <x v="319"/>
    <x v="3"/>
    <x v="319"/>
    <x v="3"/>
  </r>
  <r>
    <x v="2212"/>
    <x v="64"/>
    <x v="1"/>
    <s v="No"/>
    <x v="1"/>
    <x v="319"/>
    <x v="3"/>
    <x v="319"/>
    <x v="3"/>
  </r>
  <r>
    <x v="2213"/>
    <x v="64"/>
    <x v="1"/>
    <s v="No"/>
    <x v="1"/>
    <x v="319"/>
    <x v="3"/>
    <x v="319"/>
    <x v="3"/>
  </r>
  <r>
    <x v="2214"/>
    <x v="64"/>
    <x v="1"/>
    <s v="No"/>
    <x v="1"/>
    <x v="319"/>
    <x v="3"/>
    <x v="319"/>
    <x v="3"/>
  </r>
  <r>
    <x v="2215"/>
    <x v="64"/>
    <x v="1"/>
    <s v="No"/>
    <x v="1"/>
    <x v="319"/>
    <x v="3"/>
    <x v="319"/>
    <x v="3"/>
  </r>
  <r>
    <x v="2216"/>
    <x v="64"/>
    <x v="1"/>
    <s v="No"/>
    <x v="1"/>
    <x v="319"/>
    <x v="3"/>
    <x v="319"/>
    <x v="3"/>
  </r>
  <r>
    <x v="2217"/>
    <x v="64"/>
    <x v="1"/>
    <s v="No"/>
    <x v="1"/>
    <x v="319"/>
    <x v="3"/>
    <x v="319"/>
    <x v="3"/>
  </r>
  <r>
    <x v="2218"/>
    <x v="64"/>
    <x v="1"/>
    <s v="No"/>
    <x v="1"/>
    <x v="319"/>
    <x v="3"/>
    <x v="319"/>
    <x v="3"/>
  </r>
  <r>
    <x v="2219"/>
    <x v="64"/>
    <x v="1"/>
    <s v="No"/>
    <x v="1"/>
    <x v="319"/>
    <x v="3"/>
    <x v="319"/>
    <x v="3"/>
  </r>
  <r>
    <x v="2220"/>
    <x v="64"/>
    <x v="1"/>
    <s v="No"/>
    <x v="1"/>
    <x v="319"/>
    <x v="3"/>
    <x v="319"/>
    <x v="3"/>
  </r>
  <r>
    <x v="2221"/>
    <x v="64"/>
    <x v="1"/>
    <s v="No"/>
    <x v="1"/>
    <x v="319"/>
    <x v="3"/>
    <x v="319"/>
    <x v="3"/>
  </r>
  <r>
    <x v="2222"/>
    <x v="64"/>
    <x v="1"/>
    <s v="No"/>
    <x v="1"/>
    <x v="319"/>
    <x v="3"/>
    <x v="319"/>
    <x v="3"/>
  </r>
  <r>
    <x v="2223"/>
    <x v="64"/>
    <x v="1"/>
    <s v="No"/>
    <x v="1"/>
    <x v="319"/>
    <x v="3"/>
    <x v="319"/>
    <x v="3"/>
  </r>
  <r>
    <x v="2224"/>
    <x v="64"/>
    <x v="1"/>
    <s v="No"/>
    <x v="1"/>
    <x v="319"/>
    <x v="3"/>
    <x v="319"/>
    <x v="3"/>
  </r>
  <r>
    <x v="2225"/>
    <x v="64"/>
    <x v="1"/>
    <s v="No"/>
    <x v="1"/>
    <x v="319"/>
    <x v="3"/>
    <x v="319"/>
    <x v="3"/>
  </r>
  <r>
    <x v="2226"/>
    <x v="64"/>
    <x v="1"/>
    <s v="No"/>
    <x v="1"/>
    <x v="319"/>
    <x v="3"/>
    <x v="319"/>
    <x v="3"/>
  </r>
  <r>
    <x v="2227"/>
    <x v="64"/>
    <x v="1"/>
    <s v="No"/>
    <x v="1"/>
    <x v="319"/>
    <x v="3"/>
    <x v="319"/>
    <x v="3"/>
  </r>
  <r>
    <x v="2228"/>
    <x v="64"/>
    <x v="1"/>
    <s v="No"/>
    <x v="1"/>
    <x v="319"/>
    <x v="3"/>
    <x v="319"/>
    <x v="3"/>
  </r>
  <r>
    <x v="2229"/>
    <x v="64"/>
    <x v="1"/>
    <s v="No"/>
    <x v="1"/>
    <x v="319"/>
    <x v="3"/>
    <x v="319"/>
    <x v="3"/>
  </r>
  <r>
    <x v="2230"/>
    <x v="64"/>
    <x v="1"/>
    <s v="No"/>
    <x v="1"/>
    <x v="319"/>
    <x v="3"/>
    <x v="319"/>
    <x v="3"/>
  </r>
  <r>
    <x v="2231"/>
    <x v="64"/>
    <x v="1"/>
    <s v="No"/>
    <x v="1"/>
    <x v="319"/>
    <x v="3"/>
    <x v="319"/>
    <x v="3"/>
  </r>
  <r>
    <x v="2232"/>
    <x v="64"/>
    <x v="1"/>
    <s v="No"/>
    <x v="1"/>
    <x v="319"/>
    <x v="3"/>
    <x v="319"/>
    <x v="3"/>
  </r>
  <r>
    <x v="2233"/>
    <x v="64"/>
    <x v="1"/>
    <s v="No"/>
    <x v="1"/>
    <x v="319"/>
    <x v="3"/>
    <x v="319"/>
    <x v="3"/>
  </r>
  <r>
    <x v="2234"/>
    <x v="64"/>
    <x v="1"/>
    <s v="No"/>
    <x v="1"/>
    <x v="319"/>
    <x v="3"/>
    <x v="319"/>
    <x v="3"/>
  </r>
  <r>
    <x v="2235"/>
    <x v="64"/>
    <x v="1"/>
    <s v="No"/>
    <x v="1"/>
    <x v="319"/>
    <x v="3"/>
    <x v="319"/>
    <x v="3"/>
  </r>
  <r>
    <x v="2236"/>
    <x v="64"/>
    <x v="1"/>
    <s v="No"/>
    <x v="1"/>
    <x v="319"/>
    <x v="3"/>
    <x v="319"/>
    <x v="3"/>
  </r>
  <r>
    <x v="2237"/>
    <x v="64"/>
    <x v="1"/>
    <s v="No"/>
    <x v="1"/>
    <x v="319"/>
    <x v="3"/>
    <x v="319"/>
    <x v="3"/>
  </r>
  <r>
    <x v="2238"/>
    <x v="64"/>
    <x v="1"/>
    <s v="No"/>
    <x v="1"/>
    <x v="319"/>
    <x v="3"/>
    <x v="319"/>
    <x v="3"/>
  </r>
  <r>
    <x v="2239"/>
    <x v="64"/>
    <x v="1"/>
    <s v="No"/>
    <x v="1"/>
    <x v="319"/>
    <x v="3"/>
    <x v="319"/>
    <x v="3"/>
  </r>
  <r>
    <x v="2240"/>
    <x v="64"/>
    <x v="1"/>
    <s v="No"/>
    <x v="1"/>
    <x v="319"/>
    <x v="3"/>
    <x v="319"/>
    <x v="3"/>
  </r>
  <r>
    <x v="2241"/>
    <x v="64"/>
    <x v="1"/>
    <s v="No"/>
    <x v="1"/>
    <x v="319"/>
    <x v="3"/>
    <x v="319"/>
    <x v="3"/>
  </r>
  <r>
    <x v="2242"/>
    <x v="64"/>
    <x v="1"/>
    <s v="No"/>
    <x v="1"/>
    <x v="319"/>
    <x v="3"/>
    <x v="319"/>
    <x v="3"/>
  </r>
  <r>
    <x v="2243"/>
    <x v="64"/>
    <x v="1"/>
    <s v="No"/>
    <x v="1"/>
    <x v="319"/>
    <x v="3"/>
    <x v="319"/>
    <x v="3"/>
  </r>
  <r>
    <x v="2244"/>
    <x v="64"/>
    <x v="1"/>
    <s v="No"/>
    <x v="1"/>
    <x v="319"/>
    <x v="3"/>
    <x v="319"/>
    <x v="3"/>
  </r>
  <r>
    <x v="2245"/>
    <x v="64"/>
    <x v="1"/>
    <s v="No"/>
    <x v="1"/>
    <x v="319"/>
    <x v="3"/>
    <x v="319"/>
    <x v="3"/>
  </r>
  <r>
    <x v="2246"/>
    <x v="64"/>
    <x v="1"/>
    <s v="No"/>
    <x v="1"/>
    <x v="319"/>
    <x v="3"/>
    <x v="319"/>
    <x v="3"/>
  </r>
  <r>
    <x v="2247"/>
    <x v="64"/>
    <x v="1"/>
    <s v="No"/>
    <x v="1"/>
    <x v="319"/>
    <x v="3"/>
    <x v="319"/>
    <x v="3"/>
  </r>
  <r>
    <x v="2248"/>
    <x v="64"/>
    <x v="1"/>
    <s v="No"/>
    <x v="1"/>
    <x v="319"/>
    <x v="3"/>
    <x v="319"/>
    <x v="3"/>
  </r>
  <r>
    <x v="2249"/>
    <x v="64"/>
    <x v="1"/>
    <s v="No"/>
    <x v="1"/>
    <x v="319"/>
    <x v="3"/>
    <x v="319"/>
    <x v="3"/>
  </r>
  <r>
    <x v="2250"/>
    <x v="64"/>
    <x v="1"/>
    <s v="No"/>
    <x v="1"/>
    <x v="319"/>
    <x v="3"/>
    <x v="319"/>
    <x v="3"/>
  </r>
  <r>
    <x v="2251"/>
    <x v="64"/>
    <x v="1"/>
    <s v="No"/>
    <x v="1"/>
    <x v="319"/>
    <x v="3"/>
    <x v="319"/>
    <x v="3"/>
  </r>
  <r>
    <x v="2252"/>
    <x v="64"/>
    <x v="1"/>
    <s v="No"/>
    <x v="1"/>
    <x v="319"/>
    <x v="3"/>
    <x v="319"/>
    <x v="3"/>
  </r>
  <r>
    <x v="2253"/>
    <x v="64"/>
    <x v="1"/>
    <s v="No"/>
    <x v="1"/>
    <x v="319"/>
    <x v="3"/>
    <x v="319"/>
    <x v="3"/>
  </r>
  <r>
    <x v="2254"/>
    <x v="64"/>
    <x v="1"/>
    <s v="No"/>
    <x v="1"/>
    <x v="319"/>
    <x v="3"/>
    <x v="319"/>
    <x v="3"/>
  </r>
  <r>
    <x v="2255"/>
    <x v="64"/>
    <x v="1"/>
    <s v="No"/>
    <x v="1"/>
    <x v="319"/>
    <x v="3"/>
    <x v="319"/>
    <x v="3"/>
  </r>
  <r>
    <x v="2256"/>
    <x v="64"/>
    <x v="1"/>
    <s v="No"/>
    <x v="1"/>
    <x v="319"/>
    <x v="3"/>
    <x v="319"/>
    <x v="3"/>
  </r>
  <r>
    <x v="2257"/>
    <x v="64"/>
    <x v="1"/>
    <s v="No"/>
    <x v="1"/>
    <x v="319"/>
    <x v="3"/>
    <x v="319"/>
    <x v="3"/>
  </r>
  <r>
    <x v="2258"/>
    <x v="64"/>
    <x v="1"/>
    <s v="No"/>
    <x v="1"/>
    <x v="319"/>
    <x v="3"/>
    <x v="319"/>
    <x v="3"/>
  </r>
  <r>
    <x v="2259"/>
    <x v="64"/>
    <x v="1"/>
    <s v="No"/>
    <x v="1"/>
    <x v="319"/>
    <x v="3"/>
    <x v="319"/>
    <x v="3"/>
  </r>
  <r>
    <x v="2260"/>
    <x v="64"/>
    <x v="1"/>
    <s v="No"/>
    <x v="1"/>
    <x v="319"/>
    <x v="3"/>
    <x v="319"/>
    <x v="3"/>
  </r>
  <r>
    <x v="2261"/>
    <x v="64"/>
    <x v="1"/>
    <s v="No"/>
    <x v="1"/>
    <x v="319"/>
    <x v="3"/>
    <x v="319"/>
    <x v="3"/>
  </r>
  <r>
    <x v="2262"/>
    <x v="64"/>
    <x v="1"/>
    <s v="No"/>
    <x v="1"/>
    <x v="319"/>
    <x v="3"/>
    <x v="319"/>
    <x v="3"/>
  </r>
  <r>
    <x v="2263"/>
    <x v="64"/>
    <x v="1"/>
    <s v="No"/>
    <x v="1"/>
    <x v="319"/>
    <x v="3"/>
    <x v="319"/>
    <x v="3"/>
  </r>
  <r>
    <x v="2264"/>
    <x v="64"/>
    <x v="1"/>
    <s v="No"/>
    <x v="1"/>
    <x v="319"/>
    <x v="3"/>
    <x v="319"/>
    <x v="3"/>
  </r>
  <r>
    <x v="2265"/>
    <x v="64"/>
    <x v="1"/>
    <s v="No"/>
    <x v="1"/>
    <x v="319"/>
    <x v="3"/>
    <x v="319"/>
    <x v="3"/>
  </r>
  <r>
    <x v="2266"/>
    <x v="64"/>
    <x v="1"/>
    <s v="No"/>
    <x v="1"/>
    <x v="319"/>
    <x v="3"/>
    <x v="319"/>
    <x v="3"/>
  </r>
  <r>
    <x v="2267"/>
    <x v="64"/>
    <x v="1"/>
    <s v="No"/>
    <x v="1"/>
    <x v="319"/>
    <x v="3"/>
    <x v="319"/>
    <x v="3"/>
  </r>
  <r>
    <x v="2268"/>
    <x v="64"/>
    <x v="1"/>
    <s v="No"/>
    <x v="1"/>
    <x v="319"/>
    <x v="3"/>
    <x v="319"/>
    <x v="3"/>
  </r>
  <r>
    <x v="2269"/>
    <x v="64"/>
    <x v="1"/>
    <s v="No"/>
    <x v="1"/>
    <x v="319"/>
    <x v="3"/>
    <x v="319"/>
    <x v="3"/>
  </r>
  <r>
    <x v="2270"/>
    <x v="64"/>
    <x v="1"/>
    <s v="No"/>
    <x v="1"/>
    <x v="319"/>
    <x v="3"/>
    <x v="319"/>
    <x v="3"/>
  </r>
  <r>
    <x v="2271"/>
    <x v="64"/>
    <x v="1"/>
    <s v="No"/>
    <x v="1"/>
    <x v="319"/>
    <x v="3"/>
    <x v="319"/>
    <x v="3"/>
  </r>
  <r>
    <x v="2272"/>
    <x v="64"/>
    <x v="1"/>
    <s v="No"/>
    <x v="1"/>
    <x v="319"/>
    <x v="3"/>
    <x v="319"/>
    <x v="3"/>
  </r>
  <r>
    <x v="2273"/>
    <x v="64"/>
    <x v="1"/>
    <s v="No"/>
    <x v="1"/>
    <x v="319"/>
    <x v="3"/>
    <x v="319"/>
    <x v="3"/>
  </r>
  <r>
    <x v="2274"/>
    <x v="64"/>
    <x v="1"/>
    <s v="No"/>
    <x v="1"/>
    <x v="319"/>
    <x v="3"/>
    <x v="319"/>
    <x v="3"/>
  </r>
  <r>
    <x v="2275"/>
    <x v="64"/>
    <x v="1"/>
    <s v="No"/>
    <x v="1"/>
    <x v="319"/>
    <x v="3"/>
    <x v="319"/>
    <x v="3"/>
  </r>
  <r>
    <x v="2276"/>
    <x v="64"/>
    <x v="1"/>
    <s v="No"/>
    <x v="1"/>
    <x v="319"/>
    <x v="3"/>
    <x v="319"/>
    <x v="3"/>
  </r>
  <r>
    <x v="2277"/>
    <x v="64"/>
    <x v="1"/>
    <s v="No"/>
    <x v="1"/>
    <x v="319"/>
    <x v="3"/>
    <x v="319"/>
    <x v="3"/>
  </r>
  <r>
    <x v="2278"/>
    <x v="64"/>
    <x v="1"/>
    <s v="No"/>
    <x v="1"/>
    <x v="319"/>
    <x v="3"/>
    <x v="319"/>
    <x v="3"/>
  </r>
  <r>
    <x v="2279"/>
    <x v="64"/>
    <x v="1"/>
    <s v="No"/>
    <x v="1"/>
    <x v="319"/>
    <x v="3"/>
    <x v="319"/>
    <x v="3"/>
  </r>
  <r>
    <x v="2280"/>
    <x v="64"/>
    <x v="1"/>
    <s v="No"/>
    <x v="1"/>
    <x v="319"/>
    <x v="3"/>
    <x v="319"/>
    <x v="3"/>
  </r>
  <r>
    <x v="2281"/>
    <x v="64"/>
    <x v="1"/>
    <s v="No"/>
    <x v="1"/>
    <x v="319"/>
    <x v="3"/>
    <x v="319"/>
    <x v="3"/>
  </r>
  <r>
    <x v="2282"/>
    <x v="64"/>
    <x v="1"/>
    <s v="No"/>
    <x v="1"/>
    <x v="319"/>
    <x v="3"/>
    <x v="319"/>
    <x v="3"/>
  </r>
  <r>
    <x v="2283"/>
    <x v="64"/>
    <x v="1"/>
    <s v="No"/>
    <x v="1"/>
    <x v="319"/>
    <x v="3"/>
    <x v="319"/>
    <x v="3"/>
  </r>
  <r>
    <x v="2284"/>
    <x v="64"/>
    <x v="1"/>
    <s v="No"/>
    <x v="1"/>
    <x v="319"/>
    <x v="3"/>
    <x v="319"/>
    <x v="3"/>
  </r>
  <r>
    <x v="2285"/>
    <x v="64"/>
    <x v="1"/>
    <s v="No"/>
    <x v="1"/>
    <x v="319"/>
    <x v="3"/>
    <x v="319"/>
    <x v="3"/>
  </r>
  <r>
    <x v="2286"/>
    <x v="64"/>
    <x v="1"/>
    <s v="No"/>
    <x v="1"/>
    <x v="319"/>
    <x v="3"/>
    <x v="319"/>
    <x v="3"/>
  </r>
  <r>
    <x v="2287"/>
    <x v="64"/>
    <x v="1"/>
    <s v="No"/>
    <x v="1"/>
    <x v="319"/>
    <x v="3"/>
    <x v="319"/>
    <x v="3"/>
  </r>
  <r>
    <x v="2288"/>
    <x v="64"/>
    <x v="1"/>
    <s v="No"/>
    <x v="1"/>
    <x v="319"/>
    <x v="3"/>
    <x v="319"/>
    <x v="3"/>
  </r>
  <r>
    <x v="2289"/>
    <x v="64"/>
    <x v="1"/>
    <s v="No"/>
    <x v="1"/>
    <x v="319"/>
    <x v="3"/>
    <x v="319"/>
    <x v="3"/>
  </r>
  <r>
    <x v="2290"/>
    <x v="64"/>
    <x v="1"/>
    <s v="No"/>
    <x v="1"/>
    <x v="319"/>
    <x v="3"/>
    <x v="319"/>
    <x v="3"/>
  </r>
  <r>
    <x v="2291"/>
    <x v="64"/>
    <x v="1"/>
    <s v="No"/>
    <x v="1"/>
    <x v="319"/>
    <x v="3"/>
    <x v="319"/>
    <x v="3"/>
  </r>
  <r>
    <x v="2292"/>
    <x v="64"/>
    <x v="1"/>
    <s v="No"/>
    <x v="1"/>
    <x v="319"/>
    <x v="3"/>
    <x v="319"/>
    <x v="3"/>
  </r>
  <r>
    <x v="2293"/>
    <x v="64"/>
    <x v="1"/>
    <s v="No"/>
    <x v="1"/>
    <x v="319"/>
    <x v="3"/>
    <x v="319"/>
    <x v="3"/>
  </r>
  <r>
    <x v="2294"/>
    <x v="64"/>
    <x v="1"/>
    <s v="No"/>
    <x v="1"/>
    <x v="319"/>
    <x v="3"/>
    <x v="319"/>
    <x v="3"/>
  </r>
  <r>
    <x v="2295"/>
    <x v="64"/>
    <x v="1"/>
    <s v="No"/>
    <x v="1"/>
    <x v="319"/>
    <x v="3"/>
    <x v="319"/>
    <x v="3"/>
  </r>
  <r>
    <x v="2296"/>
    <x v="64"/>
    <x v="1"/>
    <s v="No"/>
    <x v="1"/>
    <x v="319"/>
    <x v="3"/>
    <x v="319"/>
    <x v="3"/>
  </r>
  <r>
    <x v="2297"/>
    <x v="64"/>
    <x v="1"/>
    <s v="No"/>
    <x v="1"/>
    <x v="319"/>
    <x v="3"/>
    <x v="319"/>
    <x v="3"/>
  </r>
  <r>
    <x v="2298"/>
    <x v="64"/>
    <x v="1"/>
    <s v="No"/>
    <x v="1"/>
    <x v="319"/>
    <x v="3"/>
    <x v="319"/>
    <x v="3"/>
  </r>
  <r>
    <x v="2299"/>
    <x v="64"/>
    <x v="1"/>
    <s v="No"/>
    <x v="1"/>
    <x v="319"/>
    <x v="3"/>
    <x v="319"/>
    <x v="3"/>
  </r>
  <r>
    <x v="2300"/>
    <x v="64"/>
    <x v="1"/>
    <s v="No"/>
    <x v="1"/>
    <x v="319"/>
    <x v="3"/>
    <x v="319"/>
    <x v="3"/>
  </r>
  <r>
    <x v="2301"/>
    <x v="64"/>
    <x v="1"/>
    <s v="No"/>
    <x v="1"/>
    <x v="319"/>
    <x v="3"/>
    <x v="319"/>
    <x v="3"/>
  </r>
  <r>
    <x v="2302"/>
    <x v="64"/>
    <x v="1"/>
    <s v="No"/>
    <x v="1"/>
    <x v="319"/>
    <x v="3"/>
    <x v="319"/>
    <x v="3"/>
  </r>
  <r>
    <x v="2303"/>
    <x v="64"/>
    <x v="1"/>
    <s v="No"/>
    <x v="1"/>
    <x v="319"/>
    <x v="3"/>
    <x v="319"/>
    <x v="3"/>
  </r>
  <r>
    <x v="2304"/>
    <x v="64"/>
    <x v="1"/>
    <s v="No"/>
    <x v="1"/>
    <x v="319"/>
    <x v="3"/>
    <x v="319"/>
    <x v="3"/>
  </r>
  <r>
    <x v="2305"/>
    <x v="64"/>
    <x v="1"/>
    <s v="No"/>
    <x v="1"/>
    <x v="319"/>
    <x v="3"/>
    <x v="319"/>
    <x v="3"/>
  </r>
  <r>
    <x v="2306"/>
    <x v="64"/>
    <x v="1"/>
    <s v="No"/>
    <x v="1"/>
    <x v="319"/>
    <x v="3"/>
    <x v="319"/>
    <x v="3"/>
  </r>
  <r>
    <x v="2307"/>
    <x v="64"/>
    <x v="1"/>
    <s v="No"/>
    <x v="1"/>
    <x v="319"/>
    <x v="3"/>
    <x v="319"/>
    <x v="3"/>
  </r>
  <r>
    <x v="2308"/>
    <x v="64"/>
    <x v="1"/>
    <s v="No"/>
    <x v="1"/>
    <x v="319"/>
    <x v="3"/>
    <x v="319"/>
    <x v="3"/>
  </r>
  <r>
    <x v="2309"/>
    <x v="64"/>
    <x v="1"/>
    <s v="No"/>
    <x v="1"/>
    <x v="319"/>
    <x v="3"/>
    <x v="319"/>
    <x v="3"/>
  </r>
  <r>
    <x v="2310"/>
    <x v="64"/>
    <x v="1"/>
    <s v="No"/>
    <x v="1"/>
    <x v="319"/>
    <x v="3"/>
    <x v="319"/>
    <x v="3"/>
  </r>
  <r>
    <x v="2311"/>
    <x v="64"/>
    <x v="1"/>
    <s v="No"/>
    <x v="1"/>
    <x v="319"/>
    <x v="3"/>
    <x v="319"/>
    <x v="3"/>
  </r>
  <r>
    <x v="2312"/>
    <x v="64"/>
    <x v="1"/>
    <s v="No"/>
    <x v="1"/>
    <x v="319"/>
    <x v="3"/>
    <x v="319"/>
    <x v="3"/>
  </r>
  <r>
    <x v="2313"/>
    <x v="64"/>
    <x v="1"/>
    <s v="No"/>
    <x v="1"/>
    <x v="319"/>
    <x v="3"/>
    <x v="319"/>
    <x v="3"/>
  </r>
  <r>
    <x v="2314"/>
    <x v="64"/>
    <x v="1"/>
    <s v="No"/>
    <x v="1"/>
    <x v="319"/>
    <x v="3"/>
    <x v="319"/>
    <x v="3"/>
  </r>
  <r>
    <x v="2315"/>
    <x v="64"/>
    <x v="1"/>
    <s v="No"/>
    <x v="1"/>
    <x v="319"/>
    <x v="3"/>
    <x v="319"/>
    <x v="3"/>
  </r>
  <r>
    <x v="2316"/>
    <x v="64"/>
    <x v="1"/>
    <s v="No"/>
    <x v="1"/>
    <x v="319"/>
    <x v="3"/>
    <x v="319"/>
    <x v="3"/>
  </r>
  <r>
    <x v="2317"/>
    <x v="64"/>
    <x v="1"/>
    <s v="No"/>
    <x v="1"/>
    <x v="319"/>
    <x v="3"/>
    <x v="319"/>
    <x v="3"/>
  </r>
  <r>
    <x v="2318"/>
    <x v="64"/>
    <x v="1"/>
    <s v="No"/>
    <x v="1"/>
    <x v="319"/>
    <x v="3"/>
    <x v="319"/>
    <x v="3"/>
  </r>
  <r>
    <x v="2319"/>
    <x v="64"/>
    <x v="1"/>
    <s v="No"/>
    <x v="1"/>
    <x v="319"/>
    <x v="3"/>
    <x v="319"/>
    <x v="3"/>
  </r>
  <r>
    <x v="2320"/>
    <x v="64"/>
    <x v="1"/>
    <s v="No"/>
    <x v="1"/>
    <x v="319"/>
    <x v="3"/>
    <x v="319"/>
    <x v="3"/>
  </r>
  <r>
    <x v="2321"/>
    <x v="64"/>
    <x v="1"/>
    <s v="No"/>
    <x v="1"/>
    <x v="319"/>
    <x v="3"/>
    <x v="319"/>
    <x v="3"/>
  </r>
  <r>
    <x v="2322"/>
    <x v="64"/>
    <x v="1"/>
    <s v="No"/>
    <x v="1"/>
    <x v="319"/>
    <x v="3"/>
    <x v="319"/>
    <x v="3"/>
  </r>
  <r>
    <x v="2323"/>
    <x v="64"/>
    <x v="1"/>
    <s v="No"/>
    <x v="1"/>
    <x v="319"/>
    <x v="3"/>
    <x v="319"/>
    <x v="3"/>
  </r>
  <r>
    <x v="2324"/>
    <x v="64"/>
    <x v="1"/>
    <s v="No"/>
    <x v="1"/>
    <x v="319"/>
    <x v="3"/>
    <x v="319"/>
    <x v="3"/>
  </r>
  <r>
    <x v="2325"/>
    <x v="64"/>
    <x v="1"/>
    <s v="No"/>
    <x v="1"/>
    <x v="319"/>
    <x v="3"/>
    <x v="319"/>
    <x v="3"/>
  </r>
  <r>
    <x v="2326"/>
    <x v="64"/>
    <x v="1"/>
    <s v="No"/>
    <x v="1"/>
    <x v="319"/>
    <x v="3"/>
    <x v="319"/>
    <x v="3"/>
  </r>
  <r>
    <x v="2327"/>
    <x v="64"/>
    <x v="1"/>
    <s v="No"/>
    <x v="1"/>
    <x v="319"/>
    <x v="3"/>
    <x v="319"/>
    <x v="3"/>
  </r>
  <r>
    <x v="2328"/>
    <x v="64"/>
    <x v="1"/>
    <s v="No"/>
    <x v="1"/>
    <x v="319"/>
    <x v="3"/>
    <x v="319"/>
    <x v="3"/>
  </r>
  <r>
    <x v="2329"/>
    <x v="64"/>
    <x v="1"/>
    <s v="No"/>
    <x v="1"/>
    <x v="319"/>
    <x v="3"/>
    <x v="319"/>
    <x v="3"/>
  </r>
  <r>
    <x v="2330"/>
    <x v="64"/>
    <x v="1"/>
    <s v="No"/>
    <x v="1"/>
    <x v="319"/>
    <x v="3"/>
    <x v="319"/>
    <x v="3"/>
  </r>
  <r>
    <x v="2331"/>
    <x v="64"/>
    <x v="1"/>
    <s v="No"/>
    <x v="1"/>
    <x v="319"/>
    <x v="3"/>
    <x v="319"/>
    <x v="3"/>
  </r>
  <r>
    <x v="2332"/>
    <x v="64"/>
    <x v="1"/>
    <s v="No"/>
    <x v="1"/>
    <x v="319"/>
    <x v="3"/>
    <x v="319"/>
    <x v="3"/>
  </r>
  <r>
    <x v="2333"/>
    <x v="64"/>
    <x v="1"/>
    <s v="No"/>
    <x v="1"/>
    <x v="319"/>
    <x v="3"/>
    <x v="319"/>
    <x v="3"/>
  </r>
  <r>
    <x v="2334"/>
    <x v="64"/>
    <x v="1"/>
    <s v="No"/>
    <x v="1"/>
    <x v="319"/>
    <x v="3"/>
    <x v="319"/>
    <x v="3"/>
  </r>
  <r>
    <x v="2335"/>
    <x v="64"/>
    <x v="1"/>
    <s v="No"/>
    <x v="1"/>
    <x v="319"/>
    <x v="3"/>
    <x v="319"/>
    <x v="3"/>
  </r>
  <r>
    <x v="2336"/>
    <x v="64"/>
    <x v="1"/>
    <s v="No"/>
    <x v="1"/>
    <x v="319"/>
    <x v="3"/>
    <x v="319"/>
    <x v="3"/>
  </r>
  <r>
    <x v="2337"/>
    <x v="64"/>
    <x v="1"/>
    <s v="No"/>
    <x v="1"/>
    <x v="319"/>
    <x v="3"/>
    <x v="319"/>
    <x v="3"/>
  </r>
  <r>
    <x v="2338"/>
    <x v="64"/>
    <x v="1"/>
    <s v="No"/>
    <x v="1"/>
    <x v="319"/>
    <x v="3"/>
    <x v="319"/>
    <x v="3"/>
  </r>
  <r>
    <x v="2339"/>
    <x v="64"/>
    <x v="1"/>
    <s v="No"/>
    <x v="1"/>
    <x v="319"/>
    <x v="3"/>
    <x v="319"/>
    <x v="3"/>
  </r>
  <r>
    <x v="2340"/>
    <x v="64"/>
    <x v="1"/>
    <s v="No"/>
    <x v="1"/>
    <x v="319"/>
    <x v="3"/>
    <x v="319"/>
    <x v="3"/>
  </r>
  <r>
    <x v="2341"/>
    <x v="64"/>
    <x v="1"/>
    <s v="No"/>
    <x v="1"/>
    <x v="319"/>
    <x v="3"/>
    <x v="319"/>
    <x v="3"/>
  </r>
  <r>
    <x v="2342"/>
    <x v="64"/>
    <x v="1"/>
    <s v="No"/>
    <x v="1"/>
    <x v="319"/>
    <x v="3"/>
    <x v="319"/>
    <x v="3"/>
  </r>
  <r>
    <x v="2343"/>
    <x v="64"/>
    <x v="1"/>
    <s v="No"/>
    <x v="1"/>
    <x v="319"/>
    <x v="3"/>
    <x v="319"/>
    <x v="3"/>
  </r>
  <r>
    <x v="2344"/>
    <x v="64"/>
    <x v="1"/>
    <s v="No"/>
    <x v="1"/>
    <x v="319"/>
    <x v="3"/>
    <x v="319"/>
    <x v="3"/>
  </r>
  <r>
    <x v="2345"/>
    <x v="64"/>
    <x v="1"/>
    <s v="No"/>
    <x v="1"/>
    <x v="319"/>
    <x v="3"/>
    <x v="319"/>
    <x v="3"/>
  </r>
  <r>
    <x v="2346"/>
    <x v="64"/>
    <x v="1"/>
    <s v="No"/>
    <x v="1"/>
    <x v="319"/>
    <x v="3"/>
    <x v="319"/>
    <x v="3"/>
  </r>
  <r>
    <x v="2347"/>
    <x v="64"/>
    <x v="1"/>
    <s v="No"/>
    <x v="1"/>
    <x v="319"/>
    <x v="3"/>
    <x v="319"/>
    <x v="3"/>
  </r>
  <r>
    <x v="2348"/>
    <x v="64"/>
    <x v="1"/>
    <s v="No"/>
    <x v="1"/>
    <x v="319"/>
    <x v="3"/>
    <x v="319"/>
    <x v="3"/>
  </r>
  <r>
    <x v="2349"/>
    <x v="64"/>
    <x v="1"/>
    <s v="No"/>
    <x v="1"/>
    <x v="319"/>
    <x v="3"/>
    <x v="319"/>
    <x v="3"/>
  </r>
  <r>
    <x v="2350"/>
    <x v="64"/>
    <x v="1"/>
    <s v="No"/>
    <x v="1"/>
    <x v="319"/>
    <x v="3"/>
    <x v="319"/>
    <x v="3"/>
  </r>
  <r>
    <x v="2351"/>
    <x v="64"/>
    <x v="1"/>
    <s v="No"/>
    <x v="1"/>
    <x v="319"/>
    <x v="3"/>
    <x v="319"/>
    <x v="3"/>
  </r>
  <r>
    <x v="2352"/>
    <x v="64"/>
    <x v="1"/>
    <s v="No"/>
    <x v="1"/>
    <x v="319"/>
    <x v="3"/>
    <x v="319"/>
    <x v="3"/>
  </r>
  <r>
    <x v="2353"/>
    <x v="64"/>
    <x v="1"/>
    <s v="No"/>
    <x v="1"/>
    <x v="319"/>
    <x v="3"/>
    <x v="319"/>
    <x v="3"/>
  </r>
  <r>
    <x v="2354"/>
    <x v="64"/>
    <x v="1"/>
    <s v="No"/>
    <x v="1"/>
    <x v="319"/>
    <x v="3"/>
    <x v="319"/>
    <x v="3"/>
  </r>
  <r>
    <x v="2355"/>
    <x v="64"/>
    <x v="1"/>
    <s v="No"/>
    <x v="1"/>
    <x v="319"/>
    <x v="3"/>
    <x v="319"/>
    <x v="3"/>
  </r>
  <r>
    <x v="2356"/>
    <x v="64"/>
    <x v="1"/>
    <s v="No"/>
    <x v="1"/>
    <x v="319"/>
    <x v="3"/>
    <x v="319"/>
    <x v="3"/>
  </r>
  <r>
    <x v="2357"/>
    <x v="64"/>
    <x v="1"/>
    <s v="No"/>
    <x v="1"/>
    <x v="319"/>
    <x v="3"/>
    <x v="319"/>
    <x v="3"/>
  </r>
  <r>
    <x v="2358"/>
    <x v="64"/>
    <x v="1"/>
    <s v="No"/>
    <x v="1"/>
    <x v="319"/>
    <x v="3"/>
    <x v="319"/>
    <x v="3"/>
  </r>
  <r>
    <x v="2359"/>
    <x v="64"/>
    <x v="1"/>
    <s v="No"/>
    <x v="1"/>
    <x v="319"/>
    <x v="3"/>
    <x v="319"/>
    <x v="3"/>
  </r>
  <r>
    <x v="2360"/>
    <x v="64"/>
    <x v="1"/>
    <s v="No"/>
    <x v="1"/>
    <x v="319"/>
    <x v="3"/>
    <x v="319"/>
    <x v="3"/>
  </r>
  <r>
    <x v="2361"/>
    <x v="64"/>
    <x v="1"/>
    <s v="No"/>
    <x v="1"/>
    <x v="319"/>
    <x v="3"/>
    <x v="319"/>
    <x v="3"/>
  </r>
  <r>
    <x v="2362"/>
    <x v="64"/>
    <x v="1"/>
    <s v="No"/>
    <x v="1"/>
    <x v="319"/>
    <x v="3"/>
    <x v="319"/>
    <x v="3"/>
  </r>
  <r>
    <x v="2363"/>
    <x v="64"/>
    <x v="1"/>
    <s v="No"/>
    <x v="1"/>
    <x v="319"/>
    <x v="3"/>
    <x v="319"/>
    <x v="3"/>
  </r>
  <r>
    <x v="2364"/>
    <x v="64"/>
    <x v="1"/>
    <s v="No"/>
    <x v="1"/>
    <x v="319"/>
    <x v="3"/>
    <x v="319"/>
    <x v="3"/>
  </r>
  <r>
    <x v="2365"/>
    <x v="64"/>
    <x v="1"/>
    <s v="No"/>
    <x v="1"/>
    <x v="319"/>
    <x v="3"/>
    <x v="319"/>
    <x v="3"/>
  </r>
  <r>
    <x v="2366"/>
    <x v="64"/>
    <x v="1"/>
    <s v="No"/>
    <x v="1"/>
    <x v="319"/>
    <x v="3"/>
    <x v="319"/>
    <x v="3"/>
  </r>
  <r>
    <x v="2367"/>
    <x v="64"/>
    <x v="1"/>
    <s v="No"/>
    <x v="1"/>
    <x v="319"/>
    <x v="3"/>
    <x v="319"/>
    <x v="3"/>
  </r>
  <r>
    <x v="2368"/>
    <x v="64"/>
    <x v="1"/>
    <s v="No"/>
    <x v="1"/>
    <x v="319"/>
    <x v="3"/>
    <x v="319"/>
    <x v="3"/>
  </r>
  <r>
    <x v="2369"/>
    <x v="64"/>
    <x v="1"/>
    <s v="No"/>
    <x v="1"/>
    <x v="319"/>
    <x v="3"/>
    <x v="319"/>
    <x v="3"/>
  </r>
  <r>
    <x v="2370"/>
    <x v="64"/>
    <x v="1"/>
    <s v="No"/>
    <x v="1"/>
    <x v="319"/>
    <x v="3"/>
    <x v="319"/>
    <x v="3"/>
  </r>
  <r>
    <x v="2371"/>
    <x v="64"/>
    <x v="1"/>
    <s v="No"/>
    <x v="1"/>
    <x v="319"/>
    <x v="3"/>
    <x v="319"/>
    <x v="3"/>
  </r>
  <r>
    <x v="2372"/>
    <x v="64"/>
    <x v="1"/>
    <s v="No"/>
    <x v="1"/>
    <x v="319"/>
    <x v="3"/>
    <x v="319"/>
    <x v="3"/>
  </r>
  <r>
    <x v="2373"/>
    <x v="64"/>
    <x v="1"/>
    <s v="No"/>
    <x v="1"/>
    <x v="319"/>
    <x v="3"/>
    <x v="319"/>
    <x v="3"/>
  </r>
  <r>
    <x v="2374"/>
    <x v="64"/>
    <x v="1"/>
    <s v="No"/>
    <x v="1"/>
    <x v="319"/>
    <x v="3"/>
    <x v="319"/>
    <x v="3"/>
  </r>
  <r>
    <x v="2375"/>
    <x v="64"/>
    <x v="1"/>
    <s v="No"/>
    <x v="1"/>
    <x v="319"/>
    <x v="3"/>
    <x v="319"/>
    <x v="3"/>
  </r>
  <r>
    <x v="2376"/>
    <x v="64"/>
    <x v="1"/>
    <s v="No"/>
    <x v="1"/>
    <x v="319"/>
    <x v="3"/>
    <x v="319"/>
    <x v="3"/>
  </r>
  <r>
    <x v="2377"/>
    <x v="64"/>
    <x v="1"/>
    <s v="No"/>
    <x v="1"/>
    <x v="319"/>
    <x v="3"/>
    <x v="319"/>
    <x v="3"/>
  </r>
  <r>
    <x v="2378"/>
    <x v="64"/>
    <x v="1"/>
    <s v="No"/>
    <x v="1"/>
    <x v="319"/>
    <x v="3"/>
    <x v="319"/>
    <x v="3"/>
  </r>
  <r>
    <x v="2379"/>
    <x v="64"/>
    <x v="1"/>
    <s v="No"/>
    <x v="1"/>
    <x v="319"/>
    <x v="3"/>
    <x v="319"/>
    <x v="3"/>
  </r>
  <r>
    <x v="2380"/>
    <x v="64"/>
    <x v="1"/>
    <s v="No"/>
    <x v="1"/>
    <x v="319"/>
    <x v="3"/>
    <x v="319"/>
    <x v="3"/>
  </r>
  <r>
    <x v="2381"/>
    <x v="64"/>
    <x v="1"/>
    <s v="No"/>
    <x v="1"/>
    <x v="319"/>
    <x v="3"/>
    <x v="319"/>
    <x v="3"/>
  </r>
  <r>
    <x v="2382"/>
    <x v="64"/>
    <x v="1"/>
    <s v="No"/>
    <x v="1"/>
    <x v="319"/>
    <x v="3"/>
    <x v="319"/>
    <x v="3"/>
  </r>
  <r>
    <x v="2383"/>
    <x v="64"/>
    <x v="1"/>
    <s v="No"/>
    <x v="1"/>
    <x v="319"/>
    <x v="3"/>
    <x v="319"/>
    <x v="3"/>
  </r>
  <r>
    <x v="2384"/>
    <x v="64"/>
    <x v="1"/>
    <s v="No"/>
    <x v="1"/>
    <x v="319"/>
    <x v="3"/>
    <x v="319"/>
    <x v="3"/>
  </r>
  <r>
    <x v="2385"/>
    <x v="64"/>
    <x v="1"/>
    <s v="No"/>
    <x v="1"/>
    <x v="319"/>
    <x v="3"/>
    <x v="319"/>
    <x v="3"/>
  </r>
  <r>
    <x v="2386"/>
    <x v="64"/>
    <x v="1"/>
    <s v="No"/>
    <x v="1"/>
    <x v="319"/>
    <x v="3"/>
    <x v="319"/>
    <x v="3"/>
  </r>
  <r>
    <x v="2387"/>
    <x v="64"/>
    <x v="1"/>
    <s v="No"/>
    <x v="1"/>
    <x v="319"/>
    <x v="3"/>
    <x v="319"/>
    <x v="3"/>
  </r>
  <r>
    <x v="2388"/>
    <x v="64"/>
    <x v="1"/>
    <s v="No"/>
    <x v="1"/>
    <x v="319"/>
    <x v="3"/>
    <x v="319"/>
    <x v="3"/>
  </r>
  <r>
    <x v="2389"/>
    <x v="64"/>
    <x v="1"/>
    <s v="No"/>
    <x v="1"/>
    <x v="319"/>
    <x v="3"/>
    <x v="319"/>
    <x v="3"/>
  </r>
  <r>
    <x v="2390"/>
    <x v="64"/>
    <x v="1"/>
    <s v="No"/>
    <x v="1"/>
    <x v="319"/>
    <x v="3"/>
    <x v="319"/>
    <x v="3"/>
  </r>
  <r>
    <x v="2391"/>
    <x v="64"/>
    <x v="1"/>
    <s v="No"/>
    <x v="1"/>
    <x v="319"/>
    <x v="3"/>
    <x v="319"/>
    <x v="3"/>
  </r>
  <r>
    <x v="2392"/>
    <x v="64"/>
    <x v="1"/>
    <s v="No"/>
    <x v="1"/>
    <x v="319"/>
    <x v="3"/>
    <x v="319"/>
    <x v="3"/>
  </r>
  <r>
    <x v="2393"/>
    <x v="64"/>
    <x v="1"/>
    <s v="No"/>
    <x v="1"/>
    <x v="319"/>
    <x v="3"/>
    <x v="319"/>
    <x v="3"/>
  </r>
  <r>
    <x v="2394"/>
    <x v="64"/>
    <x v="1"/>
    <s v="No"/>
    <x v="1"/>
    <x v="319"/>
    <x v="3"/>
    <x v="319"/>
    <x v="3"/>
  </r>
  <r>
    <x v="2395"/>
    <x v="64"/>
    <x v="1"/>
    <s v="No"/>
    <x v="1"/>
    <x v="319"/>
    <x v="3"/>
    <x v="319"/>
    <x v="3"/>
  </r>
  <r>
    <x v="2396"/>
    <x v="64"/>
    <x v="1"/>
    <s v="No"/>
    <x v="1"/>
    <x v="319"/>
    <x v="3"/>
    <x v="319"/>
    <x v="3"/>
  </r>
  <r>
    <x v="2397"/>
    <x v="64"/>
    <x v="1"/>
    <s v="No"/>
    <x v="1"/>
    <x v="319"/>
    <x v="3"/>
    <x v="319"/>
    <x v="3"/>
  </r>
  <r>
    <x v="2398"/>
    <x v="64"/>
    <x v="1"/>
    <s v="No"/>
    <x v="1"/>
    <x v="319"/>
    <x v="3"/>
    <x v="319"/>
    <x v="3"/>
  </r>
  <r>
    <x v="2399"/>
    <x v="64"/>
    <x v="1"/>
    <s v="No"/>
    <x v="1"/>
    <x v="319"/>
    <x v="3"/>
    <x v="319"/>
    <x v="3"/>
  </r>
  <r>
    <x v="2400"/>
    <x v="64"/>
    <x v="1"/>
    <s v="No"/>
    <x v="1"/>
    <x v="319"/>
    <x v="3"/>
    <x v="319"/>
    <x v="3"/>
  </r>
  <r>
    <x v="2401"/>
    <x v="64"/>
    <x v="1"/>
    <s v="No"/>
    <x v="1"/>
    <x v="319"/>
    <x v="3"/>
    <x v="319"/>
    <x v="3"/>
  </r>
  <r>
    <x v="2402"/>
    <x v="64"/>
    <x v="1"/>
    <s v="No"/>
    <x v="1"/>
    <x v="319"/>
    <x v="3"/>
    <x v="319"/>
    <x v="3"/>
  </r>
  <r>
    <x v="2403"/>
    <x v="64"/>
    <x v="1"/>
    <s v="No"/>
    <x v="1"/>
    <x v="319"/>
    <x v="3"/>
    <x v="319"/>
    <x v="3"/>
  </r>
  <r>
    <x v="2404"/>
    <x v="64"/>
    <x v="1"/>
    <s v="No"/>
    <x v="1"/>
    <x v="319"/>
    <x v="3"/>
    <x v="319"/>
    <x v="3"/>
  </r>
  <r>
    <x v="2405"/>
    <x v="64"/>
    <x v="1"/>
    <s v="No"/>
    <x v="1"/>
    <x v="319"/>
    <x v="3"/>
    <x v="319"/>
    <x v="3"/>
  </r>
  <r>
    <x v="2406"/>
    <x v="64"/>
    <x v="1"/>
    <s v="No"/>
    <x v="1"/>
    <x v="319"/>
    <x v="3"/>
    <x v="319"/>
    <x v="3"/>
  </r>
  <r>
    <x v="2407"/>
    <x v="64"/>
    <x v="1"/>
    <s v="No"/>
    <x v="1"/>
    <x v="319"/>
    <x v="3"/>
    <x v="319"/>
    <x v="3"/>
  </r>
  <r>
    <x v="2408"/>
    <x v="64"/>
    <x v="1"/>
    <s v="No"/>
    <x v="1"/>
    <x v="319"/>
    <x v="3"/>
    <x v="319"/>
    <x v="3"/>
  </r>
  <r>
    <x v="2409"/>
    <x v="64"/>
    <x v="1"/>
    <s v="No"/>
    <x v="1"/>
    <x v="319"/>
    <x v="3"/>
    <x v="319"/>
    <x v="3"/>
  </r>
  <r>
    <x v="2410"/>
    <x v="64"/>
    <x v="1"/>
    <s v="No"/>
    <x v="1"/>
    <x v="319"/>
    <x v="3"/>
    <x v="319"/>
    <x v="3"/>
  </r>
  <r>
    <x v="2411"/>
    <x v="64"/>
    <x v="1"/>
    <s v="No"/>
    <x v="1"/>
    <x v="319"/>
    <x v="3"/>
    <x v="319"/>
    <x v="3"/>
  </r>
  <r>
    <x v="2412"/>
    <x v="64"/>
    <x v="1"/>
    <s v="No"/>
    <x v="1"/>
    <x v="319"/>
    <x v="3"/>
    <x v="319"/>
    <x v="3"/>
  </r>
  <r>
    <x v="2413"/>
    <x v="64"/>
    <x v="1"/>
    <s v="No"/>
    <x v="1"/>
    <x v="319"/>
    <x v="3"/>
    <x v="319"/>
    <x v="3"/>
  </r>
  <r>
    <x v="2414"/>
    <x v="64"/>
    <x v="1"/>
    <s v="No"/>
    <x v="1"/>
    <x v="319"/>
    <x v="3"/>
    <x v="319"/>
    <x v="3"/>
  </r>
  <r>
    <x v="2415"/>
    <x v="64"/>
    <x v="1"/>
    <s v="No"/>
    <x v="1"/>
    <x v="319"/>
    <x v="3"/>
    <x v="319"/>
    <x v="3"/>
  </r>
  <r>
    <x v="2416"/>
    <x v="64"/>
    <x v="1"/>
    <s v="No"/>
    <x v="1"/>
    <x v="319"/>
    <x v="3"/>
    <x v="319"/>
    <x v="3"/>
  </r>
  <r>
    <x v="2417"/>
    <x v="64"/>
    <x v="1"/>
    <s v="No"/>
    <x v="1"/>
    <x v="319"/>
    <x v="3"/>
    <x v="319"/>
    <x v="3"/>
  </r>
  <r>
    <x v="2418"/>
    <x v="64"/>
    <x v="1"/>
    <s v="No"/>
    <x v="1"/>
    <x v="319"/>
    <x v="3"/>
    <x v="319"/>
    <x v="3"/>
  </r>
  <r>
    <x v="2419"/>
    <x v="64"/>
    <x v="1"/>
    <s v="No"/>
    <x v="1"/>
    <x v="319"/>
    <x v="3"/>
    <x v="319"/>
    <x v="3"/>
  </r>
  <r>
    <x v="2420"/>
    <x v="64"/>
    <x v="1"/>
    <s v="No"/>
    <x v="1"/>
    <x v="319"/>
    <x v="3"/>
    <x v="319"/>
    <x v="3"/>
  </r>
  <r>
    <x v="2421"/>
    <x v="64"/>
    <x v="1"/>
    <s v="No"/>
    <x v="1"/>
    <x v="319"/>
    <x v="3"/>
    <x v="319"/>
    <x v="3"/>
  </r>
  <r>
    <x v="2422"/>
    <x v="64"/>
    <x v="1"/>
    <s v="No"/>
    <x v="1"/>
    <x v="319"/>
    <x v="3"/>
    <x v="319"/>
    <x v="3"/>
  </r>
  <r>
    <x v="2423"/>
    <x v="64"/>
    <x v="1"/>
    <s v="No"/>
    <x v="1"/>
    <x v="319"/>
    <x v="3"/>
    <x v="319"/>
    <x v="3"/>
  </r>
  <r>
    <x v="2424"/>
    <x v="64"/>
    <x v="1"/>
    <s v="No"/>
    <x v="1"/>
    <x v="319"/>
    <x v="3"/>
    <x v="319"/>
    <x v="3"/>
  </r>
  <r>
    <x v="2425"/>
    <x v="64"/>
    <x v="1"/>
    <s v="No"/>
    <x v="1"/>
    <x v="319"/>
    <x v="3"/>
    <x v="319"/>
    <x v="3"/>
  </r>
  <r>
    <x v="2426"/>
    <x v="64"/>
    <x v="1"/>
    <s v="No"/>
    <x v="1"/>
    <x v="319"/>
    <x v="3"/>
    <x v="319"/>
    <x v="3"/>
  </r>
  <r>
    <x v="2427"/>
    <x v="64"/>
    <x v="1"/>
    <s v="No"/>
    <x v="1"/>
    <x v="319"/>
    <x v="3"/>
    <x v="319"/>
    <x v="3"/>
  </r>
  <r>
    <x v="2428"/>
    <x v="64"/>
    <x v="1"/>
    <s v="No"/>
    <x v="1"/>
    <x v="319"/>
    <x v="3"/>
    <x v="319"/>
    <x v="3"/>
  </r>
  <r>
    <x v="2429"/>
    <x v="64"/>
    <x v="1"/>
    <s v="No"/>
    <x v="1"/>
    <x v="319"/>
    <x v="3"/>
    <x v="319"/>
    <x v="3"/>
  </r>
  <r>
    <x v="2430"/>
    <x v="64"/>
    <x v="1"/>
    <s v="No"/>
    <x v="1"/>
    <x v="319"/>
    <x v="3"/>
    <x v="319"/>
    <x v="3"/>
  </r>
  <r>
    <x v="2431"/>
    <x v="64"/>
    <x v="1"/>
    <s v="No"/>
    <x v="1"/>
    <x v="319"/>
    <x v="3"/>
    <x v="319"/>
    <x v="3"/>
  </r>
  <r>
    <x v="2432"/>
    <x v="64"/>
    <x v="1"/>
    <s v="No"/>
    <x v="1"/>
    <x v="319"/>
    <x v="3"/>
    <x v="319"/>
    <x v="3"/>
  </r>
  <r>
    <x v="2433"/>
    <x v="64"/>
    <x v="1"/>
    <s v="No"/>
    <x v="1"/>
    <x v="319"/>
    <x v="3"/>
    <x v="319"/>
    <x v="3"/>
  </r>
  <r>
    <x v="2434"/>
    <x v="64"/>
    <x v="1"/>
    <s v="No"/>
    <x v="1"/>
    <x v="319"/>
    <x v="3"/>
    <x v="319"/>
    <x v="3"/>
  </r>
  <r>
    <x v="2435"/>
    <x v="64"/>
    <x v="1"/>
    <s v="No"/>
    <x v="1"/>
    <x v="319"/>
    <x v="3"/>
    <x v="319"/>
    <x v="3"/>
  </r>
  <r>
    <x v="2436"/>
    <x v="64"/>
    <x v="1"/>
    <s v="No"/>
    <x v="1"/>
    <x v="319"/>
    <x v="3"/>
    <x v="319"/>
    <x v="3"/>
  </r>
  <r>
    <x v="2437"/>
    <x v="64"/>
    <x v="1"/>
    <s v="No"/>
    <x v="1"/>
    <x v="319"/>
    <x v="3"/>
    <x v="319"/>
    <x v="3"/>
  </r>
  <r>
    <x v="2438"/>
    <x v="64"/>
    <x v="1"/>
    <s v="No"/>
    <x v="1"/>
    <x v="319"/>
    <x v="3"/>
    <x v="319"/>
    <x v="3"/>
  </r>
  <r>
    <x v="2439"/>
    <x v="64"/>
    <x v="1"/>
    <s v="No"/>
    <x v="1"/>
    <x v="319"/>
    <x v="3"/>
    <x v="319"/>
    <x v="3"/>
  </r>
  <r>
    <x v="2440"/>
    <x v="64"/>
    <x v="1"/>
    <s v="No"/>
    <x v="1"/>
    <x v="319"/>
    <x v="3"/>
    <x v="319"/>
    <x v="3"/>
  </r>
  <r>
    <x v="2441"/>
    <x v="64"/>
    <x v="1"/>
    <s v="No"/>
    <x v="1"/>
    <x v="319"/>
    <x v="3"/>
    <x v="319"/>
    <x v="3"/>
  </r>
  <r>
    <x v="2442"/>
    <x v="64"/>
    <x v="1"/>
    <s v="No"/>
    <x v="1"/>
    <x v="319"/>
    <x v="3"/>
    <x v="319"/>
    <x v="3"/>
  </r>
  <r>
    <x v="2443"/>
    <x v="64"/>
    <x v="1"/>
    <s v="No"/>
    <x v="1"/>
    <x v="319"/>
    <x v="3"/>
    <x v="319"/>
    <x v="3"/>
  </r>
  <r>
    <x v="2444"/>
    <x v="64"/>
    <x v="1"/>
    <s v="No"/>
    <x v="1"/>
    <x v="319"/>
    <x v="3"/>
    <x v="319"/>
    <x v="3"/>
  </r>
  <r>
    <x v="2445"/>
    <x v="64"/>
    <x v="1"/>
    <s v="No"/>
    <x v="1"/>
    <x v="319"/>
    <x v="3"/>
    <x v="319"/>
    <x v="3"/>
  </r>
  <r>
    <x v="2446"/>
    <x v="64"/>
    <x v="1"/>
    <s v="No"/>
    <x v="1"/>
    <x v="319"/>
    <x v="3"/>
    <x v="319"/>
    <x v="3"/>
  </r>
  <r>
    <x v="2447"/>
    <x v="64"/>
    <x v="1"/>
    <s v="No"/>
    <x v="1"/>
    <x v="319"/>
    <x v="3"/>
    <x v="319"/>
    <x v="3"/>
  </r>
  <r>
    <x v="2448"/>
    <x v="64"/>
    <x v="1"/>
    <s v="No"/>
    <x v="1"/>
    <x v="319"/>
    <x v="3"/>
    <x v="319"/>
    <x v="3"/>
  </r>
  <r>
    <x v="2449"/>
    <x v="64"/>
    <x v="1"/>
    <s v="No"/>
    <x v="1"/>
    <x v="319"/>
    <x v="3"/>
    <x v="319"/>
    <x v="3"/>
  </r>
  <r>
    <x v="2450"/>
    <x v="64"/>
    <x v="1"/>
    <s v="No"/>
    <x v="1"/>
    <x v="319"/>
    <x v="3"/>
    <x v="319"/>
    <x v="3"/>
  </r>
  <r>
    <x v="2451"/>
    <x v="64"/>
    <x v="1"/>
    <s v="No"/>
    <x v="1"/>
    <x v="319"/>
    <x v="3"/>
    <x v="319"/>
    <x v="3"/>
  </r>
  <r>
    <x v="2452"/>
    <x v="64"/>
    <x v="1"/>
    <s v="No"/>
    <x v="1"/>
    <x v="319"/>
    <x v="3"/>
    <x v="319"/>
    <x v="3"/>
  </r>
  <r>
    <x v="2453"/>
    <x v="64"/>
    <x v="1"/>
    <s v="No"/>
    <x v="1"/>
    <x v="319"/>
    <x v="3"/>
    <x v="319"/>
    <x v="3"/>
  </r>
  <r>
    <x v="2454"/>
    <x v="64"/>
    <x v="1"/>
    <s v="No"/>
    <x v="1"/>
    <x v="319"/>
    <x v="3"/>
    <x v="319"/>
    <x v="3"/>
  </r>
  <r>
    <x v="2455"/>
    <x v="64"/>
    <x v="1"/>
    <s v="No"/>
    <x v="1"/>
    <x v="319"/>
    <x v="3"/>
    <x v="319"/>
    <x v="3"/>
  </r>
  <r>
    <x v="2456"/>
    <x v="64"/>
    <x v="1"/>
    <s v="No"/>
    <x v="1"/>
    <x v="319"/>
    <x v="3"/>
    <x v="319"/>
    <x v="3"/>
  </r>
  <r>
    <x v="2457"/>
    <x v="64"/>
    <x v="1"/>
    <s v="No"/>
    <x v="1"/>
    <x v="319"/>
    <x v="3"/>
    <x v="319"/>
    <x v="3"/>
  </r>
  <r>
    <x v="2458"/>
    <x v="64"/>
    <x v="1"/>
    <s v="No"/>
    <x v="1"/>
    <x v="319"/>
    <x v="3"/>
    <x v="319"/>
    <x v="3"/>
  </r>
  <r>
    <x v="2459"/>
    <x v="64"/>
    <x v="1"/>
    <s v="No"/>
    <x v="1"/>
    <x v="319"/>
    <x v="3"/>
    <x v="319"/>
    <x v="3"/>
  </r>
  <r>
    <x v="2460"/>
    <x v="64"/>
    <x v="1"/>
    <s v="No"/>
    <x v="1"/>
    <x v="319"/>
    <x v="3"/>
    <x v="319"/>
    <x v="3"/>
  </r>
  <r>
    <x v="2461"/>
    <x v="64"/>
    <x v="1"/>
    <s v="No"/>
    <x v="1"/>
    <x v="319"/>
    <x v="3"/>
    <x v="319"/>
    <x v="3"/>
  </r>
  <r>
    <x v="2462"/>
    <x v="64"/>
    <x v="1"/>
    <s v="No"/>
    <x v="1"/>
    <x v="319"/>
    <x v="3"/>
    <x v="319"/>
    <x v="3"/>
  </r>
  <r>
    <x v="2463"/>
    <x v="64"/>
    <x v="1"/>
    <s v="No"/>
    <x v="1"/>
    <x v="319"/>
    <x v="3"/>
    <x v="319"/>
    <x v="3"/>
  </r>
  <r>
    <x v="2464"/>
    <x v="64"/>
    <x v="1"/>
    <s v="No"/>
    <x v="1"/>
    <x v="319"/>
    <x v="3"/>
    <x v="319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D1C0DB-3B5A-4C06-96EB-688E14E22D4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B4" firstHeaderRow="1" firstDataRow="1" firstDataCol="0"/>
  <pivotFields count="9">
    <pivotField dataField="1" numFmtI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ID PICA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B59315-5B71-4F6D-AE5B-DD4AFC523C2D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4:M9" firstHeaderRow="1" firstDataRow="1" firstDataCol="1"/>
  <pivotFields count="9">
    <pivotField numFmtId="1" showAll="0">
      <items count="2466">
        <item x="319"/>
        <item x="320"/>
        <item x="261"/>
        <item x="321"/>
        <item x="322"/>
        <item x="118"/>
        <item x="323"/>
        <item x="324"/>
        <item x="325"/>
        <item x="326"/>
        <item x="124"/>
        <item x="327"/>
        <item x="112"/>
        <item x="328"/>
        <item x="66"/>
        <item x="6"/>
        <item x="329"/>
        <item x="159"/>
        <item x="330"/>
        <item x="331"/>
        <item x="332"/>
        <item x="168"/>
        <item x="333"/>
        <item x="334"/>
        <item x="335"/>
        <item x="336"/>
        <item x="337"/>
        <item x="338"/>
        <item x="339"/>
        <item x="340"/>
        <item x="257"/>
        <item x="341"/>
        <item x="342"/>
        <item x="56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207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158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41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176"/>
        <item x="404"/>
        <item x="405"/>
        <item x="406"/>
        <item x="48"/>
        <item x="407"/>
        <item x="408"/>
        <item x="409"/>
        <item x="410"/>
        <item x="411"/>
        <item x="250"/>
        <item x="412"/>
        <item x="413"/>
        <item x="414"/>
        <item x="415"/>
        <item x="416"/>
        <item x="417"/>
        <item x="418"/>
        <item x="419"/>
        <item x="147"/>
        <item x="420"/>
        <item x="421"/>
        <item x="422"/>
        <item x="423"/>
        <item x="424"/>
        <item x="425"/>
        <item x="426"/>
        <item x="205"/>
        <item x="427"/>
        <item x="428"/>
        <item x="128"/>
        <item x="429"/>
        <item x="430"/>
        <item x="431"/>
        <item x="432"/>
        <item x="433"/>
        <item x="434"/>
        <item x="435"/>
        <item x="133"/>
        <item x="193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215"/>
        <item x="240"/>
        <item x="447"/>
        <item x="448"/>
        <item x="449"/>
        <item x="450"/>
        <item x="451"/>
        <item x="452"/>
        <item x="453"/>
        <item x="454"/>
        <item x="455"/>
        <item x="456"/>
        <item x="232"/>
        <item x="457"/>
        <item x="458"/>
        <item x="459"/>
        <item x="200"/>
        <item x="460"/>
        <item x="461"/>
        <item x="462"/>
        <item x="463"/>
        <item x="464"/>
        <item x="465"/>
        <item x="236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163"/>
        <item x="477"/>
        <item x="478"/>
        <item x="479"/>
        <item x="480"/>
        <item x="481"/>
        <item x="274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116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275"/>
        <item x="517"/>
        <item x="518"/>
        <item x="519"/>
        <item x="69"/>
        <item x="520"/>
        <item x="521"/>
        <item x="522"/>
        <item x="523"/>
        <item x="524"/>
        <item x="525"/>
        <item x="91"/>
        <item x="526"/>
        <item x="527"/>
        <item x="528"/>
        <item x="529"/>
        <item x="530"/>
        <item x="252"/>
        <item x="531"/>
        <item x="532"/>
        <item x="70"/>
        <item x="533"/>
        <item x="534"/>
        <item x="535"/>
        <item x="536"/>
        <item x="537"/>
        <item x="88"/>
        <item x="538"/>
        <item x="16"/>
        <item x="539"/>
        <item x="540"/>
        <item x="541"/>
        <item x="542"/>
        <item x="270"/>
        <item x="543"/>
        <item x="544"/>
        <item x="545"/>
        <item x="546"/>
        <item x="547"/>
        <item x="98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22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265"/>
        <item x="162"/>
        <item x="50"/>
        <item x="166"/>
        <item x="580"/>
        <item x="197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288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251"/>
        <item x="637"/>
        <item x="638"/>
        <item x="639"/>
        <item x="640"/>
        <item x="641"/>
        <item x="642"/>
        <item x="643"/>
        <item x="644"/>
        <item x="645"/>
        <item x="646"/>
        <item x="26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194"/>
        <item x="97"/>
        <item x="673"/>
        <item x="268"/>
        <item x="674"/>
        <item x="111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25"/>
        <item x="686"/>
        <item x="687"/>
        <item x="688"/>
        <item x="689"/>
        <item x="690"/>
        <item x="691"/>
        <item x="692"/>
        <item x="693"/>
        <item x="272"/>
        <item x="694"/>
        <item x="695"/>
        <item x="696"/>
        <item x="697"/>
        <item x="698"/>
        <item x="699"/>
        <item x="700"/>
        <item x="701"/>
        <item x="702"/>
        <item x="258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127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246"/>
        <item x="754"/>
        <item x="755"/>
        <item x="756"/>
        <item x="757"/>
        <item x="758"/>
        <item x="759"/>
        <item x="760"/>
        <item x="74"/>
        <item x="761"/>
        <item x="762"/>
        <item x="763"/>
        <item x="764"/>
        <item x="282"/>
        <item x="765"/>
        <item x="766"/>
        <item x="767"/>
        <item x="768"/>
        <item x="769"/>
        <item x="770"/>
        <item x="771"/>
        <item x="772"/>
        <item x="202"/>
        <item x="773"/>
        <item x="774"/>
        <item x="775"/>
        <item x="776"/>
        <item x="222"/>
        <item x="777"/>
        <item x="36"/>
        <item x="778"/>
        <item x="779"/>
        <item x="780"/>
        <item x="781"/>
        <item x="782"/>
        <item x="27"/>
        <item x="113"/>
        <item x="783"/>
        <item x="784"/>
        <item x="785"/>
        <item x="786"/>
        <item x="787"/>
        <item x="144"/>
        <item x="788"/>
        <item x="789"/>
        <item x="790"/>
        <item x="151"/>
        <item x="791"/>
        <item x="105"/>
        <item x="301"/>
        <item x="792"/>
        <item x="793"/>
        <item x="794"/>
        <item x="795"/>
        <item x="24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150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289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34"/>
        <item x="862"/>
        <item x="863"/>
        <item x="864"/>
        <item x="155"/>
        <item x="865"/>
        <item x="866"/>
        <item x="14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238"/>
        <item x="883"/>
        <item x="884"/>
        <item x="885"/>
        <item x="886"/>
        <item x="887"/>
        <item x="888"/>
        <item x="889"/>
        <item x="890"/>
        <item x="2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195"/>
        <item x="902"/>
        <item x="903"/>
        <item x="304"/>
        <item x="904"/>
        <item x="114"/>
        <item x="905"/>
        <item x="906"/>
        <item x="907"/>
        <item x="908"/>
        <item x="909"/>
        <item x="910"/>
        <item x="911"/>
        <item x="912"/>
        <item x="913"/>
        <item x="299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183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170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260"/>
        <item x="956"/>
        <item x="957"/>
        <item x="958"/>
        <item x="959"/>
        <item x="173"/>
        <item x="960"/>
        <item x="961"/>
        <item x="962"/>
        <item x="963"/>
        <item x="964"/>
        <item x="965"/>
        <item x="966"/>
        <item x="264"/>
        <item x="967"/>
        <item x="968"/>
        <item x="969"/>
        <item x="970"/>
        <item x="971"/>
        <item x="972"/>
        <item x="278"/>
        <item x="973"/>
        <item x="974"/>
        <item x="217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302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46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267"/>
        <item x="102"/>
        <item x="1037"/>
        <item x="1038"/>
        <item x="1039"/>
        <item x="1040"/>
        <item x="1041"/>
        <item x="104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253"/>
        <item x="191"/>
        <item x="229"/>
        <item x="1054"/>
        <item x="244"/>
        <item x="1055"/>
        <item x="1056"/>
        <item x="33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98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309"/>
        <item x="1090"/>
        <item x="1091"/>
        <item x="1092"/>
        <item x="1093"/>
        <item x="1094"/>
        <item x="1095"/>
        <item x="1096"/>
        <item x="1097"/>
        <item x="1098"/>
        <item x="1099"/>
        <item x="62"/>
        <item x="1100"/>
        <item x="1101"/>
        <item x="1102"/>
        <item x="1103"/>
        <item x="1104"/>
        <item x="1105"/>
        <item x="54"/>
        <item x="284"/>
        <item x="1106"/>
        <item x="1107"/>
        <item x="1108"/>
        <item x="96"/>
        <item x="1109"/>
        <item x="1110"/>
        <item x="1111"/>
        <item x="209"/>
        <item x="199"/>
        <item x="110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226"/>
        <item x="1129"/>
        <item x="1130"/>
        <item x="1131"/>
        <item x="1132"/>
        <item x="29"/>
        <item x="1133"/>
        <item x="1134"/>
        <item x="1135"/>
        <item x="1136"/>
        <item x="1137"/>
        <item x="1138"/>
        <item x="1139"/>
        <item x="1140"/>
        <item x="1141"/>
        <item x="1142"/>
        <item x="181"/>
        <item x="286"/>
        <item x="1143"/>
        <item x="247"/>
        <item x="1144"/>
        <item x="1145"/>
        <item x="1146"/>
        <item x="1147"/>
        <item x="1148"/>
        <item x="1149"/>
        <item x="1150"/>
        <item x="1151"/>
        <item x="17"/>
        <item x="1152"/>
        <item x="1153"/>
        <item x="1154"/>
        <item x="1155"/>
        <item x="242"/>
        <item x="1156"/>
        <item x="1157"/>
        <item x="1158"/>
        <item x="271"/>
        <item x="1159"/>
        <item x="1160"/>
        <item x="107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300"/>
        <item x="1172"/>
        <item x="1173"/>
        <item x="1174"/>
        <item x="1175"/>
        <item x="1176"/>
        <item x="255"/>
        <item x="214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311"/>
        <item x="1192"/>
        <item x="1193"/>
        <item x="1194"/>
        <item x="1195"/>
        <item x="1196"/>
        <item x="37"/>
        <item x="1197"/>
        <item x="1198"/>
        <item x="1199"/>
        <item x="1200"/>
        <item x="1201"/>
        <item x="51"/>
        <item x="1202"/>
        <item x="1203"/>
        <item x="184"/>
        <item x="1204"/>
        <item x="1205"/>
        <item x="1206"/>
        <item x="1207"/>
        <item x="1208"/>
        <item x="1209"/>
        <item x="1210"/>
        <item x="273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239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92"/>
        <item x="68"/>
        <item x="1265"/>
        <item x="283"/>
        <item x="1266"/>
        <item x="1267"/>
        <item x="1268"/>
        <item x="1269"/>
        <item x="1270"/>
        <item x="1271"/>
        <item x="1272"/>
        <item x="1273"/>
        <item x="89"/>
        <item x="1274"/>
        <item x="1275"/>
        <item x="1276"/>
        <item x="1277"/>
        <item x="1278"/>
        <item x="1279"/>
        <item x="7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220"/>
        <item x="1295"/>
        <item x="1296"/>
        <item x="203"/>
        <item x="1297"/>
        <item x="72"/>
        <item x="1298"/>
        <item x="1299"/>
        <item x="1300"/>
        <item x="1301"/>
        <item x="1302"/>
        <item x="1303"/>
        <item x="121"/>
        <item x="177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87"/>
        <item x="1331"/>
        <item x="1332"/>
        <item x="1333"/>
        <item x="1334"/>
        <item x="1335"/>
        <item x="303"/>
        <item x="269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294"/>
        <item x="1347"/>
        <item x="42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61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"/>
        <item x="1373"/>
        <item x="1374"/>
        <item x="143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64"/>
        <item x="1386"/>
        <item x="312"/>
        <item x="1387"/>
        <item x="1388"/>
        <item x="1389"/>
        <item x="1390"/>
        <item x="1391"/>
        <item x="1392"/>
        <item x="233"/>
        <item x="49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287"/>
        <item x="1410"/>
        <item x="1411"/>
        <item x="1412"/>
        <item x="1413"/>
        <item x="1414"/>
        <item x="1415"/>
        <item x="1416"/>
        <item x="108"/>
        <item x="1417"/>
        <item x="5"/>
        <item x="1418"/>
        <item x="11"/>
        <item x="1419"/>
        <item x="1420"/>
        <item x="167"/>
        <item x="262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30"/>
        <item x="67"/>
        <item x="1443"/>
        <item x="1444"/>
        <item x="1445"/>
        <item x="279"/>
        <item x="180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230"/>
        <item x="1460"/>
        <item x="1461"/>
        <item x="1462"/>
        <item x="316"/>
        <item x="211"/>
        <item x="87"/>
        <item x="154"/>
        <item x="1463"/>
        <item x="1464"/>
        <item x="1465"/>
        <item x="1466"/>
        <item x="120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90"/>
        <item x="57"/>
        <item x="1479"/>
        <item x="1480"/>
        <item x="1481"/>
        <item x="1482"/>
        <item x="1483"/>
        <item x="1484"/>
        <item x="1485"/>
        <item x="10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212"/>
        <item x="1497"/>
        <item x="1498"/>
        <item x="1499"/>
        <item x="1500"/>
        <item x="1501"/>
        <item x="26"/>
        <item x="1502"/>
        <item x="1503"/>
        <item x="1504"/>
        <item x="1505"/>
        <item x="1506"/>
        <item x="296"/>
        <item x="30"/>
        <item x="1507"/>
        <item x="179"/>
        <item x="1508"/>
        <item x="1509"/>
        <item x="9"/>
        <item x="1510"/>
        <item x="277"/>
        <item x="1511"/>
        <item x="1512"/>
        <item x="1513"/>
        <item x="1514"/>
        <item x="1515"/>
        <item x="1516"/>
        <item x="20"/>
        <item x="1517"/>
        <item x="1518"/>
        <item x="1519"/>
        <item x="1520"/>
        <item x="1521"/>
        <item x="1522"/>
        <item x="1523"/>
        <item x="1524"/>
        <item x="1525"/>
        <item x="7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297"/>
        <item x="1542"/>
        <item x="1543"/>
        <item x="1544"/>
        <item x="1545"/>
        <item x="1546"/>
        <item x="1547"/>
        <item x="1548"/>
        <item x="298"/>
        <item x="1549"/>
        <item x="1550"/>
        <item x="1551"/>
        <item x="1552"/>
        <item x="204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93"/>
        <item x="1564"/>
        <item x="1565"/>
        <item x="1566"/>
        <item x="153"/>
        <item x="1567"/>
        <item x="1568"/>
        <item x="1569"/>
        <item x="1570"/>
        <item x="1571"/>
        <item x="1572"/>
        <item x="243"/>
        <item x="1573"/>
        <item x="1574"/>
        <item x="1575"/>
        <item x="1576"/>
        <item x="1577"/>
        <item x="1578"/>
        <item x="1579"/>
        <item x="1580"/>
        <item x="43"/>
        <item x="1581"/>
        <item x="1582"/>
        <item x="1583"/>
        <item x="1584"/>
        <item x="291"/>
        <item x="1585"/>
        <item x="1586"/>
        <item x="259"/>
        <item x="1587"/>
        <item x="119"/>
        <item x="1588"/>
        <item x="1589"/>
        <item x="1590"/>
        <item x="1591"/>
        <item x="1592"/>
        <item x="1593"/>
        <item x="129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79"/>
        <item x="1615"/>
        <item x="1616"/>
        <item x="292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82"/>
        <item x="19"/>
        <item x="1630"/>
        <item x="1631"/>
        <item x="140"/>
        <item x="1632"/>
        <item x="1633"/>
        <item x="125"/>
        <item x="1634"/>
        <item x="1635"/>
        <item x="1636"/>
        <item x="1637"/>
        <item x="1638"/>
        <item x="1639"/>
        <item x="1640"/>
        <item x="1641"/>
        <item x="263"/>
        <item x="1642"/>
        <item x="1643"/>
        <item x="206"/>
        <item x="1644"/>
        <item x="1645"/>
        <item x="1646"/>
        <item x="293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216"/>
        <item x="1661"/>
        <item x="1662"/>
        <item x="1663"/>
        <item x="1664"/>
        <item x="295"/>
        <item x="1665"/>
        <item x="1666"/>
        <item x="115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57"/>
        <item x="1687"/>
        <item x="1688"/>
        <item x="1689"/>
        <item x="1690"/>
        <item x="1691"/>
        <item x="1692"/>
        <item x="1693"/>
        <item x="1694"/>
        <item x="1695"/>
        <item x="1696"/>
        <item x="227"/>
        <item x="1697"/>
        <item x="285"/>
        <item x="169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65"/>
        <item x="1709"/>
        <item x="310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0"/>
        <item x="1733"/>
        <item x="1734"/>
        <item x="1735"/>
        <item x="1736"/>
        <item x="1737"/>
        <item x="171"/>
        <item x="1738"/>
        <item x="1739"/>
        <item x="1740"/>
        <item x="1741"/>
        <item x="1742"/>
        <item x="1743"/>
        <item x="1744"/>
        <item x="1745"/>
        <item x="40"/>
        <item x="186"/>
        <item x="160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94"/>
        <item x="1779"/>
        <item x="1780"/>
        <item x="1781"/>
        <item x="1782"/>
        <item x="1783"/>
        <item x="1784"/>
        <item x="1785"/>
        <item x="1786"/>
        <item x="135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208"/>
        <item x="175"/>
        <item x="1801"/>
        <item x="1802"/>
        <item x="1803"/>
        <item x="1804"/>
        <item x="1805"/>
        <item x="131"/>
        <item x="1806"/>
        <item x="22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47"/>
        <item x="248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38"/>
        <item x="280"/>
        <item x="1841"/>
        <item x="1842"/>
        <item x="1843"/>
        <item x="142"/>
        <item x="1844"/>
        <item x="1845"/>
        <item x="53"/>
        <item x="1846"/>
        <item x="1847"/>
        <item x="1848"/>
        <item x="1849"/>
        <item x="1850"/>
        <item x="148"/>
        <item x="1851"/>
        <item x="1852"/>
        <item x="156"/>
        <item x="1853"/>
        <item x="1854"/>
        <item x="1855"/>
        <item x="1856"/>
        <item x="146"/>
        <item x="1857"/>
        <item x="241"/>
        <item x="1858"/>
        <item x="1859"/>
        <item x="1860"/>
        <item x="1861"/>
        <item x="1862"/>
        <item x="1863"/>
        <item x="1864"/>
        <item x="101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03"/>
        <item x="1893"/>
        <item x="1894"/>
        <item x="1895"/>
        <item x="1896"/>
        <item x="1897"/>
        <item x="1898"/>
        <item x="1899"/>
        <item x="1900"/>
        <item x="1901"/>
        <item x="213"/>
        <item x="1902"/>
        <item x="1903"/>
        <item x="1904"/>
        <item x="1905"/>
        <item x="1906"/>
        <item x="1907"/>
        <item x="1908"/>
        <item x="1909"/>
        <item x="256"/>
        <item x="1910"/>
        <item x="1911"/>
        <item x="106"/>
        <item x="1912"/>
        <item x="1913"/>
        <item x="1914"/>
        <item x="1915"/>
        <item x="1916"/>
        <item x="1917"/>
        <item x="315"/>
        <item x="1918"/>
        <item x="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318"/>
        <item x="1938"/>
        <item x="1939"/>
        <item x="1940"/>
        <item x="95"/>
        <item x="1941"/>
        <item x="1942"/>
        <item x="1943"/>
        <item x="1944"/>
        <item x="1945"/>
        <item x="1946"/>
        <item x="1947"/>
        <item x="1948"/>
        <item x="86"/>
        <item x="1949"/>
        <item x="1950"/>
        <item x="44"/>
        <item x="1951"/>
        <item x="1952"/>
        <item x="1953"/>
        <item x="1954"/>
        <item x="1955"/>
        <item x="1956"/>
        <item x="161"/>
        <item x="1957"/>
        <item x="60"/>
        <item x="1958"/>
        <item x="1959"/>
        <item x="1960"/>
        <item x="1961"/>
        <item x="1962"/>
        <item x="58"/>
        <item x="1963"/>
        <item x="189"/>
        <item x="1964"/>
        <item x="145"/>
        <item x="1965"/>
        <item x="21"/>
        <item x="308"/>
        <item x="1966"/>
        <item x="1967"/>
        <item x="1968"/>
        <item x="1969"/>
        <item x="63"/>
        <item x="1970"/>
        <item x="1971"/>
        <item x="1972"/>
        <item x="1973"/>
        <item x="1974"/>
        <item x="1975"/>
        <item x="290"/>
        <item x="1976"/>
        <item x="1977"/>
        <item x="1978"/>
        <item x="1979"/>
        <item x="1980"/>
        <item x="32"/>
        <item x="1981"/>
        <item x="71"/>
        <item x="1982"/>
        <item x="35"/>
        <item x="1983"/>
        <item x="1984"/>
        <item x="1985"/>
        <item x="1986"/>
        <item x="1987"/>
        <item x="1988"/>
        <item x="1989"/>
        <item x="1990"/>
        <item x="1991"/>
        <item x="84"/>
        <item x="1992"/>
        <item x="1993"/>
        <item x="80"/>
        <item x="1994"/>
        <item x="92"/>
        <item x="3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134"/>
        <item x="2017"/>
        <item x="2018"/>
        <item x="2019"/>
        <item x="2020"/>
        <item x="117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109"/>
        <item x="2032"/>
        <item x="2033"/>
        <item x="2034"/>
        <item x="15"/>
        <item x="2035"/>
        <item x="2036"/>
        <item x="2037"/>
        <item x="2038"/>
        <item x="2039"/>
        <item x="38"/>
        <item x="2040"/>
        <item x="2041"/>
        <item x="2042"/>
        <item x="2043"/>
        <item x="2044"/>
        <item x="83"/>
        <item x="76"/>
        <item x="2045"/>
        <item x="2046"/>
        <item x="64"/>
        <item x="2047"/>
        <item x="2048"/>
        <item x="2049"/>
        <item x="306"/>
        <item x="2050"/>
        <item x="2051"/>
        <item x="2052"/>
        <item x="2053"/>
        <item x="2054"/>
        <item x="2055"/>
        <item x="2056"/>
        <item x="2057"/>
        <item x="2058"/>
        <item x="2059"/>
        <item x="201"/>
        <item x="2060"/>
        <item x="2061"/>
        <item x="2062"/>
        <item x="24"/>
        <item x="2063"/>
        <item x="2064"/>
        <item x="2065"/>
        <item x="2066"/>
        <item x="314"/>
        <item x="2067"/>
        <item x="178"/>
        <item x="2068"/>
        <item x="2069"/>
        <item x="2070"/>
        <item x="2071"/>
        <item x="2072"/>
        <item x="152"/>
        <item x="2073"/>
        <item x="2074"/>
        <item x="2075"/>
        <item x="2076"/>
        <item x="81"/>
        <item x="235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122"/>
        <item x="2091"/>
        <item x="2092"/>
        <item x="2093"/>
        <item x="2094"/>
        <item x="2095"/>
        <item x="2096"/>
        <item x="2097"/>
        <item x="2098"/>
        <item x="2099"/>
        <item x="123"/>
        <item x="221"/>
        <item x="2100"/>
        <item x="2101"/>
        <item x="2102"/>
        <item x="2103"/>
        <item x="2104"/>
        <item x="2105"/>
        <item x="2106"/>
        <item x="2107"/>
        <item x="23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149"/>
        <item x="2135"/>
        <item x="2136"/>
        <item x="39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126"/>
        <item x="2164"/>
        <item x="90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45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54"/>
        <item x="2205"/>
        <item x="2206"/>
        <item x="19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174"/>
        <item x="2226"/>
        <item x="2227"/>
        <item x="141"/>
        <item x="2228"/>
        <item x="2229"/>
        <item x="2230"/>
        <item x="52"/>
        <item x="28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76"/>
        <item x="137"/>
        <item x="2250"/>
        <item x="2251"/>
        <item x="2252"/>
        <item x="2253"/>
        <item x="2254"/>
        <item x="2255"/>
        <item x="2256"/>
        <item x="99"/>
        <item x="2257"/>
        <item x="2258"/>
        <item x="73"/>
        <item x="2259"/>
        <item x="2260"/>
        <item x="2261"/>
        <item x="2262"/>
        <item x="100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81"/>
        <item x="2274"/>
        <item x="2275"/>
        <item x="2276"/>
        <item x="2277"/>
        <item x="2278"/>
        <item x="2279"/>
        <item x="2280"/>
        <item x="2281"/>
        <item x="225"/>
        <item x="2282"/>
        <item x="2283"/>
        <item x="2284"/>
        <item x="2285"/>
        <item x="218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317"/>
        <item x="2302"/>
        <item x="2303"/>
        <item x="2304"/>
        <item x="2305"/>
        <item x="307"/>
        <item x="2306"/>
        <item x="2307"/>
        <item x="2308"/>
        <item x="185"/>
        <item x="313"/>
        <item x="2309"/>
        <item x="305"/>
        <item x="2310"/>
        <item x="2311"/>
        <item x="2312"/>
        <item x="2313"/>
        <item x="2314"/>
        <item x="59"/>
        <item x="2315"/>
        <item x="4"/>
        <item x="2316"/>
        <item x="2317"/>
        <item x="2318"/>
        <item x="2319"/>
        <item x="31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49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139"/>
        <item x="2345"/>
        <item x="2346"/>
        <item x="12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23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132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188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55"/>
        <item x="2396"/>
        <item x="2397"/>
        <item x="2398"/>
        <item x="2399"/>
        <item x="2400"/>
        <item x="136"/>
        <item x="2401"/>
        <item x="1"/>
        <item x="2402"/>
        <item x="2403"/>
        <item x="2404"/>
        <item x="2405"/>
        <item x="2406"/>
        <item x="2407"/>
        <item x="2408"/>
        <item x="8"/>
        <item x="219"/>
        <item x="2409"/>
        <item x="2410"/>
        <item x="237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28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165"/>
        <item x="2442"/>
        <item x="2443"/>
        <item x="234"/>
        <item x="2444"/>
        <item x="2445"/>
        <item x="2446"/>
        <item x="2447"/>
        <item x="2448"/>
        <item x="2449"/>
        <item x="2450"/>
        <item x="2451"/>
        <item x="2452"/>
        <item x="78"/>
        <item x="85"/>
        <item x="2453"/>
        <item x="2454"/>
        <item x="210"/>
        <item x="2455"/>
        <item x="2456"/>
        <item x="2457"/>
        <item x="2458"/>
        <item x="231"/>
        <item x="77"/>
        <item x="2459"/>
        <item x="2460"/>
        <item x="2461"/>
        <item x="172"/>
        <item x="2462"/>
        <item x="2463"/>
        <item x="2464"/>
        <item t="default"/>
      </items>
    </pivotField>
    <pivotField showAll="0">
      <items count="66">
        <item x="64"/>
        <item x="39"/>
        <item x="18"/>
        <item x="3"/>
        <item x="28"/>
        <item x="22"/>
        <item x="37"/>
        <item x="47"/>
        <item x="21"/>
        <item x="46"/>
        <item x="13"/>
        <item x="15"/>
        <item x="53"/>
        <item x="1"/>
        <item x="29"/>
        <item x="31"/>
        <item x="26"/>
        <item x="30"/>
        <item x="8"/>
        <item x="35"/>
        <item x="58"/>
        <item x="59"/>
        <item x="10"/>
        <item x="41"/>
        <item x="19"/>
        <item x="12"/>
        <item x="0"/>
        <item x="9"/>
        <item x="48"/>
        <item x="5"/>
        <item x="40"/>
        <item x="49"/>
        <item x="24"/>
        <item x="23"/>
        <item x="45"/>
        <item x="44"/>
        <item x="63"/>
        <item x="52"/>
        <item x="20"/>
        <item x="60"/>
        <item x="43"/>
        <item x="27"/>
        <item x="17"/>
        <item x="51"/>
        <item x="7"/>
        <item x="38"/>
        <item x="56"/>
        <item x="14"/>
        <item x="2"/>
        <item x="36"/>
        <item x="33"/>
        <item x="42"/>
        <item x="55"/>
        <item x="57"/>
        <item x="50"/>
        <item x="62"/>
        <item x="34"/>
        <item x="25"/>
        <item x="32"/>
        <item x="16"/>
        <item x="11"/>
        <item x="6"/>
        <item x="61"/>
        <item x="4"/>
        <item x="54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>
      <items count="321"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319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3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t="default"/>
      </items>
    </pivotField>
    <pivotField axis="axisRow" dataField="1" showAll="0" sortType="ascending">
      <items count="6">
        <item x="1"/>
        <item m="1" x="4"/>
        <item x="2"/>
        <item x="3"/>
        <item x="0"/>
        <item t="default"/>
      </items>
    </pivotField>
  </pivotFields>
  <rowFields count="1">
    <field x="8"/>
  </rowFields>
  <rowItems count="5">
    <i>
      <x/>
    </i>
    <i>
      <x v="2"/>
    </i>
    <i>
      <x v="3"/>
    </i>
    <i>
      <x v="4"/>
    </i>
    <i t="grand">
      <x/>
    </i>
  </rowItems>
  <colItems count="1">
    <i/>
  </colItems>
  <dataFields count="1">
    <dataField name="Count of Category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76D63F-8405-40E6-BA8A-02262033F693}" name="PivotTable4" cacheId="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11:D28" firstHeaderRow="1" firstDataRow="1" firstDataCol="0"/>
  <pivotFields count="9">
    <pivotField numFmtId="1" showAll="0"/>
    <pivotField showAll="0">
      <items count="66">
        <item x="64"/>
        <item x="39"/>
        <item x="18"/>
        <item x="3"/>
        <item x="28"/>
        <item x="22"/>
        <item x="37"/>
        <item x="47"/>
        <item x="21"/>
        <item x="46"/>
        <item x="13"/>
        <item x="15"/>
        <item x="53"/>
        <item x="1"/>
        <item x="29"/>
        <item x="31"/>
        <item x="26"/>
        <item x="30"/>
        <item x="8"/>
        <item x="35"/>
        <item x="58"/>
        <item x="59"/>
        <item x="10"/>
        <item x="41"/>
        <item x="19"/>
        <item x="12"/>
        <item x="0"/>
        <item x="9"/>
        <item x="48"/>
        <item x="5"/>
        <item x="40"/>
        <item x="49"/>
        <item x="24"/>
        <item x="23"/>
        <item x="45"/>
        <item x="44"/>
        <item x="63"/>
        <item x="52"/>
        <item x="20"/>
        <item x="60"/>
        <item x="43"/>
        <item x="27"/>
        <item x="17"/>
        <item x="51"/>
        <item x="7"/>
        <item x="38"/>
        <item x="56"/>
        <item x="14"/>
        <item x="2"/>
        <item x="36"/>
        <item x="33"/>
        <item x="42"/>
        <item x="55"/>
        <item x="57"/>
        <item x="50"/>
        <item x="62"/>
        <item x="34"/>
        <item x="25"/>
        <item x="32"/>
        <item x="16"/>
        <item x="11"/>
        <item x="6"/>
        <item x="61"/>
        <item x="4"/>
        <item x="54"/>
        <item t="default"/>
      </items>
    </pivotField>
    <pivotField showAll="0"/>
    <pivotField showAll="0"/>
    <pivotField showAll="0"/>
    <pivotField showAll="0"/>
    <pivotField showAll="0" countASubtotal="1">
      <items count="5">
        <item x="0"/>
        <item x="2"/>
        <item x="1"/>
        <item x="3"/>
        <item t="countA"/>
      </items>
    </pivotField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AAF26-F6D3-49BD-A76B-58E59C436F55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:C9" firstHeaderRow="1" firstDataRow="1" firstDataCol="1"/>
  <pivotFields count="9">
    <pivotField dataField="1" numFmtI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ID PICA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2EF675-9633-4959-82F5-7CA068C300AC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2:G47" firstHeaderRow="1" firstDataRow="1" firstDataCol="1"/>
  <pivotFields count="9">
    <pivotField numFmtId="1" showAll="0"/>
    <pivotField axis="axisRow" showAll="0" measureFilter="1">
      <items count="66">
        <item x="64"/>
        <item x="39"/>
        <item x="18"/>
        <item x="3"/>
        <item x="28"/>
        <item x="22"/>
        <item x="37"/>
        <item x="47"/>
        <item x="21"/>
        <item x="46"/>
        <item x="13"/>
        <item x="15"/>
        <item x="53"/>
        <item x="1"/>
        <item x="29"/>
        <item x="31"/>
        <item x="26"/>
        <item x="30"/>
        <item x="8"/>
        <item x="35"/>
        <item x="58"/>
        <item x="59"/>
        <item x="10"/>
        <item x="41"/>
        <item x="19"/>
        <item x="12"/>
        <item x="0"/>
        <item x="9"/>
        <item x="48"/>
        <item x="5"/>
        <item x="40"/>
        <item x="49"/>
        <item x="24"/>
        <item x="23"/>
        <item x="45"/>
        <item x="44"/>
        <item x="63"/>
        <item x="52"/>
        <item x="20"/>
        <item x="60"/>
        <item x="43"/>
        <item x="27"/>
        <item x="17"/>
        <item x="51"/>
        <item x="7"/>
        <item x="38"/>
        <item x="56"/>
        <item x="14"/>
        <item x="2"/>
        <item x="36"/>
        <item x="33"/>
        <item x="42"/>
        <item x="55"/>
        <item x="57"/>
        <item x="50"/>
        <item x="62"/>
        <item x="34"/>
        <item x="25"/>
        <item x="32"/>
        <item x="16"/>
        <item x="11"/>
        <item x="6"/>
        <item x="61"/>
        <item x="4"/>
        <item x="5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25">
    <i>
      <x/>
    </i>
    <i>
      <x v="5"/>
    </i>
    <i>
      <x v="7"/>
    </i>
    <i>
      <x v="9"/>
    </i>
    <i>
      <x v="12"/>
    </i>
    <i>
      <x v="13"/>
    </i>
    <i>
      <x v="20"/>
    </i>
    <i>
      <x v="21"/>
    </i>
    <i>
      <x v="29"/>
    </i>
    <i>
      <x v="30"/>
    </i>
    <i>
      <x v="32"/>
    </i>
    <i>
      <x v="34"/>
    </i>
    <i>
      <x v="35"/>
    </i>
    <i>
      <x v="39"/>
    </i>
    <i>
      <x v="40"/>
    </i>
    <i>
      <x v="43"/>
    </i>
    <i>
      <x v="51"/>
    </i>
    <i>
      <x v="52"/>
    </i>
    <i>
      <x v="53"/>
    </i>
    <i>
      <x v="54"/>
    </i>
    <i>
      <x v="55"/>
    </i>
    <i>
      <x v="56"/>
    </i>
    <i>
      <x v="60"/>
    </i>
    <i>
      <x v="64"/>
    </i>
    <i t="grand">
      <x/>
    </i>
  </rowItems>
  <colItems count="1">
    <i/>
  </colItems>
  <dataFields count="1">
    <dataField name="Count of EMJM Scholarship" fld="6" subtotal="count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9FC925-5CE2-4856-8FD5-6E6DD645CBF8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5:G17" firstHeaderRow="1" firstDataRow="1" firstDataCol="1"/>
  <pivotFields count="9">
    <pivotField numFmtId="1" showAll="0"/>
    <pivotField axis="axisRow" showAll="0" measureFilter="1">
      <items count="66">
        <item x="64"/>
        <item x="39"/>
        <item x="18"/>
        <item x="3"/>
        <item x="28"/>
        <item x="22"/>
        <item x="37"/>
        <item x="47"/>
        <item x="21"/>
        <item x="46"/>
        <item x="13"/>
        <item x="15"/>
        <item x="53"/>
        <item x="1"/>
        <item x="29"/>
        <item x="31"/>
        <item x="26"/>
        <item x="30"/>
        <item x="8"/>
        <item x="35"/>
        <item x="58"/>
        <item x="59"/>
        <item x="10"/>
        <item x="41"/>
        <item x="19"/>
        <item x="12"/>
        <item x="0"/>
        <item x="9"/>
        <item x="48"/>
        <item x="5"/>
        <item x="40"/>
        <item x="49"/>
        <item x="24"/>
        <item x="23"/>
        <item x="45"/>
        <item x="44"/>
        <item x="63"/>
        <item x="52"/>
        <item x="20"/>
        <item x="60"/>
        <item x="43"/>
        <item x="27"/>
        <item x="17"/>
        <item x="51"/>
        <item x="7"/>
        <item x="38"/>
        <item x="56"/>
        <item x="14"/>
        <item x="2"/>
        <item x="36"/>
        <item x="33"/>
        <item x="42"/>
        <item x="55"/>
        <item x="57"/>
        <item x="50"/>
        <item x="62"/>
        <item x="34"/>
        <item x="25"/>
        <item x="32"/>
        <item x="16"/>
        <item x="11"/>
        <item x="6"/>
        <item x="61"/>
        <item x="4"/>
        <item x="5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2">
    <i>
      <x v="4"/>
    </i>
    <i>
      <x v="8"/>
    </i>
    <i>
      <x v="22"/>
    </i>
    <i>
      <x v="24"/>
    </i>
    <i>
      <x v="27"/>
    </i>
    <i>
      <x v="41"/>
    </i>
    <i>
      <x v="42"/>
    </i>
    <i>
      <x v="45"/>
    </i>
    <i>
      <x v="48"/>
    </i>
    <i>
      <x v="58"/>
    </i>
    <i>
      <x v="63"/>
    </i>
    <i t="grand">
      <x/>
    </i>
  </rowItems>
  <colItems count="1">
    <i/>
  </colItems>
  <dataFields count="1">
    <dataField name="Count of EMJM Scholarship" fld="6" subtotal="count" baseField="0" baseItem="0"/>
  </dataFields>
  <chartFormats count="12">
    <chartFormat chart="11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1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1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11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11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11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11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11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11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11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11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097EB3-13B0-4633-826A-0914C578D683}" name="Table1" displayName="Table1" ref="A1:J2466" totalsRowShown="0" headerRowDxfId="17" headerRowBorderDxfId="16" tableBorderDxfId="15" totalsRowBorderDxfId="14">
  <autoFilter ref="A1:J2466" xr:uid="{B6097EB3-13B0-4633-826A-0914C578D683}">
    <filterColumn colId="6">
      <filters>
        <filter val="Awarded"/>
      </filters>
    </filterColumn>
  </autoFilter>
  <tableColumns count="10">
    <tableColumn id="1" xr3:uid="{1E5F553C-8C9E-4845-96B0-17D7E096A4FE}" name="ID PICA" dataDxfId="13"/>
    <tableColumn id="9" xr3:uid="{1035DBB2-BE0E-4AB5-9127-A7F7770798DE}" name="Nationality" dataDxfId="12"/>
    <tableColumn id="3" xr3:uid="{1900EE0A-D1BB-456B-8EF2-948658B2431D}" name="Selected IM" dataDxfId="11"/>
    <tableColumn id="4" xr3:uid="{F95BBE1E-DE8B-492E-8749-CAEDA80275D7}" name="Selected MM" dataDxfId="10"/>
    <tableColumn id="5" xr3:uid="{F9204A70-85AE-4BE2-BA2A-D989DC218572}" name="Selected RM" dataDxfId="9"/>
    <tableColumn id="6" xr3:uid="{933A35E4-B83C-4A2D-ADB9-1420FB4BB8C3}" name="SCORE" dataDxfId="8"/>
    <tableColumn id="7" xr3:uid="{CCFEE05E-95E9-4F34-8886-4EC82D888DE4}" name="EMJM Scholarship" dataDxfId="7"/>
    <tableColumn id="8" xr3:uid="{84402456-AA1F-4819-ABCC-030F7FAA38FC}" name="Ranking" dataDxfId="6"/>
    <tableColumn id="2" xr3:uid="{4235D385-7F9F-4445-8F61-5CBA4458E664}" name="Category" dataDxfId="5">
      <calculatedColumnFormula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calculatedColumnFormula>
    </tableColumn>
    <tableColumn id="10" xr3:uid="{8376C445-C042-4A63-B98C-1B72F8103432}" name="Nigeria" dataDxfId="4">
      <calculatedColumnFormula>IF(Table1[[#This Row],[Nationality]]="Nigeria",Table1[[#This Row],[EMJM Scholarship]],"Not Applicable")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A6A37F-4F1F-4D22-BE0A-A8913F4766B5}" name="Table2" displayName="Table2" ref="G7:I18" totalsRowShown="0" headerRowDxfId="3">
  <autoFilter ref="G7:I18" xr:uid="{93A6A37F-4F1F-4D22-BE0A-A8913F4766B5}">
    <filterColumn colId="0" hiddenButton="1"/>
    <filterColumn colId="1" hiddenButton="1"/>
    <filterColumn colId="2" hiddenButton="1"/>
  </autoFilter>
  <tableColumns count="3">
    <tableColumn id="1" xr3:uid="{D0A7C586-5D31-4734-A25F-5FFE28623222}" name="AWAITING" dataDxfId="2"/>
    <tableColumn id="2" xr3:uid="{80968862-1E34-4062-9451-FEBE6EA9EB10}" name="N/A," dataDxfId="1"/>
    <tableColumn id="3" xr3:uid="{21267188-57B3-4DEC-B386-121BE232628F}" name="N/A." dataDxfId="0"/>
  </tableColumns>
  <tableStyleInfo name="TableStyleLight8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510AF-A36F-4339-A0E3-DF7C6928E85D}">
  <dimension ref="B3:O85"/>
  <sheetViews>
    <sheetView workbookViewId="0">
      <selection activeCell="J6" sqref="J6"/>
    </sheetView>
  </sheetViews>
  <sheetFormatPr defaultRowHeight="13" x14ac:dyDescent="0.3"/>
  <cols>
    <col min="2" max="2" width="21.3984375" bestFit="1" customWidth="1"/>
    <col min="3" max="3" width="25" bestFit="1" customWidth="1"/>
    <col min="4" max="4" width="9.296875" bestFit="1" customWidth="1"/>
    <col min="6" max="6" width="13.296875" bestFit="1" customWidth="1"/>
    <col min="7" max="7" width="25" bestFit="1" customWidth="1"/>
    <col min="8" max="8" width="25" customWidth="1"/>
    <col min="10" max="10" width="12.796875" bestFit="1" customWidth="1"/>
    <col min="12" max="12" width="13.296875" bestFit="1" customWidth="1"/>
    <col min="13" max="13" width="16.69921875" bestFit="1" customWidth="1"/>
    <col min="14" max="14" width="16.69921875" customWidth="1"/>
  </cols>
  <sheetData>
    <row r="3" spans="2:15" x14ac:dyDescent="0.3">
      <c r="B3" t="s">
        <v>12</v>
      </c>
    </row>
    <row r="4" spans="2:15" x14ac:dyDescent="0.3">
      <c r="B4">
        <v>2465</v>
      </c>
      <c r="C4">
        <f>GETPIVOTDATA("ID PICA",$B$3)</f>
        <v>2465</v>
      </c>
      <c r="I4" t="s">
        <v>85</v>
      </c>
      <c r="J4" s="34">
        <f>COUNTIF('Table 1'!G:G,"Awarded")</f>
        <v>20</v>
      </c>
      <c r="L4" s="23" t="s">
        <v>14</v>
      </c>
      <c r="M4" t="s">
        <v>96</v>
      </c>
      <c r="N4" s="41" t="s">
        <v>92</v>
      </c>
      <c r="O4" s="41" t="s">
        <v>98</v>
      </c>
    </row>
    <row r="5" spans="2:15" x14ac:dyDescent="0.3">
      <c r="F5" s="23" t="s">
        <v>14</v>
      </c>
      <c r="G5" t="s">
        <v>82</v>
      </c>
      <c r="I5" t="s">
        <v>86</v>
      </c>
      <c r="J5" s="34">
        <f>COUNTIF('Table 1'!G:G,"waiting list")</f>
        <v>110</v>
      </c>
      <c r="L5" t="s">
        <v>93</v>
      </c>
      <c r="M5">
        <v>70</v>
      </c>
      <c r="N5" t="s">
        <v>93</v>
      </c>
      <c r="O5" s="42">
        <f>GETPIVOTDATA("Category",$L$4,"Category","Double Yes")/GETPIVOTDATA("Category",$L$4)</f>
        <v>2.8397565922920892E-2</v>
      </c>
    </row>
    <row r="6" spans="2:15" x14ac:dyDescent="0.3">
      <c r="B6" s="23" t="s">
        <v>14</v>
      </c>
      <c r="C6" t="s">
        <v>12</v>
      </c>
      <c r="F6" t="s">
        <v>62</v>
      </c>
      <c r="G6">
        <v>8</v>
      </c>
      <c r="I6" t="s">
        <v>87</v>
      </c>
      <c r="J6" s="34">
        <f>COUNTIF('Table 1'!G:G,"N/A")</f>
        <v>189</v>
      </c>
      <c r="L6" t="s">
        <v>94</v>
      </c>
      <c r="M6">
        <v>119</v>
      </c>
      <c r="N6" t="s">
        <v>94</v>
      </c>
      <c r="O6" s="42">
        <f>GETPIVOTDATA("Category",$L$4,"Category","Single Yes")/GETPIVOTDATA("Category",$L$4)</f>
        <v>4.8275862068965517E-2</v>
      </c>
    </row>
    <row r="7" spans="2:15" x14ac:dyDescent="0.3">
      <c r="B7" t="s">
        <v>84</v>
      </c>
      <c r="C7">
        <v>2335</v>
      </c>
      <c r="D7" s="34">
        <f>GETPIVOTDATA("ID PICA",$B$6,"Selected IM","No")</f>
        <v>2335</v>
      </c>
      <c r="F7" t="s">
        <v>18</v>
      </c>
      <c r="G7">
        <v>29</v>
      </c>
      <c r="I7" t="s">
        <v>99</v>
      </c>
      <c r="J7" s="34">
        <f>COUNTIF(Table1[EMJM Scholarship],"")</f>
        <v>2146</v>
      </c>
      <c r="L7" t="s">
        <v>97</v>
      </c>
      <c r="M7">
        <v>2146</v>
      </c>
      <c r="N7" t="s">
        <v>97</v>
      </c>
      <c r="O7" s="42">
        <f>GETPIVOTDATA("Category",$L$4,"Category","Triple No")/GETPIVOTDATA("Category",$L$4)</f>
        <v>0.87058823529411766</v>
      </c>
    </row>
    <row r="8" spans="2:15" x14ac:dyDescent="0.3">
      <c r="B8" t="s">
        <v>13</v>
      </c>
      <c r="C8">
        <v>130</v>
      </c>
      <c r="D8" s="34">
        <f>GETPIVOTDATA("ID PICA",$B$6,"Selected IM","Yes")</f>
        <v>130</v>
      </c>
      <c r="F8" t="s">
        <v>55</v>
      </c>
      <c r="G8">
        <v>13</v>
      </c>
      <c r="J8" s="52"/>
      <c r="L8" t="s">
        <v>95</v>
      </c>
      <c r="M8">
        <v>130</v>
      </c>
      <c r="N8" t="s">
        <v>95</v>
      </c>
      <c r="O8" s="42">
        <f>GETPIVOTDATA("Category",$L$4,"Category","Triple Yes")/GETPIVOTDATA("Category",$L$4)</f>
        <v>5.2738336713995942E-2</v>
      </c>
    </row>
    <row r="9" spans="2:15" x14ac:dyDescent="0.3">
      <c r="B9" t="s">
        <v>49</v>
      </c>
      <c r="C9">
        <v>2465</v>
      </c>
      <c r="F9" t="s">
        <v>60</v>
      </c>
      <c r="G9">
        <v>10</v>
      </c>
      <c r="I9" t="s">
        <v>89</v>
      </c>
      <c r="J9">
        <f>COUNTIF('Table 1'!C:C,"Yes")</f>
        <v>130</v>
      </c>
      <c r="L9" t="s">
        <v>49</v>
      </c>
      <c r="M9">
        <v>2465</v>
      </c>
    </row>
    <row r="10" spans="2:15" x14ac:dyDescent="0.3">
      <c r="F10" t="s">
        <v>29</v>
      </c>
      <c r="G10">
        <v>9</v>
      </c>
      <c r="I10" t="s">
        <v>90</v>
      </c>
      <c r="J10">
        <f>COUNTIF('Table 1'!D:D,"Yes")</f>
        <v>200</v>
      </c>
    </row>
    <row r="11" spans="2:15" x14ac:dyDescent="0.3">
      <c r="B11" s="25"/>
      <c r="C11" s="26"/>
      <c r="D11" s="27"/>
      <c r="F11" t="s">
        <v>61</v>
      </c>
      <c r="G11">
        <v>30</v>
      </c>
      <c r="I11" t="s">
        <v>91</v>
      </c>
      <c r="J11">
        <f>COUNTIF('Table 1'!E:E,"Yes")</f>
        <v>319</v>
      </c>
    </row>
    <row r="12" spans="2:15" x14ac:dyDescent="0.3">
      <c r="B12" s="28"/>
      <c r="C12" s="29"/>
      <c r="D12" s="30"/>
      <c r="F12" t="s">
        <v>58</v>
      </c>
      <c r="G12">
        <v>35</v>
      </c>
    </row>
    <row r="13" spans="2:15" x14ac:dyDescent="0.3">
      <c r="B13" s="28"/>
      <c r="C13" s="29"/>
      <c r="D13" s="30"/>
      <c r="F13" t="s">
        <v>41</v>
      </c>
      <c r="G13">
        <v>10</v>
      </c>
    </row>
    <row r="14" spans="2:15" x14ac:dyDescent="0.3">
      <c r="B14" s="28"/>
      <c r="C14" s="29"/>
      <c r="D14" s="30"/>
      <c r="F14" t="s">
        <v>42</v>
      </c>
      <c r="G14">
        <v>9</v>
      </c>
    </row>
    <row r="15" spans="2:15" x14ac:dyDescent="0.3">
      <c r="B15" s="28"/>
      <c r="C15" s="29"/>
      <c r="D15" s="30"/>
      <c r="F15" t="s">
        <v>64</v>
      </c>
      <c r="G15">
        <v>16</v>
      </c>
      <c r="I15" t="str" cm="1">
        <f t="array" ref="I15:I81">_xlfn.UNIQUE('Table 1'!B:B)</f>
        <v>Nationality</v>
      </c>
    </row>
    <row r="16" spans="2:15" x14ac:dyDescent="0.3">
      <c r="B16" s="28"/>
      <c r="C16" s="29"/>
      <c r="D16" s="30"/>
      <c r="F16" t="s">
        <v>51</v>
      </c>
      <c r="G16">
        <v>8</v>
      </c>
      <c r="I16" t="str">
        <v>Italy</v>
      </c>
      <c r="J16">
        <f>COUNTIF('Table 1'!B:B,Sheet3!I16)</f>
        <v>4</v>
      </c>
    </row>
    <row r="17" spans="2:10" x14ac:dyDescent="0.3">
      <c r="B17" s="28"/>
      <c r="C17" s="29"/>
      <c r="D17" s="30"/>
      <c r="F17" t="s">
        <v>49</v>
      </c>
      <c r="G17">
        <v>177</v>
      </c>
      <c r="I17" t="str">
        <v>Croatia</v>
      </c>
      <c r="J17">
        <f>COUNTIF('Table 1'!B:B,Sheet3!I17)</f>
        <v>1</v>
      </c>
    </row>
    <row r="18" spans="2:10" x14ac:dyDescent="0.3">
      <c r="B18" s="28"/>
      <c r="C18" s="29"/>
      <c r="D18" s="30"/>
      <c r="I18" t="str">
        <v>Spain</v>
      </c>
      <c r="J18">
        <f>COUNTIF('Table 1'!B:B,Sheet3!I18)</f>
        <v>9</v>
      </c>
    </row>
    <row r="19" spans="2:10" x14ac:dyDescent="0.3">
      <c r="B19" s="28"/>
      <c r="C19" s="29"/>
      <c r="D19" s="30"/>
      <c r="I19" t="str">
        <v>Australia</v>
      </c>
      <c r="J19">
        <f>COUNTIF('Table 1'!B:B,Sheet3!I19)</f>
        <v>2</v>
      </c>
    </row>
    <row r="20" spans="2:10" x14ac:dyDescent="0.3">
      <c r="B20" s="28"/>
      <c r="C20" s="29"/>
      <c r="D20" s="30"/>
      <c r="I20" t="str">
        <v>Vietnam</v>
      </c>
      <c r="J20">
        <f>COUNTIF('Table 1'!B:B,Sheet3!I20)</f>
        <v>8</v>
      </c>
    </row>
    <row r="21" spans="2:10" x14ac:dyDescent="0.3">
      <c r="B21" s="28"/>
      <c r="C21" s="29"/>
      <c r="D21" s="30"/>
      <c r="I21" t="str">
        <v>Koreasouth</v>
      </c>
      <c r="J21">
        <f>COUNTIF('Table 1'!B:B,Sheet3!I21)</f>
        <v>1</v>
      </c>
    </row>
    <row r="22" spans="2:10" x14ac:dyDescent="0.3">
      <c r="B22" s="28"/>
      <c r="C22" s="29"/>
      <c r="D22" s="30"/>
      <c r="F22" s="23" t="s">
        <v>14</v>
      </c>
      <c r="G22" t="s">
        <v>82</v>
      </c>
      <c r="I22" t="str">
        <v>United States Of America</v>
      </c>
      <c r="J22">
        <f>COUNTIF('Table 1'!B:B,Sheet3!I22)</f>
        <v>7</v>
      </c>
    </row>
    <row r="23" spans="2:10" x14ac:dyDescent="0.3">
      <c r="B23" s="28"/>
      <c r="C23" s="29"/>
      <c r="D23" s="30"/>
      <c r="I23" t="str">
        <v>Russia</v>
      </c>
      <c r="J23">
        <f>COUNTIF('Table 1'!B:B,Sheet3!I23)</f>
        <v>2</v>
      </c>
    </row>
    <row r="24" spans="2:10" x14ac:dyDescent="0.3">
      <c r="B24" s="28"/>
      <c r="C24" s="29"/>
      <c r="D24" s="30"/>
      <c r="F24" t="s">
        <v>15</v>
      </c>
      <c r="G24">
        <v>1</v>
      </c>
      <c r="I24" t="str">
        <v>Germany</v>
      </c>
      <c r="J24">
        <f>COUNTIF('Table 1'!B:B,Sheet3!I24)</f>
        <v>5</v>
      </c>
    </row>
    <row r="25" spans="2:10" x14ac:dyDescent="0.3">
      <c r="B25" s="28"/>
      <c r="C25" s="29"/>
      <c r="D25" s="30"/>
      <c r="F25" t="s">
        <v>17</v>
      </c>
      <c r="G25">
        <v>1</v>
      </c>
      <c r="I25" t="str">
        <v>Kazakhstan</v>
      </c>
      <c r="J25">
        <f>COUNTIF('Table 1'!B:B,Sheet3!I25)</f>
        <v>9</v>
      </c>
    </row>
    <row r="26" spans="2:10" x14ac:dyDescent="0.3">
      <c r="B26" s="28"/>
      <c r="C26" s="29"/>
      <c r="D26" s="30"/>
      <c r="F26" t="s">
        <v>19</v>
      </c>
      <c r="G26">
        <v>1</v>
      </c>
      <c r="I26" t="str">
        <v>India</v>
      </c>
      <c r="J26">
        <f>COUNTIF('Table 1'!B:B,Sheet3!I26)</f>
        <v>13</v>
      </c>
    </row>
    <row r="27" spans="2:10" x14ac:dyDescent="0.3">
      <c r="B27" s="28"/>
      <c r="C27" s="29"/>
      <c r="D27" s="30"/>
      <c r="F27" t="s">
        <v>21</v>
      </c>
      <c r="G27">
        <v>1</v>
      </c>
      <c r="I27" t="str">
        <v>United Kingdom</v>
      </c>
      <c r="J27">
        <f>COUNTIF('Table 1'!B:B,Sheet3!I27)</f>
        <v>1</v>
      </c>
    </row>
    <row r="28" spans="2:10" x14ac:dyDescent="0.3">
      <c r="B28" s="31"/>
      <c r="C28" s="32"/>
      <c r="D28" s="33"/>
      <c r="F28" t="s">
        <v>22</v>
      </c>
      <c r="G28">
        <v>1</v>
      </c>
      <c r="I28" t="str">
        <v>Ireland</v>
      </c>
      <c r="J28">
        <f>COUNTIF('Table 1'!B:B,Sheet3!I28)</f>
        <v>3</v>
      </c>
    </row>
    <row r="29" spans="2:10" x14ac:dyDescent="0.3">
      <c r="F29" t="s">
        <v>26</v>
      </c>
      <c r="G29">
        <v>1</v>
      </c>
      <c r="I29" t="str">
        <v>China</v>
      </c>
      <c r="J29">
        <f>COUNTIF('Table 1'!B:B,Sheet3!I29)</f>
        <v>7</v>
      </c>
    </row>
    <row r="30" spans="2:10" x14ac:dyDescent="0.3">
      <c r="F30" t="s">
        <v>77</v>
      </c>
      <c r="G30">
        <v>1</v>
      </c>
      <c r="I30" t="str">
        <v>Southafrica</v>
      </c>
      <c r="J30">
        <f>COUNTIF('Table 1'!B:B,Sheet3!I30)</f>
        <v>2</v>
      </c>
    </row>
    <row r="31" spans="2:10" x14ac:dyDescent="0.3">
      <c r="F31" t="s">
        <v>52</v>
      </c>
      <c r="G31">
        <v>1</v>
      </c>
      <c r="I31" t="str">
        <v>Colombia</v>
      </c>
      <c r="J31">
        <f>COUNTIF('Table 1'!B:B,Sheet3!I31)</f>
        <v>7</v>
      </c>
    </row>
    <row r="32" spans="2:10" x14ac:dyDescent="0.3">
      <c r="F32" t="s">
        <v>31</v>
      </c>
      <c r="G32">
        <v>1</v>
      </c>
      <c r="I32" t="str">
        <v>Ukraine</v>
      </c>
      <c r="J32">
        <f>COUNTIF('Table 1'!B:B,Sheet3!I32)</f>
        <v>4</v>
      </c>
    </row>
    <row r="33" spans="6:11" x14ac:dyDescent="0.3">
      <c r="F33" t="s">
        <v>33</v>
      </c>
      <c r="G33">
        <v>1</v>
      </c>
      <c r="I33" t="str">
        <v>Pakistan</v>
      </c>
      <c r="J33">
        <f>COUNTIF('Table 1'!B:B,Sheet3!I33)</f>
        <v>35</v>
      </c>
    </row>
    <row r="34" spans="6:11" x14ac:dyDescent="0.3">
      <c r="F34" t="s">
        <v>35</v>
      </c>
      <c r="G34">
        <v>1</v>
      </c>
      <c r="I34" t="str">
        <v>Argentina</v>
      </c>
      <c r="J34">
        <f>COUNTIF('Table 1'!B:B,Sheet3!I34)</f>
        <v>2</v>
      </c>
    </row>
    <row r="35" spans="6:11" x14ac:dyDescent="0.3">
      <c r="F35" t="s">
        <v>72</v>
      </c>
      <c r="G35">
        <v>1</v>
      </c>
      <c r="I35" t="str">
        <v>Iran</v>
      </c>
      <c r="J35">
        <f>COUNTIF('Table 1'!B:B,Sheet3!I35)</f>
        <v>10</v>
      </c>
    </row>
    <row r="36" spans="6:11" x14ac:dyDescent="0.3">
      <c r="F36" t="s">
        <v>38</v>
      </c>
      <c r="G36">
        <v>1</v>
      </c>
      <c r="I36" t="str">
        <v>Mexico</v>
      </c>
      <c r="J36">
        <f>COUNTIF('Table 1'!B:B,Sheet3!I36)</f>
        <v>6</v>
      </c>
    </row>
    <row r="37" spans="6:11" x14ac:dyDescent="0.3">
      <c r="F37" t="s">
        <v>71</v>
      </c>
      <c r="G37">
        <v>1</v>
      </c>
      <c r="I37" t="str">
        <v>Cameroon</v>
      </c>
      <c r="J37">
        <f>COUNTIF('Table 1'!B:B,Sheet3!I37)</f>
        <v>29</v>
      </c>
    </row>
    <row r="38" spans="6:11" x14ac:dyDescent="0.3">
      <c r="F38" t="s">
        <v>39</v>
      </c>
      <c r="G38">
        <v>1</v>
      </c>
      <c r="I38" t="str">
        <v>Belgium</v>
      </c>
      <c r="J38">
        <f>COUNTIF('Table 1'!B:B,Sheet3!I38)</f>
        <v>1</v>
      </c>
    </row>
    <row r="39" spans="6:11" x14ac:dyDescent="0.3">
      <c r="F39" t="s">
        <v>43</v>
      </c>
      <c r="G39">
        <v>1</v>
      </c>
      <c r="I39" t="str">
        <v>Lebanon</v>
      </c>
      <c r="J39">
        <f>COUNTIF('Table 1'!B:B,Sheet3!I39)</f>
        <v>3</v>
      </c>
    </row>
    <row r="40" spans="6:11" x14ac:dyDescent="0.3">
      <c r="F40" t="s">
        <v>44</v>
      </c>
      <c r="G40">
        <v>1</v>
      </c>
      <c r="I40" t="str">
        <v>Latvia</v>
      </c>
      <c r="J40">
        <f>COUNTIF('Table 1'!B:B,Sheet3!I40)</f>
        <v>1</v>
      </c>
    </row>
    <row r="41" spans="6:11" x14ac:dyDescent="0.3">
      <c r="F41" t="s">
        <v>76</v>
      </c>
      <c r="G41">
        <v>1</v>
      </c>
      <c r="I41" t="str">
        <v>Turkey</v>
      </c>
      <c r="J41">
        <f>COUNTIF('Table 1'!B:B,Sheet3!I41)</f>
        <v>4</v>
      </c>
    </row>
    <row r="42" spans="6:11" x14ac:dyDescent="0.3">
      <c r="F42" t="s">
        <v>73</v>
      </c>
      <c r="G42">
        <v>1</v>
      </c>
      <c r="I42" t="str">
        <v>Ethiopia</v>
      </c>
      <c r="J42">
        <f>COUNTIF('Table 1'!B:B,Sheet3!I42)</f>
        <v>6</v>
      </c>
      <c r="K42">
        <f>MAX(J16:J79)</f>
        <v>35</v>
      </c>
    </row>
    <row r="43" spans="6:11" x14ac:dyDescent="0.3">
      <c r="F43" t="s">
        <v>45</v>
      </c>
      <c r="G43">
        <v>1</v>
      </c>
      <c r="I43" t="str">
        <v>Nigeria</v>
      </c>
      <c r="J43">
        <f>COUNTIF('Table 1'!B:B,Sheet3!I43)</f>
        <v>30</v>
      </c>
      <c r="K43" t="str">
        <f>_xlfn.XLOOKUP(K42,J16:J81,I16:I81)</f>
        <v>Pakistan</v>
      </c>
    </row>
    <row r="44" spans="6:11" x14ac:dyDescent="0.3">
      <c r="F44" t="s">
        <v>66</v>
      </c>
      <c r="G44">
        <v>1</v>
      </c>
      <c r="I44" t="str">
        <v>Bangladesh</v>
      </c>
      <c r="J44">
        <f>COUNTIF('Table 1'!B:B,Sheet3!I44)</f>
        <v>8</v>
      </c>
    </row>
    <row r="45" spans="6:11" x14ac:dyDescent="0.3">
      <c r="F45" t="s">
        <v>48</v>
      </c>
      <c r="G45">
        <v>1</v>
      </c>
      <c r="I45" t="str">
        <v>Ecuador</v>
      </c>
      <c r="J45">
        <f>COUNTIF('Table 1'!B:B,Sheet3!I45)</f>
        <v>6</v>
      </c>
    </row>
    <row r="46" spans="6:11" x14ac:dyDescent="0.3">
      <c r="F46" t="s">
        <v>74</v>
      </c>
      <c r="G46">
        <v>1</v>
      </c>
      <c r="I46" t="str">
        <v>France</v>
      </c>
      <c r="J46">
        <f>COUNTIF('Table 1'!B:B,Sheet3!I46)</f>
        <v>2</v>
      </c>
    </row>
    <row r="47" spans="6:11" x14ac:dyDescent="0.3">
      <c r="F47" t="s">
        <v>49</v>
      </c>
      <c r="G47">
        <v>23</v>
      </c>
      <c r="I47" t="str">
        <v>Egypt</v>
      </c>
      <c r="J47">
        <f>COUNTIF('Table 1'!B:B,Sheet3!I47)</f>
        <v>7</v>
      </c>
    </row>
    <row r="48" spans="6:11" x14ac:dyDescent="0.3">
      <c r="I48" t="str">
        <v>Uganda</v>
      </c>
      <c r="J48">
        <f>COUNTIF('Table 1'!B:B,Sheet3!I48)</f>
        <v>16</v>
      </c>
    </row>
    <row r="49" spans="5:10" x14ac:dyDescent="0.3">
      <c r="I49" t="str">
        <v>State Of Palestine</v>
      </c>
      <c r="J49">
        <f>COUNTIF('Table 1'!B:B,Sheet3!I49)</f>
        <v>2</v>
      </c>
    </row>
    <row r="50" spans="5:10" x14ac:dyDescent="0.3">
      <c r="I50" t="str">
        <v>Tunisia</v>
      </c>
      <c r="J50">
        <f>COUNTIF('Table 1'!B:B,Sheet3!I50)</f>
        <v>1</v>
      </c>
    </row>
    <row r="51" spans="5:10" x14ac:dyDescent="0.3">
      <c r="I51" t="str">
        <v>Ghana</v>
      </c>
      <c r="J51">
        <f>COUNTIF('Table 1'!B:B,Sheet3!I51)</f>
        <v>6</v>
      </c>
    </row>
    <row r="52" spans="5:10" x14ac:dyDescent="0.3">
      <c r="I52" t="str">
        <v>Srilanka</v>
      </c>
      <c r="J52">
        <f>COUNTIF('Table 1'!B:B,Sheet3!I52)</f>
        <v>7</v>
      </c>
    </row>
    <row r="53" spans="5:10" x14ac:dyDescent="0.3">
      <c r="I53" t="str">
        <v>Brazil</v>
      </c>
      <c r="J53">
        <f>COUNTIF('Table 1'!B:B,Sheet3!I53)</f>
        <v>4</v>
      </c>
    </row>
    <row r="54" spans="5:10" x14ac:dyDescent="0.3">
      <c r="I54" t="str">
        <v>Rwanda</v>
      </c>
      <c r="J54">
        <f>COUNTIF('Table 1'!B:B,Sheet3!I54)</f>
        <v>10</v>
      </c>
    </row>
    <row r="55" spans="5:10" x14ac:dyDescent="0.3">
      <c r="E55" t="s">
        <v>85</v>
      </c>
      <c r="F55">
        <f>COUNTIF(Table1[Nigeria],"Awarded")</f>
        <v>0</v>
      </c>
      <c r="I55" t="str">
        <v>Algeria</v>
      </c>
      <c r="J55">
        <f>COUNTIF('Table 1'!B:B,Sheet3!I55)</f>
        <v>3</v>
      </c>
    </row>
    <row r="56" spans="5:10" x14ac:dyDescent="0.3">
      <c r="E56" t="s">
        <v>11</v>
      </c>
      <c r="F56">
        <f>COUNTIF(Table1[Nigeria],"Waiting list")</f>
        <v>11</v>
      </c>
      <c r="I56" t="str">
        <v>Kosovo</v>
      </c>
      <c r="J56">
        <f>COUNTIF('Table 1'!B:B,Sheet3!I56)</f>
        <v>1</v>
      </c>
    </row>
    <row r="57" spans="5:10" x14ac:dyDescent="0.3">
      <c r="E57" t="s">
        <v>87</v>
      </c>
      <c r="F57">
        <f>COUNTIF(Table1[Nigeria],"N/A")</f>
        <v>19</v>
      </c>
      <c r="I57" t="str">
        <v>Indonesia</v>
      </c>
      <c r="J57">
        <f>COUNTIF('Table 1'!B:B,Sheet3!I57)</f>
        <v>4</v>
      </c>
    </row>
    <row r="58" spans="5:10" x14ac:dyDescent="0.3">
      <c r="E58" t="s">
        <v>88</v>
      </c>
      <c r="F58">
        <f>COUNTIF(Table1[Nigeria]," ")</f>
        <v>0</v>
      </c>
      <c r="I58" t="str">
        <v>Sweden</v>
      </c>
      <c r="J58">
        <f>COUNTIF('Table 1'!B:B,Sheet3!I58)</f>
        <v>1</v>
      </c>
    </row>
    <row r="59" spans="5:10" x14ac:dyDescent="0.3">
      <c r="I59" t="str">
        <v>Nepal</v>
      </c>
      <c r="J59">
        <f>COUNTIF('Table 1'!B:B,Sheet3!I59)</f>
        <v>1</v>
      </c>
    </row>
    <row r="60" spans="5:10" x14ac:dyDescent="0.3">
      <c r="I60" t="str">
        <v>Macedonia</v>
      </c>
      <c r="J60">
        <f>COUNTIF('Table 1'!B:B,Sheet3!I60)</f>
        <v>1</v>
      </c>
    </row>
    <row r="61" spans="5:10" x14ac:dyDescent="0.3">
      <c r="I61" t="str">
        <v>Lithuania</v>
      </c>
      <c r="J61">
        <f>COUNTIF('Table 1'!B:B,Sheet3!I61)</f>
        <v>1</v>
      </c>
    </row>
    <row r="62" spans="5:10" x14ac:dyDescent="0.3">
      <c r="I62" t="str">
        <v>Chile</v>
      </c>
      <c r="J62">
        <f>COUNTIF('Table 1'!B:B,Sheet3!I62)</f>
        <v>1</v>
      </c>
    </row>
    <row r="63" spans="5:10" x14ac:dyDescent="0.3">
      <c r="I63" t="str">
        <v>Cambodia</v>
      </c>
      <c r="J63">
        <f>COUNTIF('Table 1'!B:B,Sheet3!I63)</f>
        <v>1</v>
      </c>
    </row>
    <row r="64" spans="5:10" x14ac:dyDescent="0.3">
      <c r="I64" t="str">
        <v>Kenya</v>
      </c>
      <c r="J64">
        <f>COUNTIF('Table 1'!B:B,Sheet3!I64)</f>
        <v>3</v>
      </c>
    </row>
    <row r="65" spans="2:10" x14ac:dyDescent="0.3">
      <c r="I65" t="str">
        <v>Kyrgyzstan</v>
      </c>
      <c r="J65">
        <f>COUNTIF('Table 1'!B:B,Sheet3!I65)</f>
        <v>2</v>
      </c>
    </row>
    <row r="66" spans="2:10" x14ac:dyDescent="0.3">
      <c r="B66" s="51" t="s">
        <v>28</v>
      </c>
      <c r="I66" t="str">
        <v>Thailand</v>
      </c>
      <c r="J66">
        <f>COUNTIF('Table 1'!B:B,Sheet3!I66)</f>
        <v>1</v>
      </c>
    </row>
    <row r="67" spans="2:10" x14ac:dyDescent="0.3">
      <c r="B67" s="51" t="s">
        <v>28</v>
      </c>
      <c r="D67" t="str" cm="1">
        <f t="array" ref="D67:D81">_xlfn.UNIQUE(B66:B85)</f>
        <v>Italy</v>
      </c>
      <c r="E67">
        <f>COUNTIF($B$66:$B$85,D67)</f>
        <v>2</v>
      </c>
      <c r="I67" t="str">
        <v>Poland</v>
      </c>
      <c r="J67">
        <f>COUNTIF('Table 1'!B:B,Sheet3!I67)</f>
        <v>1</v>
      </c>
    </row>
    <row r="68" spans="2:10" x14ac:dyDescent="0.3">
      <c r="B68" s="51" t="s">
        <v>22</v>
      </c>
      <c r="D68" t="str">
        <v>Croatia</v>
      </c>
      <c r="E68">
        <f t="shared" ref="E68:E81" si="0">COUNTIF($B$66:$B$85,D68)</f>
        <v>1</v>
      </c>
      <c r="I68" t="str">
        <v>Malaysia</v>
      </c>
      <c r="J68">
        <f>COUNTIF('Table 1'!B:B,Sheet3!I68)</f>
        <v>2</v>
      </c>
    </row>
    <row r="69" spans="2:10" x14ac:dyDescent="0.3">
      <c r="B69" s="51" t="s">
        <v>42</v>
      </c>
      <c r="D69" t="str">
        <v>Spain</v>
      </c>
      <c r="E69">
        <f t="shared" si="0"/>
        <v>2</v>
      </c>
      <c r="I69" t="str">
        <v>Congo</v>
      </c>
      <c r="J69">
        <f>COUNTIF('Table 1'!B:B,Sheet3!I69)</f>
        <v>1</v>
      </c>
    </row>
    <row r="70" spans="2:10" x14ac:dyDescent="0.3">
      <c r="B70" s="51" t="s">
        <v>50</v>
      </c>
      <c r="D70" t="str">
        <v>Australia</v>
      </c>
      <c r="E70">
        <f t="shared" si="0"/>
        <v>1</v>
      </c>
      <c r="I70" t="str">
        <v>Zimbabwe</v>
      </c>
      <c r="J70">
        <f>COUNTIF('Table 1'!B:B,Sheet3!I70)</f>
        <v>1</v>
      </c>
    </row>
    <row r="71" spans="2:10" x14ac:dyDescent="0.3">
      <c r="B71" s="51" t="s">
        <v>51</v>
      </c>
      <c r="D71" t="str">
        <v>Vietnam</v>
      </c>
      <c r="E71">
        <f t="shared" si="0"/>
        <v>2</v>
      </c>
      <c r="I71" t="str">
        <v>Switzerland</v>
      </c>
      <c r="J71">
        <f>COUNTIF('Table 1'!B:B,Sheet3!I71)</f>
        <v>1</v>
      </c>
    </row>
    <row r="72" spans="2:10" x14ac:dyDescent="0.3">
      <c r="B72" s="51" t="s">
        <v>52</v>
      </c>
      <c r="D72" t="str">
        <v>Koreasouth</v>
      </c>
      <c r="E72">
        <f t="shared" si="0"/>
        <v>1</v>
      </c>
      <c r="I72" t="str">
        <v>Serbia</v>
      </c>
      <c r="J72">
        <f>COUNTIF('Table 1'!B:B,Sheet3!I72)</f>
        <v>2</v>
      </c>
    </row>
    <row r="73" spans="2:10" x14ac:dyDescent="0.3">
      <c r="B73" s="51" t="s">
        <v>103</v>
      </c>
      <c r="D73" t="str">
        <v>USA</v>
      </c>
      <c r="E73">
        <f t="shared" si="0"/>
        <v>1</v>
      </c>
      <c r="I73" t="str">
        <v>Tanzania</v>
      </c>
      <c r="J73">
        <f>COUNTIF('Table 1'!B:B,Sheet3!I73)</f>
        <v>1</v>
      </c>
    </row>
    <row r="74" spans="2:10" x14ac:dyDescent="0.3">
      <c r="B74" s="51" t="s">
        <v>40</v>
      </c>
      <c r="D74" t="str">
        <v>Russia</v>
      </c>
      <c r="E74">
        <f t="shared" si="0"/>
        <v>1</v>
      </c>
      <c r="I74" t="str">
        <v>Greece</v>
      </c>
      <c r="J74">
        <f>COUNTIF('Table 1'!B:B,Sheet3!I74)</f>
        <v>1</v>
      </c>
    </row>
    <row r="75" spans="2:10" x14ac:dyDescent="0.3">
      <c r="B75" s="51" t="s">
        <v>42</v>
      </c>
      <c r="D75" t="str">
        <v>Germany</v>
      </c>
      <c r="E75">
        <f t="shared" si="0"/>
        <v>2</v>
      </c>
      <c r="I75" t="str">
        <v>Honduras</v>
      </c>
      <c r="J75">
        <f>COUNTIF('Table 1'!B:B,Sheet3!I75)</f>
        <v>1</v>
      </c>
    </row>
    <row r="76" spans="2:10" x14ac:dyDescent="0.3">
      <c r="B76" s="51" t="s">
        <v>54</v>
      </c>
      <c r="D76" t="str">
        <v>Kazakhstan</v>
      </c>
      <c r="E76">
        <f t="shared" si="0"/>
        <v>2</v>
      </c>
      <c r="I76" t="str">
        <v>Morocco</v>
      </c>
      <c r="J76">
        <f>COUNTIF('Table 1'!B:B,Sheet3!I76)</f>
        <v>1</v>
      </c>
    </row>
    <row r="77" spans="2:10" x14ac:dyDescent="0.3">
      <c r="B77" s="51" t="s">
        <v>29</v>
      </c>
      <c r="D77" t="str">
        <v>India</v>
      </c>
      <c r="E77">
        <f t="shared" si="0"/>
        <v>1</v>
      </c>
      <c r="I77" t="str">
        <v>Uzbekistan</v>
      </c>
      <c r="J77">
        <f>COUNTIF('Table 1'!B:B,Sheet3!I77)</f>
        <v>3</v>
      </c>
    </row>
    <row r="78" spans="2:10" x14ac:dyDescent="0.3">
      <c r="B78" s="51" t="s">
        <v>29</v>
      </c>
      <c r="D78" t="str">
        <v>Southafrica</v>
      </c>
      <c r="E78">
        <f t="shared" si="0"/>
        <v>1</v>
      </c>
      <c r="I78" t="str">
        <v>The Gambia</v>
      </c>
      <c r="J78">
        <f>COUNTIF('Table 1'!B:B,Sheet3!I78)</f>
        <v>1</v>
      </c>
    </row>
    <row r="79" spans="2:10" x14ac:dyDescent="0.3">
      <c r="B79" s="51" t="s">
        <v>54</v>
      </c>
      <c r="D79" t="str">
        <v>Colombia</v>
      </c>
      <c r="E79">
        <f t="shared" si="0"/>
        <v>1</v>
      </c>
      <c r="I79" t="str">
        <v>Madagascar</v>
      </c>
      <c r="J79">
        <f>COUNTIF('Table 1'!B:B,Sheet3!I79)</f>
        <v>2</v>
      </c>
    </row>
    <row r="80" spans="2:10" x14ac:dyDescent="0.3">
      <c r="B80" s="51" t="s">
        <v>55</v>
      </c>
      <c r="D80" t="str">
        <v>Cameroon</v>
      </c>
      <c r="E80">
        <f t="shared" si="0"/>
        <v>1</v>
      </c>
      <c r="I80" t="str">
        <v/>
      </c>
      <c r="J80">
        <f>COUNTIF('Table 1'!B:B,Sheet3!I80)</f>
        <v>1048256</v>
      </c>
    </row>
    <row r="81" spans="2:10" x14ac:dyDescent="0.3">
      <c r="B81" s="51" t="s">
        <v>51</v>
      </c>
      <c r="D81" t="str">
        <v>Kosovo</v>
      </c>
      <c r="E81">
        <f t="shared" si="0"/>
        <v>1</v>
      </c>
      <c r="I81">
        <v>0</v>
      </c>
      <c r="J81">
        <f>COUNTIF('Table 1'!B:B,Sheet3!I81)</f>
        <v>0</v>
      </c>
    </row>
    <row r="82" spans="2:10" x14ac:dyDescent="0.3">
      <c r="B82" s="51" t="s">
        <v>56</v>
      </c>
    </row>
    <row r="83" spans="2:10" x14ac:dyDescent="0.3">
      <c r="B83" s="51" t="s">
        <v>57</v>
      </c>
    </row>
    <row r="84" spans="2:10" x14ac:dyDescent="0.3">
      <c r="B84" s="51" t="s">
        <v>18</v>
      </c>
    </row>
    <row r="85" spans="2:10" x14ac:dyDescent="0.3">
      <c r="B85" s="5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66"/>
  <sheetViews>
    <sheetView topLeftCell="A5" zoomScale="85" zoomScaleNormal="85" workbookViewId="0">
      <selection activeCell="B2" sqref="B2:B119"/>
    </sheetView>
  </sheetViews>
  <sheetFormatPr defaultRowHeight="13" x14ac:dyDescent="0.3"/>
  <cols>
    <col min="1" max="1" width="10.69921875" style="37" customWidth="1"/>
    <col min="2" max="2" width="25.796875" style="35" customWidth="1"/>
    <col min="3" max="3" width="12.19921875" style="38" customWidth="1"/>
    <col min="4" max="4" width="13.59765625" style="38" customWidth="1"/>
    <col min="5" max="5" width="12.8984375" style="38" customWidth="1"/>
    <col min="6" max="6" width="8.3984375" style="35" customWidth="1"/>
    <col min="7" max="7" width="17.59765625" style="35" customWidth="1"/>
    <col min="8" max="8" width="12.69921875" style="35" customWidth="1"/>
    <col min="9" max="9" width="16.296875" customWidth="1"/>
    <col min="10" max="10" width="13.296875" bestFit="1" customWidth="1"/>
    <col min="11" max="11" width="12.3984375" customWidth="1"/>
    <col min="12" max="12" width="10.3984375" bestFit="1" customWidth="1"/>
  </cols>
  <sheetData>
    <row r="1" spans="1:12" ht="19.25" customHeight="1" x14ac:dyDescent="0.3">
      <c r="A1" s="12" t="s">
        <v>0</v>
      </c>
      <c r="B1" s="13" t="s">
        <v>81</v>
      </c>
      <c r="C1" s="24" t="s">
        <v>83</v>
      </c>
      <c r="D1" s="14" t="s">
        <v>1</v>
      </c>
      <c r="E1" s="14" t="s">
        <v>2</v>
      </c>
      <c r="F1" s="15" t="s">
        <v>3</v>
      </c>
      <c r="G1" s="14" t="s">
        <v>4</v>
      </c>
      <c r="H1" s="16" t="s">
        <v>5</v>
      </c>
      <c r="I1" s="39" t="s">
        <v>92</v>
      </c>
      <c r="J1" s="36" t="s">
        <v>61</v>
      </c>
    </row>
    <row r="2" spans="1:12" ht="19.25" customHeight="1" x14ac:dyDescent="0.3">
      <c r="A2" s="8">
        <v>2503059</v>
      </c>
      <c r="B2" s="1" t="s">
        <v>28</v>
      </c>
      <c r="C2" s="1" t="s">
        <v>6</v>
      </c>
      <c r="D2" s="1" t="s">
        <v>6</v>
      </c>
      <c r="E2" s="1" t="s">
        <v>6</v>
      </c>
      <c r="F2" s="2">
        <v>99.55</v>
      </c>
      <c r="G2" s="3" t="s">
        <v>7</v>
      </c>
      <c r="H2" s="9">
        <v>1</v>
      </c>
      <c r="I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2" t="str">
        <f>IF(Table1[[#This Row],[Nationality]]="Nigeria",Table1[[#This Row],[EMJM Scholarship]],"Not Applicable")</f>
        <v>Not Applicable</v>
      </c>
    </row>
    <row r="3" spans="1:12" ht="19.25" customHeight="1" x14ac:dyDescent="0.3">
      <c r="A3" s="8">
        <v>2522846</v>
      </c>
      <c r="B3" s="1" t="s">
        <v>28</v>
      </c>
      <c r="C3" s="1" t="s">
        <v>6</v>
      </c>
      <c r="D3" s="1" t="s">
        <v>6</v>
      </c>
      <c r="E3" s="1" t="s">
        <v>6</v>
      </c>
      <c r="F3" s="2">
        <v>99.16</v>
      </c>
      <c r="G3" s="3" t="s">
        <v>7</v>
      </c>
      <c r="H3" s="9">
        <v>2</v>
      </c>
      <c r="I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3" t="str">
        <f>IF(Table1[[#This Row],[Nationality]]="Nigeria",Table1[[#This Row],[EMJM Scholarship]],"Not Applicable")</f>
        <v>Not Applicable</v>
      </c>
    </row>
    <row r="4" spans="1:12" ht="19.25" customHeight="1" x14ac:dyDescent="0.3">
      <c r="A4" s="8">
        <v>2457953</v>
      </c>
      <c r="B4" s="1" t="s">
        <v>22</v>
      </c>
      <c r="C4" s="1" t="s">
        <v>6</v>
      </c>
      <c r="D4" s="1" t="s">
        <v>6</v>
      </c>
      <c r="E4" s="1" t="s">
        <v>6</v>
      </c>
      <c r="F4" s="2">
        <v>98.74</v>
      </c>
      <c r="G4" s="3" t="s">
        <v>7</v>
      </c>
      <c r="H4" s="9">
        <v>3</v>
      </c>
      <c r="I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4" t="str">
        <f>IF(Table1[[#This Row],[Nationality]]="Nigeria",Table1[[#This Row],[EMJM Scholarship]],"Not Applicable")</f>
        <v>Not Applicable</v>
      </c>
    </row>
    <row r="5" spans="1:12" ht="19.25" customHeight="1" x14ac:dyDescent="0.3">
      <c r="A5" s="8">
        <v>2514655</v>
      </c>
      <c r="B5" s="1" t="s">
        <v>42</v>
      </c>
      <c r="C5" s="1" t="s">
        <v>6</v>
      </c>
      <c r="D5" s="1" t="s">
        <v>6</v>
      </c>
      <c r="E5" s="1" t="s">
        <v>6</v>
      </c>
      <c r="F5" s="2">
        <v>96.69</v>
      </c>
      <c r="G5" s="3" t="s">
        <v>7</v>
      </c>
      <c r="H5" s="9">
        <v>4</v>
      </c>
      <c r="I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5" t="str">
        <f>IF(Table1[[#This Row],[Nationality]]="Nigeria",Table1[[#This Row],[EMJM Scholarship]],"Not Applicable")</f>
        <v>Not Applicable</v>
      </c>
    </row>
    <row r="6" spans="1:12" ht="19.25" customHeight="1" x14ac:dyDescent="0.3">
      <c r="A6" s="8">
        <v>2521687</v>
      </c>
      <c r="B6" s="1" t="s">
        <v>50</v>
      </c>
      <c r="C6" s="1" t="s">
        <v>6</v>
      </c>
      <c r="D6" s="1" t="s">
        <v>6</v>
      </c>
      <c r="E6" s="1" t="s">
        <v>6</v>
      </c>
      <c r="F6" s="2">
        <v>96</v>
      </c>
      <c r="G6" s="3" t="s">
        <v>7</v>
      </c>
      <c r="H6" s="9">
        <v>5</v>
      </c>
      <c r="I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6" t="str">
        <f>IF(Table1[[#This Row],[Nationality]]="Nigeria",Table1[[#This Row],[EMJM Scholarship]],"Not Applicable")</f>
        <v>Not Applicable</v>
      </c>
    </row>
    <row r="7" spans="1:12" ht="19.25" customHeight="1" x14ac:dyDescent="0.3">
      <c r="A7" s="8">
        <v>2486151</v>
      </c>
      <c r="B7" s="1" t="s">
        <v>51</v>
      </c>
      <c r="C7" s="1" t="s">
        <v>6</v>
      </c>
      <c r="D7" s="1" t="s">
        <v>6</v>
      </c>
      <c r="E7" s="1" t="s">
        <v>6</v>
      </c>
      <c r="F7" s="2">
        <v>95.83</v>
      </c>
      <c r="G7" s="3" t="s">
        <v>7</v>
      </c>
      <c r="H7" s="9">
        <v>6</v>
      </c>
      <c r="I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7" t="str">
        <f>IF(Table1[[#This Row],[Nationality]]="Nigeria",Table1[[#This Row],[EMJM Scholarship]],"Not Applicable")</f>
        <v>Not Applicable</v>
      </c>
    </row>
    <row r="8" spans="1:12" ht="19.25" customHeight="1" x14ac:dyDescent="0.3">
      <c r="A8" s="8">
        <v>2414635</v>
      </c>
      <c r="B8" s="1" t="s">
        <v>52</v>
      </c>
      <c r="C8" s="22" t="s">
        <v>13</v>
      </c>
      <c r="D8" s="1" t="s">
        <v>6</v>
      </c>
      <c r="E8" s="1" t="s">
        <v>6</v>
      </c>
      <c r="F8" s="2">
        <v>95.62</v>
      </c>
      <c r="G8" s="3" t="s">
        <v>7</v>
      </c>
      <c r="H8" s="9">
        <v>7</v>
      </c>
      <c r="I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8" t="str">
        <f>IF(Table1[[#This Row],[Nationality]]="Nigeria",Table1[[#This Row],[EMJM Scholarship]],"Not Applicable")</f>
        <v>Not Applicable</v>
      </c>
    </row>
    <row r="9" spans="1:12" ht="19.25" customHeight="1" x14ac:dyDescent="0.3">
      <c r="A9" s="8">
        <v>2478579</v>
      </c>
      <c r="B9" s="1" t="s">
        <v>53</v>
      </c>
      <c r="C9" s="1" t="s">
        <v>6</v>
      </c>
      <c r="D9" s="1" t="s">
        <v>6</v>
      </c>
      <c r="E9" s="1" t="s">
        <v>6</v>
      </c>
      <c r="F9" s="2">
        <v>94.59</v>
      </c>
      <c r="G9" s="3" t="s">
        <v>7</v>
      </c>
      <c r="H9" s="9">
        <v>8</v>
      </c>
      <c r="I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9" t="str">
        <f>IF(Table1[[#This Row],[Nationality]]="Nigeria",Table1[[#This Row],[EMJM Scholarship]],"Not Applicable")</f>
        <v>Not Applicable</v>
      </c>
    </row>
    <row r="10" spans="1:12" ht="19.25" customHeight="1" x14ac:dyDescent="0.3">
      <c r="A10" s="8">
        <v>2522956</v>
      </c>
      <c r="B10" s="1" t="s">
        <v>40</v>
      </c>
      <c r="C10" s="1" t="s">
        <v>6</v>
      </c>
      <c r="D10" s="1" t="s">
        <v>6</v>
      </c>
      <c r="E10" s="1" t="s">
        <v>6</v>
      </c>
      <c r="F10" s="2">
        <v>94.32</v>
      </c>
      <c r="G10" s="3" t="s">
        <v>7</v>
      </c>
      <c r="H10" s="9">
        <v>9</v>
      </c>
      <c r="I1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0" t="str">
        <f>IF(Table1[[#This Row],[Nationality]]="Nigeria",Table1[[#This Row],[EMJM Scholarship]],"Not Applicable")</f>
        <v>Not Applicable</v>
      </c>
      <c r="L10" s="21"/>
    </row>
    <row r="11" spans="1:12" ht="19.25" customHeight="1" x14ac:dyDescent="0.3">
      <c r="A11" s="8">
        <v>2490947</v>
      </c>
      <c r="B11" s="1" t="s">
        <v>42</v>
      </c>
      <c r="C11" s="1" t="s">
        <v>6</v>
      </c>
      <c r="D11" s="1" t="s">
        <v>6</v>
      </c>
      <c r="E11" s="1" t="s">
        <v>6</v>
      </c>
      <c r="F11" s="2">
        <v>94.27</v>
      </c>
      <c r="G11" s="3" t="s">
        <v>7</v>
      </c>
      <c r="H11" s="9">
        <v>10</v>
      </c>
      <c r="I1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1" t="str">
        <f>IF(Table1[[#This Row],[Nationality]]="Nigeria",Table1[[#This Row],[EMJM Scholarship]],"Not Applicable")</f>
        <v>Not Applicable</v>
      </c>
    </row>
    <row r="12" spans="1:12" ht="19.25" customHeight="1" x14ac:dyDescent="0.3">
      <c r="A12" s="8">
        <v>2490010</v>
      </c>
      <c r="B12" s="1" t="s">
        <v>54</v>
      </c>
      <c r="C12" s="1" t="s">
        <v>6</v>
      </c>
      <c r="D12" s="1" t="s">
        <v>6</v>
      </c>
      <c r="E12" s="1" t="s">
        <v>6</v>
      </c>
      <c r="F12" s="2">
        <v>93.81</v>
      </c>
      <c r="G12" s="3" t="s">
        <v>7</v>
      </c>
      <c r="H12" s="9">
        <v>11</v>
      </c>
      <c r="I1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2" t="str">
        <f>IF(Table1[[#This Row],[Nationality]]="Nigeria",Table1[[#This Row],[EMJM Scholarship]],"Not Applicable")</f>
        <v>Not Applicable</v>
      </c>
    </row>
    <row r="13" spans="1:12" ht="19.25" hidden="1" customHeight="1" x14ac:dyDescent="0.3">
      <c r="A13" s="8">
        <v>2486337</v>
      </c>
      <c r="B13" s="1" t="s">
        <v>42</v>
      </c>
      <c r="C13" s="1" t="s">
        <v>6</v>
      </c>
      <c r="D13" s="1" t="s">
        <v>6</v>
      </c>
      <c r="E13" s="1" t="s">
        <v>6</v>
      </c>
      <c r="F13" s="2">
        <v>92.43</v>
      </c>
      <c r="G13" s="7" t="s">
        <v>11</v>
      </c>
      <c r="H13" s="9">
        <v>12</v>
      </c>
      <c r="I1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3" t="str">
        <f>IF(Table1[[#This Row],[Nationality]]="Nigeria",Table1[[#This Row],[EMJM Scholarship]],"Not Applicable")</f>
        <v>Not Applicable</v>
      </c>
    </row>
    <row r="14" spans="1:12" ht="19.25" hidden="1" customHeight="1" x14ac:dyDescent="0.3">
      <c r="A14" s="8">
        <v>2522335</v>
      </c>
      <c r="B14" s="1" t="s">
        <v>28</v>
      </c>
      <c r="C14" s="1" t="s">
        <v>6</v>
      </c>
      <c r="D14" s="1" t="s">
        <v>6</v>
      </c>
      <c r="E14" s="1" t="s">
        <v>6</v>
      </c>
      <c r="F14" s="2">
        <v>92.27</v>
      </c>
      <c r="G14" s="4" t="s">
        <v>8</v>
      </c>
      <c r="H14" s="9">
        <v>13</v>
      </c>
      <c r="I1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4" t="str">
        <f>IF(Table1[[#This Row],[Nationality]]="Nigeria",Table1[[#This Row],[EMJM Scholarship]],"Not Applicable")</f>
        <v>Not Applicable</v>
      </c>
    </row>
    <row r="15" spans="1:12" ht="19.25" customHeight="1" x14ac:dyDescent="0.3">
      <c r="A15" s="8">
        <v>2483617</v>
      </c>
      <c r="B15" s="1" t="s">
        <v>29</v>
      </c>
      <c r="C15" s="1" t="s">
        <v>6</v>
      </c>
      <c r="D15" s="1" t="s">
        <v>6</v>
      </c>
      <c r="E15" s="1" t="s">
        <v>6</v>
      </c>
      <c r="F15" s="2">
        <v>91.25</v>
      </c>
      <c r="G15" s="3" t="s">
        <v>7</v>
      </c>
      <c r="H15" s="9">
        <v>14</v>
      </c>
      <c r="I1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5" t="str">
        <f>IF(Table1[[#This Row],[Nationality]]="Nigeria",Table1[[#This Row],[EMJM Scholarship]],"Not Applicable")</f>
        <v>Not Applicable</v>
      </c>
    </row>
    <row r="16" spans="1:12" ht="19.25" customHeight="1" x14ac:dyDescent="0.3">
      <c r="A16" s="8">
        <v>2456884</v>
      </c>
      <c r="B16" s="1" t="s">
        <v>29</v>
      </c>
      <c r="C16" s="1" t="s">
        <v>6</v>
      </c>
      <c r="D16" s="1" t="s">
        <v>6</v>
      </c>
      <c r="E16" s="1" t="s">
        <v>6</v>
      </c>
      <c r="F16" s="2">
        <v>91.19</v>
      </c>
      <c r="G16" s="3" t="s">
        <v>7</v>
      </c>
      <c r="H16" s="9">
        <v>15</v>
      </c>
      <c r="I1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6" t="str">
        <f>IF(Table1[[#This Row],[Nationality]]="Nigeria",Table1[[#This Row],[EMJM Scholarship]],"Not Applicable")</f>
        <v>Not Applicable</v>
      </c>
    </row>
    <row r="17" spans="1:10" ht="19.25" customHeight="1" x14ac:dyDescent="0.3">
      <c r="A17" s="8">
        <v>2516349</v>
      </c>
      <c r="B17" s="1" t="s">
        <v>54</v>
      </c>
      <c r="C17" s="1" t="s">
        <v>6</v>
      </c>
      <c r="D17" s="1" t="s">
        <v>6</v>
      </c>
      <c r="E17" s="1" t="s">
        <v>6</v>
      </c>
      <c r="F17" s="2">
        <v>90.64</v>
      </c>
      <c r="G17" s="3" t="s">
        <v>7</v>
      </c>
      <c r="H17" s="9">
        <v>16</v>
      </c>
      <c r="I1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7" t="str">
        <f>IF(Table1[[#This Row],[Nationality]]="Nigeria",Table1[[#This Row],[EMJM Scholarship]],"Not Applicable")</f>
        <v>Not Applicable</v>
      </c>
    </row>
    <row r="18" spans="1:10" ht="19.25" customHeight="1" x14ac:dyDescent="0.3">
      <c r="A18" s="8">
        <v>2425475</v>
      </c>
      <c r="B18" s="1" t="s">
        <v>55</v>
      </c>
      <c r="C18" s="1" t="s">
        <v>6</v>
      </c>
      <c r="D18" s="1" t="s">
        <v>6</v>
      </c>
      <c r="E18" s="1" t="s">
        <v>6</v>
      </c>
      <c r="F18" s="2">
        <v>90.44</v>
      </c>
      <c r="G18" s="3" t="s">
        <v>7</v>
      </c>
      <c r="H18" s="9">
        <v>17</v>
      </c>
      <c r="I1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8" t="str">
        <f>IF(Table1[[#This Row],[Nationality]]="Nigeria",Table1[[#This Row],[EMJM Scholarship]],"Not Applicable")</f>
        <v>Not Applicable</v>
      </c>
    </row>
    <row r="19" spans="1:10" ht="19.25" customHeight="1" x14ac:dyDescent="0.3">
      <c r="A19" s="8">
        <v>2469483</v>
      </c>
      <c r="B19" s="1" t="s">
        <v>51</v>
      </c>
      <c r="C19" s="1" t="s">
        <v>6</v>
      </c>
      <c r="D19" s="1" t="s">
        <v>6</v>
      </c>
      <c r="E19" s="1" t="s">
        <v>6</v>
      </c>
      <c r="F19" s="2">
        <v>90.37</v>
      </c>
      <c r="G19" s="3" t="s">
        <v>7</v>
      </c>
      <c r="H19" s="9">
        <v>18</v>
      </c>
      <c r="I1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9" t="str">
        <f>IF(Table1[[#This Row],[Nationality]]="Nigeria",Table1[[#This Row],[EMJM Scholarship]],"Not Applicable")</f>
        <v>Not Applicable</v>
      </c>
    </row>
    <row r="20" spans="1:10" ht="19.25" hidden="1" customHeight="1" x14ac:dyDescent="0.3">
      <c r="A20" s="8">
        <v>2511648</v>
      </c>
      <c r="B20" s="1" t="s">
        <v>48</v>
      </c>
      <c r="C20" s="1" t="s">
        <v>6</v>
      </c>
      <c r="D20" s="1" t="s">
        <v>6</v>
      </c>
      <c r="E20" s="1" t="s">
        <v>6</v>
      </c>
      <c r="F20" s="2">
        <v>90.3</v>
      </c>
      <c r="G20" s="4" t="s">
        <v>8</v>
      </c>
      <c r="H20" s="9">
        <v>19</v>
      </c>
      <c r="I2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20" t="str">
        <f>IF(Table1[[#This Row],[Nationality]]="Nigeria",Table1[[#This Row],[EMJM Scholarship]],"Not Applicable")</f>
        <v>Not Applicable</v>
      </c>
    </row>
    <row r="21" spans="1:10" ht="19.25" hidden="1" customHeight="1" x14ac:dyDescent="0.3">
      <c r="A21" s="8">
        <v>2497447</v>
      </c>
      <c r="B21" s="1" t="s">
        <v>55</v>
      </c>
      <c r="C21" s="1" t="s">
        <v>6</v>
      </c>
      <c r="D21" s="1" t="s">
        <v>6</v>
      </c>
      <c r="E21" s="1" t="s">
        <v>6</v>
      </c>
      <c r="F21" s="2">
        <v>90.21</v>
      </c>
      <c r="G21" s="4" t="s">
        <v>8</v>
      </c>
      <c r="H21" s="9">
        <v>20</v>
      </c>
      <c r="I2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21" t="str">
        <f>IF(Table1[[#This Row],[Nationality]]="Nigeria",Table1[[#This Row],[EMJM Scholarship]],"Not Applicable")</f>
        <v>Not Applicable</v>
      </c>
    </row>
    <row r="22" spans="1:10" ht="19.25" hidden="1" customHeight="1" x14ac:dyDescent="0.3">
      <c r="A22" s="8">
        <v>2491678</v>
      </c>
      <c r="B22" s="1" t="s">
        <v>27</v>
      </c>
      <c r="C22" s="1" t="s">
        <v>6</v>
      </c>
      <c r="D22" s="1" t="s">
        <v>6</v>
      </c>
      <c r="E22" s="1" t="s">
        <v>6</v>
      </c>
      <c r="F22" s="2">
        <v>90.14</v>
      </c>
      <c r="G22" s="4" t="s">
        <v>8</v>
      </c>
      <c r="H22" s="9">
        <v>21</v>
      </c>
      <c r="I2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22" t="str">
        <f>IF(Table1[[#This Row],[Nationality]]="Nigeria",Table1[[#This Row],[EMJM Scholarship]],"Not Applicable")</f>
        <v>Not Applicable</v>
      </c>
    </row>
    <row r="23" spans="1:10" ht="19.25" hidden="1" customHeight="1" x14ac:dyDescent="0.3">
      <c r="A23" s="8">
        <v>2513320</v>
      </c>
      <c r="B23" s="1" t="s">
        <v>20</v>
      </c>
      <c r="C23" s="1" t="s">
        <v>6</v>
      </c>
      <c r="D23" s="1" t="s">
        <v>6</v>
      </c>
      <c r="E23" s="1" t="s">
        <v>6</v>
      </c>
      <c r="F23" s="2">
        <v>89.93</v>
      </c>
      <c r="G23" s="4" t="s">
        <v>8</v>
      </c>
      <c r="H23" s="9">
        <v>22</v>
      </c>
      <c r="I2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23" t="str">
        <f>IF(Table1[[#This Row],[Nationality]]="Nigeria",Table1[[#This Row],[EMJM Scholarship]],"Not Applicable")</f>
        <v>Not Applicable</v>
      </c>
    </row>
    <row r="24" spans="1:10" ht="19.25" hidden="1" customHeight="1" x14ac:dyDescent="0.3">
      <c r="A24" s="8">
        <v>2427464</v>
      </c>
      <c r="B24" s="1" t="s">
        <v>53</v>
      </c>
      <c r="C24" s="1" t="s">
        <v>6</v>
      </c>
      <c r="D24" s="1" t="s">
        <v>6</v>
      </c>
      <c r="E24" s="1" t="s">
        <v>6</v>
      </c>
      <c r="F24" s="2">
        <v>89.85</v>
      </c>
      <c r="G24" s="4" t="s">
        <v>8</v>
      </c>
      <c r="H24" s="9">
        <v>23</v>
      </c>
      <c r="I2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24" t="str">
        <f>IF(Table1[[#This Row],[Nationality]]="Nigeria",Table1[[#This Row],[EMJM Scholarship]],"Not Applicable")</f>
        <v>Not Applicable</v>
      </c>
    </row>
    <row r="25" spans="1:10" ht="19.25" customHeight="1" x14ac:dyDescent="0.3">
      <c r="A25" s="8">
        <v>2517800</v>
      </c>
      <c r="B25" s="1" t="s">
        <v>56</v>
      </c>
      <c r="C25" s="1" t="s">
        <v>6</v>
      </c>
      <c r="D25" s="1" t="s">
        <v>6</v>
      </c>
      <c r="E25" s="1" t="s">
        <v>6</v>
      </c>
      <c r="F25" s="2">
        <v>89.76</v>
      </c>
      <c r="G25" s="3" t="s">
        <v>7</v>
      </c>
      <c r="H25" s="9">
        <v>24</v>
      </c>
      <c r="I2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25" t="str">
        <f>IF(Table1[[#This Row],[Nationality]]="Nigeria",Table1[[#This Row],[EMJM Scholarship]],"Not Applicable")</f>
        <v>Not Applicable</v>
      </c>
    </row>
    <row r="26" spans="1:10" ht="19.25" hidden="1" customHeight="1" x14ac:dyDescent="0.3">
      <c r="A26" s="8">
        <v>2517057</v>
      </c>
      <c r="B26" s="1" t="s">
        <v>40</v>
      </c>
      <c r="C26" s="1" t="s">
        <v>6</v>
      </c>
      <c r="D26" s="1" t="s">
        <v>6</v>
      </c>
      <c r="E26" s="1" t="s">
        <v>6</v>
      </c>
      <c r="F26" s="2">
        <v>89.46</v>
      </c>
      <c r="G26" s="4" t="s">
        <v>8</v>
      </c>
      <c r="H26" s="9">
        <v>25</v>
      </c>
      <c r="I2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26" t="str">
        <f>IF(Table1[[#This Row],[Nationality]]="Nigeria",Table1[[#This Row],[EMJM Scholarship]],"Not Applicable")</f>
        <v>Not Applicable</v>
      </c>
    </row>
    <row r="27" spans="1:10" ht="19.25" hidden="1" customHeight="1" x14ac:dyDescent="0.3">
      <c r="A27" s="8">
        <v>2440071</v>
      </c>
      <c r="B27" s="1" t="s">
        <v>53</v>
      </c>
      <c r="C27" s="1" t="s">
        <v>6</v>
      </c>
      <c r="D27" s="1" t="s">
        <v>6</v>
      </c>
      <c r="E27" s="1" t="s">
        <v>6</v>
      </c>
      <c r="F27" s="2">
        <v>89.35</v>
      </c>
      <c r="G27" s="4" t="s">
        <v>8</v>
      </c>
      <c r="H27" s="9">
        <v>26</v>
      </c>
      <c r="I2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27" t="str">
        <f>IF(Table1[[#This Row],[Nationality]]="Nigeria",Table1[[#This Row],[EMJM Scholarship]],"Not Applicable")</f>
        <v>Not Applicable</v>
      </c>
    </row>
    <row r="28" spans="1:10" ht="19.25" hidden="1" customHeight="1" x14ac:dyDescent="0.3">
      <c r="A28" s="8">
        <v>2490347</v>
      </c>
      <c r="B28" s="1" t="s">
        <v>42</v>
      </c>
      <c r="C28" s="1" t="s">
        <v>6</v>
      </c>
      <c r="D28" s="1" t="s">
        <v>6</v>
      </c>
      <c r="E28" s="1" t="s">
        <v>6</v>
      </c>
      <c r="F28" s="2">
        <v>89.3</v>
      </c>
      <c r="G28" s="4" t="s">
        <v>8</v>
      </c>
      <c r="H28" s="9">
        <v>27</v>
      </c>
      <c r="I2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28" t="str">
        <f>IF(Table1[[#This Row],[Nationality]]="Nigeria",Table1[[#This Row],[EMJM Scholarship]],"Not Applicable")</f>
        <v>Not Applicable</v>
      </c>
    </row>
    <row r="29" spans="1:10" ht="19.25" hidden="1" customHeight="1" x14ac:dyDescent="0.3">
      <c r="A29" s="8">
        <v>2448658</v>
      </c>
      <c r="B29" s="1" t="s">
        <v>29</v>
      </c>
      <c r="C29" s="1" t="s">
        <v>6</v>
      </c>
      <c r="D29" s="1" t="s">
        <v>6</v>
      </c>
      <c r="E29" s="1" t="s">
        <v>6</v>
      </c>
      <c r="F29" s="2">
        <v>89.23</v>
      </c>
      <c r="G29" s="4" t="s">
        <v>8</v>
      </c>
      <c r="H29" s="9">
        <v>28</v>
      </c>
      <c r="I2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29" t="str">
        <f>IF(Table1[[#This Row],[Nationality]]="Nigeria",Table1[[#This Row],[EMJM Scholarship]],"Not Applicable")</f>
        <v>Not Applicable</v>
      </c>
    </row>
    <row r="30" spans="1:10" ht="19.25" hidden="1" customHeight="1" x14ac:dyDescent="0.3">
      <c r="A30" s="8">
        <v>2520562</v>
      </c>
      <c r="B30" s="1" t="s">
        <v>42</v>
      </c>
      <c r="C30" s="1" t="s">
        <v>6</v>
      </c>
      <c r="D30" s="1" t="s">
        <v>6</v>
      </c>
      <c r="E30" s="1" t="s">
        <v>6</v>
      </c>
      <c r="F30" s="2">
        <v>89.14</v>
      </c>
      <c r="G30" s="4" t="s">
        <v>8</v>
      </c>
      <c r="H30" s="9">
        <v>29</v>
      </c>
      <c r="I3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30" t="str">
        <f>IF(Table1[[#This Row],[Nationality]]="Nigeria",Table1[[#This Row],[EMJM Scholarship]],"Not Applicable")</f>
        <v>Not Applicable</v>
      </c>
    </row>
    <row r="31" spans="1:10" ht="19.25" hidden="1" customHeight="1" x14ac:dyDescent="0.3">
      <c r="A31" s="8">
        <v>2467815</v>
      </c>
      <c r="B31" s="1" t="s">
        <v>20</v>
      </c>
      <c r="C31" s="1" t="s">
        <v>6</v>
      </c>
      <c r="D31" s="1" t="s">
        <v>6</v>
      </c>
      <c r="E31" s="1" t="s">
        <v>6</v>
      </c>
      <c r="F31" s="2">
        <v>88.89</v>
      </c>
      <c r="G31" s="4" t="s">
        <v>8</v>
      </c>
      <c r="H31" s="9">
        <v>30</v>
      </c>
      <c r="I3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31" t="str">
        <f>IF(Table1[[#This Row],[Nationality]]="Nigeria",Table1[[#This Row],[EMJM Scholarship]],"Not Applicable")</f>
        <v>Not Applicable</v>
      </c>
    </row>
    <row r="32" spans="1:10" ht="19.25" customHeight="1" x14ac:dyDescent="0.3">
      <c r="A32" s="8">
        <v>2490480</v>
      </c>
      <c r="B32" s="1" t="s">
        <v>57</v>
      </c>
      <c r="C32" s="1" t="s">
        <v>6</v>
      </c>
      <c r="D32" s="1" t="s">
        <v>6</v>
      </c>
      <c r="E32" s="1" t="s">
        <v>6</v>
      </c>
      <c r="F32" s="2">
        <v>88.79</v>
      </c>
      <c r="G32" s="3" t="s">
        <v>7</v>
      </c>
      <c r="H32" s="9">
        <v>31</v>
      </c>
      <c r="I3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32" t="str">
        <f>IF(Table1[[#This Row],[Nationality]]="Nigeria",Table1[[#This Row],[EMJM Scholarship]],"Not Applicable")</f>
        <v>Not Applicable</v>
      </c>
    </row>
    <row r="33" spans="1:10" ht="19.25" hidden="1" customHeight="1" x14ac:dyDescent="0.3">
      <c r="A33" s="8">
        <v>2521772</v>
      </c>
      <c r="B33" s="1" t="s">
        <v>47</v>
      </c>
      <c r="C33" s="1" t="s">
        <v>6</v>
      </c>
      <c r="D33" s="1" t="s">
        <v>6</v>
      </c>
      <c r="E33" s="1" t="s">
        <v>6</v>
      </c>
      <c r="F33" s="2">
        <v>88.69</v>
      </c>
      <c r="G33" s="4" t="s">
        <v>8</v>
      </c>
      <c r="H33" s="9">
        <v>32</v>
      </c>
      <c r="I3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33" t="str">
        <f>IF(Table1[[#This Row],[Nationality]]="Nigeria",Table1[[#This Row],[EMJM Scholarship]],"Not Applicable")</f>
        <v>Not Applicable</v>
      </c>
    </row>
    <row r="34" spans="1:10" ht="19.25" hidden="1" customHeight="1" x14ac:dyDescent="0.3">
      <c r="A34" s="8">
        <v>2514041</v>
      </c>
      <c r="B34" s="1" t="s">
        <v>54</v>
      </c>
      <c r="C34" s="1" t="s">
        <v>6</v>
      </c>
      <c r="D34" s="1" t="s">
        <v>6</v>
      </c>
      <c r="E34" s="1" t="s">
        <v>6</v>
      </c>
      <c r="F34" s="2">
        <v>88.63</v>
      </c>
      <c r="G34" s="4" t="s">
        <v>8</v>
      </c>
      <c r="H34" s="9">
        <v>33</v>
      </c>
      <c r="I3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34" t="str">
        <f>IF(Table1[[#This Row],[Nationality]]="Nigeria",Table1[[#This Row],[EMJM Scholarship]],"Not Applicable")</f>
        <v>Not Applicable</v>
      </c>
    </row>
    <row r="35" spans="1:10" ht="19.25" hidden="1" customHeight="1" x14ac:dyDescent="0.3">
      <c r="A35" s="8">
        <v>2464307</v>
      </c>
      <c r="B35" s="1" t="s">
        <v>58</v>
      </c>
      <c r="C35" s="1" t="s">
        <v>6</v>
      </c>
      <c r="D35" s="1" t="s">
        <v>6</v>
      </c>
      <c r="E35" s="1" t="s">
        <v>6</v>
      </c>
      <c r="F35" s="2">
        <v>88.57</v>
      </c>
      <c r="G35" s="4" t="s">
        <v>8</v>
      </c>
      <c r="H35" s="9">
        <v>34</v>
      </c>
      <c r="I3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35" t="str">
        <f>IF(Table1[[#This Row],[Nationality]]="Nigeria",Table1[[#This Row],[EMJM Scholarship]],"Not Applicable")</f>
        <v>Not Applicable</v>
      </c>
    </row>
    <row r="36" spans="1:10" ht="19.25" hidden="1" customHeight="1" x14ac:dyDescent="0.3">
      <c r="A36" s="8">
        <v>2456649</v>
      </c>
      <c r="B36" s="1" t="s">
        <v>59</v>
      </c>
      <c r="C36" s="1" t="s">
        <v>6</v>
      </c>
      <c r="D36" s="1" t="s">
        <v>6</v>
      </c>
      <c r="E36" s="1" t="s">
        <v>6</v>
      </c>
      <c r="F36" s="2">
        <v>88.5</v>
      </c>
      <c r="G36" s="4" t="s">
        <v>8</v>
      </c>
      <c r="H36" s="9">
        <v>35</v>
      </c>
      <c r="I3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36" t="str">
        <f>IF(Table1[[#This Row],[Nationality]]="Nigeria",Table1[[#This Row],[EMJM Scholarship]],"Not Applicable")</f>
        <v>Not Applicable</v>
      </c>
    </row>
    <row r="37" spans="1:10" ht="19.25" hidden="1" customHeight="1" x14ac:dyDescent="0.3">
      <c r="A37" s="8">
        <v>2514333</v>
      </c>
      <c r="B37" s="1" t="s">
        <v>42</v>
      </c>
      <c r="C37" s="1" t="s">
        <v>6</v>
      </c>
      <c r="D37" s="1" t="s">
        <v>6</v>
      </c>
      <c r="E37" s="1" t="s">
        <v>6</v>
      </c>
      <c r="F37" s="2">
        <v>88.34</v>
      </c>
      <c r="G37" s="4" t="s">
        <v>8</v>
      </c>
      <c r="H37" s="9">
        <v>36</v>
      </c>
      <c r="I3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37" t="str">
        <f>IF(Table1[[#This Row],[Nationality]]="Nigeria",Table1[[#This Row],[EMJM Scholarship]],"Not Applicable")</f>
        <v>Not Applicable</v>
      </c>
    </row>
    <row r="38" spans="1:10" ht="19.25" hidden="1" customHeight="1" x14ac:dyDescent="0.3">
      <c r="A38" s="8">
        <v>2448166</v>
      </c>
      <c r="B38" s="1" t="s">
        <v>53</v>
      </c>
      <c r="C38" s="1" t="s">
        <v>6</v>
      </c>
      <c r="D38" s="1" t="s">
        <v>6</v>
      </c>
      <c r="E38" s="1" t="s">
        <v>6</v>
      </c>
      <c r="F38" s="2">
        <v>88.25</v>
      </c>
      <c r="G38" s="4" t="s">
        <v>8</v>
      </c>
      <c r="H38" s="9">
        <v>37</v>
      </c>
      <c r="I3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38" t="str">
        <f>IF(Table1[[#This Row],[Nationality]]="Nigeria",Table1[[#This Row],[EMJM Scholarship]],"Not Applicable")</f>
        <v>Not Applicable</v>
      </c>
    </row>
    <row r="39" spans="1:10" ht="19.25" hidden="1" customHeight="1" x14ac:dyDescent="0.3">
      <c r="A39" s="8">
        <v>2472522</v>
      </c>
      <c r="B39" s="1" t="s">
        <v>54</v>
      </c>
      <c r="C39" s="1" t="s">
        <v>6</v>
      </c>
      <c r="D39" s="1" t="s">
        <v>6</v>
      </c>
      <c r="E39" s="1" t="s">
        <v>6</v>
      </c>
      <c r="F39" s="2">
        <v>88.14</v>
      </c>
      <c r="G39" s="4" t="s">
        <v>8</v>
      </c>
      <c r="H39" s="9">
        <v>38</v>
      </c>
      <c r="I3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39" t="str">
        <f>IF(Table1[[#This Row],[Nationality]]="Nigeria",Table1[[#This Row],[EMJM Scholarship]],"Not Applicable")</f>
        <v>Not Applicable</v>
      </c>
    </row>
    <row r="40" spans="1:10" ht="19.25" hidden="1" customHeight="1" x14ac:dyDescent="0.3">
      <c r="A40" s="8">
        <v>2516519</v>
      </c>
      <c r="B40" s="1" t="s">
        <v>47</v>
      </c>
      <c r="C40" s="1" t="s">
        <v>6</v>
      </c>
      <c r="D40" s="1" t="s">
        <v>6</v>
      </c>
      <c r="E40" s="1" t="s">
        <v>6</v>
      </c>
      <c r="F40" s="2">
        <v>88.01</v>
      </c>
      <c r="G40" s="4" t="s">
        <v>8</v>
      </c>
      <c r="H40" s="9">
        <v>39</v>
      </c>
      <c r="I4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40" t="str">
        <f>IF(Table1[[#This Row],[Nationality]]="Nigeria",Table1[[#This Row],[EMJM Scholarship]],"Not Applicable")</f>
        <v>Not Applicable</v>
      </c>
    </row>
    <row r="41" spans="1:10" ht="19.25" hidden="1" customHeight="1" x14ac:dyDescent="0.3">
      <c r="A41" s="8">
        <v>2518101</v>
      </c>
      <c r="B41" s="1" t="s">
        <v>51</v>
      </c>
      <c r="C41" s="1" t="s">
        <v>6</v>
      </c>
      <c r="D41" s="1" t="s">
        <v>6</v>
      </c>
      <c r="E41" s="1" t="s">
        <v>6</v>
      </c>
      <c r="F41" s="2">
        <v>87.91</v>
      </c>
      <c r="G41" s="4" t="s">
        <v>8</v>
      </c>
      <c r="H41" s="9">
        <v>40</v>
      </c>
      <c r="I4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41" t="str">
        <f>IF(Table1[[#This Row],[Nationality]]="Nigeria",Table1[[#This Row],[EMJM Scholarship]],"Not Applicable")</f>
        <v>Not Applicable</v>
      </c>
    </row>
    <row r="42" spans="1:10" ht="19.25" hidden="1" customHeight="1" x14ac:dyDescent="0.3">
      <c r="A42" s="8">
        <v>2503679</v>
      </c>
      <c r="B42" s="1" t="s">
        <v>54</v>
      </c>
      <c r="C42" s="1" t="s">
        <v>6</v>
      </c>
      <c r="D42" s="1" t="s">
        <v>6</v>
      </c>
      <c r="E42" s="1" t="s">
        <v>6</v>
      </c>
      <c r="F42" s="2">
        <v>87.83</v>
      </c>
      <c r="G42" s="4" t="s">
        <v>8</v>
      </c>
      <c r="H42" s="9">
        <v>41</v>
      </c>
      <c r="I4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42" t="str">
        <f>IF(Table1[[#This Row],[Nationality]]="Nigeria",Table1[[#This Row],[EMJM Scholarship]],"Not Applicable")</f>
        <v>Not Applicable</v>
      </c>
    </row>
    <row r="43" spans="1:10" ht="19.25" hidden="1" customHeight="1" x14ac:dyDescent="0.3">
      <c r="A43" s="8">
        <v>2415967</v>
      </c>
      <c r="B43" s="1" t="s">
        <v>58</v>
      </c>
      <c r="C43" s="1" t="s">
        <v>6</v>
      </c>
      <c r="D43" s="1" t="s">
        <v>6</v>
      </c>
      <c r="E43" s="1" t="s">
        <v>6</v>
      </c>
      <c r="F43" s="2">
        <v>87.58</v>
      </c>
      <c r="G43" s="4" t="s">
        <v>8</v>
      </c>
      <c r="H43" s="9">
        <v>42</v>
      </c>
      <c r="I4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43" t="str">
        <f>IF(Table1[[#This Row],[Nationality]]="Nigeria",Table1[[#This Row],[EMJM Scholarship]],"Not Applicable")</f>
        <v>Not Applicable</v>
      </c>
    </row>
    <row r="44" spans="1:10" ht="19.25" hidden="1" customHeight="1" x14ac:dyDescent="0.3">
      <c r="A44" s="8">
        <v>2482958</v>
      </c>
      <c r="B44" s="1" t="s">
        <v>58</v>
      </c>
      <c r="C44" s="1" t="s">
        <v>6</v>
      </c>
      <c r="D44" s="1" t="s">
        <v>6</v>
      </c>
      <c r="E44" s="1" t="s">
        <v>6</v>
      </c>
      <c r="F44" s="2">
        <v>87.5</v>
      </c>
      <c r="G44" s="4" t="s">
        <v>8</v>
      </c>
      <c r="H44" s="9">
        <v>43</v>
      </c>
      <c r="I4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44" t="str">
        <f>IF(Table1[[#This Row],[Nationality]]="Nigeria",Table1[[#This Row],[EMJM Scholarship]],"Not Applicable")</f>
        <v>Not Applicable</v>
      </c>
    </row>
    <row r="45" spans="1:10" ht="19.25" hidden="1" customHeight="1" x14ac:dyDescent="0.3">
      <c r="A45" s="8">
        <v>2494855</v>
      </c>
      <c r="B45" s="1" t="s">
        <v>57</v>
      </c>
      <c r="C45" s="1" t="s">
        <v>6</v>
      </c>
      <c r="D45" s="1" t="s">
        <v>6</v>
      </c>
      <c r="E45" s="1" t="s">
        <v>6</v>
      </c>
      <c r="F45" s="2">
        <v>87.45</v>
      </c>
      <c r="G45" s="4" t="s">
        <v>8</v>
      </c>
      <c r="H45" s="9">
        <v>44</v>
      </c>
      <c r="I4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45" t="str">
        <f>IF(Table1[[#This Row],[Nationality]]="Nigeria",Table1[[#This Row],[EMJM Scholarship]],"Not Applicable")</f>
        <v>Not Applicable</v>
      </c>
    </row>
    <row r="46" spans="1:10" ht="19.25" hidden="1" customHeight="1" x14ac:dyDescent="0.3">
      <c r="A46" s="8">
        <v>2512536</v>
      </c>
      <c r="B46" s="1" t="s">
        <v>60</v>
      </c>
      <c r="C46" s="1" t="s">
        <v>6</v>
      </c>
      <c r="D46" s="1" t="s">
        <v>6</v>
      </c>
      <c r="E46" s="1" t="s">
        <v>6</v>
      </c>
      <c r="F46" s="2">
        <v>87.4</v>
      </c>
      <c r="G46" s="4" t="s">
        <v>8</v>
      </c>
      <c r="H46" s="9">
        <v>45</v>
      </c>
      <c r="I4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46" t="str">
        <f>IF(Table1[[#This Row],[Nationality]]="Nigeria",Table1[[#This Row],[EMJM Scholarship]],"Not Applicable")</f>
        <v>Not Applicable</v>
      </c>
    </row>
    <row r="47" spans="1:10" ht="19.25" hidden="1" customHeight="1" x14ac:dyDescent="0.3">
      <c r="A47" s="8">
        <v>2518888</v>
      </c>
      <c r="B47" s="1" t="s">
        <v>37</v>
      </c>
      <c r="C47" s="1" t="s">
        <v>6</v>
      </c>
      <c r="D47" s="1" t="s">
        <v>6</v>
      </c>
      <c r="E47" s="1" t="s">
        <v>6</v>
      </c>
      <c r="F47" s="2">
        <v>87.35</v>
      </c>
      <c r="G47" s="4" t="s">
        <v>8</v>
      </c>
      <c r="H47" s="9">
        <v>46</v>
      </c>
      <c r="I4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47" t="str">
        <f>IF(Table1[[#This Row],[Nationality]]="Nigeria",Table1[[#This Row],[EMJM Scholarship]],"Not Applicable")</f>
        <v>Not Applicable</v>
      </c>
    </row>
    <row r="48" spans="1:10" ht="19.25" hidden="1" customHeight="1" x14ac:dyDescent="0.3">
      <c r="A48" s="8">
        <v>2462922</v>
      </c>
      <c r="B48" s="1" t="s">
        <v>60</v>
      </c>
      <c r="C48" s="1" t="s">
        <v>6</v>
      </c>
      <c r="D48" s="1" t="s">
        <v>6</v>
      </c>
      <c r="E48" s="1" t="s">
        <v>6</v>
      </c>
      <c r="F48" s="2">
        <v>87.3</v>
      </c>
      <c r="G48" s="4" t="s">
        <v>8</v>
      </c>
      <c r="H48" s="9">
        <v>47</v>
      </c>
      <c r="I4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48" t="str">
        <f>IF(Table1[[#This Row],[Nationality]]="Nigeria",Table1[[#This Row],[EMJM Scholarship]],"Not Applicable")</f>
        <v>Not Applicable</v>
      </c>
    </row>
    <row r="49" spans="1:10" ht="19.25" hidden="1" customHeight="1" x14ac:dyDescent="0.3">
      <c r="A49" s="8">
        <v>2507876</v>
      </c>
      <c r="B49" s="1" t="s">
        <v>37</v>
      </c>
      <c r="C49" s="1" t="s">
        <v>6</v>
      </c>
      <c r="D49" s="1" t="s">
        <v>6</v>
      </c>
      <c r="E49" s="1" t="s">
        <v>6</v>
      </c>
      <c r="F49" s="2">
        <v>87.25</v>
      </c>
      <c r="G49" s="4" t="s">
        <v>8</v>
      </c>
      <c r="H49" s="9">
        <v>48</v>
      </c>
      <c r="I4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49" t="str">
        <f>IF(Table1[[#This Row],[Nationality]]="Nigeria",Table1[[#This Row],[EMJM Scholarship]],"Not Applicable")</f>
        <v>Not Applicable</v>
      </c>
    </row>
    <row r="50" spans="1:10" ht="19.25" hidden="1" customHeight="1" x14ac:dyDescent="0.3">
      <c r="A50" s="8">
        <v>2417146</v>
      </c>
      <c r="B50" s="1" t="s">
        <v>58</v>
      </c>
      <c r="C50" s="1" t="s">
        <v>6</v>
      </c>
      <c r="D50" s="1" t="s">
        <v>6</v>
      </c>
      <c r="E50" s="1" t="s">
        <v>6</v>
      </c>
      <c r="F50" s="2">
        <v>87.19</v>
      </c>
      <c r="G50" s="4" t="s">
        <v>8</v>
      </c>
      <c r="H50" s="9">
        <v>49</v>
      </c>
      <c r="I5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50" t="str">
        <f>IF(Table1[[#This Row],[Nationality]]="Nigeria",Table1[[#This Row],[EMJM Scholarship]],"Not Applicable")</f>
        <v>Not Applicable</v>
      </c>
    </row>
    <row r="51" spans="1:10" ht="19.25" customHeight="1" x14ac:dyDescent="0.3">
      <c r="A51" s="8">
        <v>2484132</v>
      </c>
      <c r="B51" s="1" t="s">
        <v>18</v>
      </c>
      <c r="C51" s="1" t="s">
        <v>6</v>
      </c>
      <c r="D51" s="1" t="s">
        <v>6</v>
      </c>
      <c r="E51" s="1" t="s">
        <v>6</v>
      </c>
      <c r="F51" s="2">
        <v>87.13</v>
      </c>
      <c r="G51" s="3" t="s">
        <v>7</v>
      </c>
      <c r="H51" s="9">
        <v>50</v>
      </c>
      <c r="I5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51" t="str">
        <f>IF(Table1[[#This Row],[Nationality]]="Nigeria",Table1[[#This Row],[EMJM Scholarship]],"Not Applicable")</f>
        <v>Not Applicable</v>
      </c>
    </row>
    <row r="52" spans="1:10" ht="19.25" hidden="1" customHeight="1" x14ac:dyDescent="0.3">
      <c r="A52" s="8">
        <v>2429543</v>
      </c>
      <c r="B52" s="1" t="s">
        <v>15</v>
      </c>
      <c r="C52" s="1" t="s">
        <v>6</v>
      </c>
      <c r="D52" s="1" t="s">
        <v>6</v>
      </c>
      <c r="E52" s="1" t="s">
        <v>6</v>
      </c>
      <c r="F52" s="2">
        <v>87.05</v>
      </c>
      <c r="G52" s="4" t="s">
        <v>8</v>
      </c>
      <c r="H52" s="9">
        <v>51</v>
      </c>
      <c r="I5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52" t="str">
        <f>IF(Table1[[#This Row],[Nationality]]="Nigeria",Table1[[#This Row],[EMJM Scholarship]],"Not Applicable")</f>
        <v>Not Applicable</v>
      </c>
    </row>
    <row r="53" spans="1:10" ht="19.25" hidden="1" customHeight="1" x14ac:dyDescent="0.3">
      <c r="A53" s="8">
        <v>2472759</v>
      </c>
      <c r="B53" s="1" t="s">
        <v>58</v>
      </c>
      <c r="C53" s="1" t="s">
        <v>6</v>
      </c>
      <c r="D53" s="1" t="s">
        <v>6</v>
      </c>
      <c r="E53" s="1" t="s">
        <v>6</v>
      </c>
      <c r="F53" s="2">
        <v>87</v>
      </c>
      <c r="G53" s="4" t="s">
        <v>8</v>
      </c>
      <c r="H53" s="9">
        <v>52</v>
      </c>
      <c r="I5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53" t="str">
        <f>IF(Table1[[#This Row],[Nationality]]="Nigeria",Table1[[#This Row],[EMJM Scholarship]],"Not Applicable")</f>
        <v>Not Applicable</v>
      </c>
    </row>
    <row r="54" spans="1:10" ht="19.25" hidden="1" customHeight="1" x14ac:dyDescent="0.3">
      <c r="A54" s="8">
        <v>2520544</v>
      </c>
      <c r="B54" s="1" t="s">
        <v>42</v>
      </c>
      <c r="C54" s="1" t="s">
        <v>6</v>
      </c>
      <c r="D54" s="1" t="s">
        <v>6</v>
      </c>
      <c r="E54" s="1" t="s">
        <v>6</v>
      </c>
      <c r="F54" s="2">
        <v>86.95</v>
      </c>
      <c r="G54" s="4" t="s">
        <v>8</v>
      </c>
      <c r="H54" s="9">
        <v>53</v>
      </c>
      <c r="I5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54" t="str">
        <f>IF(Table1[[#This Row],[Nationality]]="Nigeria",Table1[[#This Row],[EMJM Scholarship]],"Not Applicable")</f>
        <v>Not Applicable</v>
      </c>
    </row>
    <row r="55" spans="1:10" ht="19.25" hidden="1" customHeight="1" x14ac:dyDescent="0.3">
      <c r="A55" s="8">
        <v>2508483</v>
      </c>
      <c r="B55" s="1" t="s">
        <v>34</v>
      </c>
      <c r="C55" s="1" t="s">
        <v>6</v>
      </c>
      <c r="D55" s="1" t="s">
        <v>6</v>
      </c>
      <c r="E55" s="1" t="s">
        <v>6</v>
      </c>
      <c r="F55" s="2">
        <v>86.9</v>
      </c>
      <c r="G55" s="4" t="s">
        <v>8</v>
      </c>
      <c r="H55" s="9">
        <v>54</v>
      </c>
      <c r="I5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55" t="str">
        <f>IF(Table1[[#This Row],[Nationality]]="Nigeria",Table1[[#This Row],[EMJM Scholarship]],"Not Applicable")</f>
        <v>Not Applicable</v>
      </c>
    </row>
    <row r="56" spans="1:10" ht="19.25" hidden="1" customHeight="1" x14ac:dyDescent="0.3">
      <c r="A56" s="8">
        <v>2465842</v>
      </c>
      <c r="B56" s="1" t="s">
        <v>33</v>
      </c>
      <c r="C56" s="1" t="s">
        <v>6</v>
      </c>
      <c r="D56" s="1" t="s">
        <v>6</v>
      </c>
      <c r="E56" s="1" t="s">
        <v>6</v>
      </c>
      <c r="F56" s="2">
        <v>86.84</v>
      </c>
      <c r="G56" s="4" t="s">
        <v>8</v>
      </c>
      <c r="H56" s="9">
        <v>55</v>
      </c>
      <c r="I5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56" t="str">
        <f>IF(Table1[[#This Row],[Nationality]]="Nigeria",Table1[[#This Row],[EMJM Scholarship]],"Not Applicable")</f>
        <v>Not Applicable</v>
      </c>
    </row>
    <row r="57" spans="1:10" ht="19.25" hidden="1" customHeight="1" x14ac:dyDescent="0.3">
      <c r="A57" s="8">
        <v>2522761</v>
      </c>
      <c r="B57" s="1" t="s">
        <v>37</v>
      </c>
      <c r="C57" s="1" t="s">
        <v>6</v>
      </c>
      <c r="D57" s="1" t="s">
        <v>6</v>
      </c>
      <c r="E57" s="1" t="s">
        <v>6</v>
      </c>
      <c r="F57" s="2">
        <v>86.77</v>
      </c>
      <c r="G57" s="4" t="s">
        <v>8</v>
      </c>
      <c r="H57" s="9">
        <v>56</v>
      </c>
      <c r="I5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57" t="str">
        <f>IF(Table1[[#This Row],[Nationality]]="Nigeria",Table1[[#This Row],[EMJM Scholarship]],"Not Applicable")</f>
        <v>Not Applicable</v>
      </c>
    </row>
    <row r="58" spans="1:10" ht="19.25" hidden="1" customHeight="1" x14ac:dyDescent="0.3">
      <c r="A58" s="8">
        <v>2415083</v>
      </c>
      <c r="B58" s="1" t="s">
        <v>18</v>
      </c>
      <c r="C58" s="1" t="s">
        <v>6</v>
      </c>
      <c r="D58" s="1" t="s">
        <v>6</v>
      </c>
      <c r="E58" s="1" t="s">
        <v>6</v>
      </c>
      <c r="F58" s="2">
        <v>86.45</v>
      </c>
      <c r="G58" s="4" t="s">
        <v>8</v>
      </c>
      <c r="H58" s="9">
        <v>57</v>
      </c>
      <c r="I5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58" t="str">
        <f>IF(Table1[[#This Row],[Nationality]]="Nigeria",Table1[[#This Row],[EMJM Scholarship]],"Not Applicable")</f>
        <v>Not Applicable</v>
      </c>
    </row>
    <row r="59" spans="1:10" ht="19.25" hidden="1" customHeight="1" x14ac:dyDescent="0.3">
      <c r="A59" s="8">
        <v>2489925</v>
      </c>
      <c r="B59" s="1" t="s">
        <v>55</v>
      </c>
      <c r="C59" s="1" t="s">
        <v>6</v>
      </c>
      <c r="D59" s="1" t="s">
        <v>6</v>
      </c>
      <c r="E59" s="1" t="s">
        <v>6</v>
      </c>
      <c r="F59" s="2">
        <v>86.34</v>
      </c>
      <c r="G59" s="4" t="s">
        <v>8</v>
      </c>
      <c r="H59" s="9">
        <v>58</v>
      </c>
      <c r="I5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59" t="str">
        <f>IF(Table1[[#This Row],[Nationality]]="Nigeria",Table1[[#This Row],[EMJM Scholarship]],"Not Applicable")</f>
        <v>Not Applicable</v>
      </c>
    </row>
    <row r="60" spans="1:10" ht="19.25" hidden="1" customHeight="1" x14ac:dyDescent="0.3">
      <c r="A60" s="8">
        <v>2513155</v>
      </c>
      <c r="B60" s="1" t="s">
        <v>53</v>
      </c>
      <c r="C60" s="1" t="s">
        <v>6</v>
      </c>
      <c r="D60" s="1" t="s">
        <v>6</v>
      </c>
      <c r="E60" s="1" t="s">
        <v>6</v>
      </c>
      <c r="F60" s="2">
        <v>86.2</v>
      </c>
      <c r="G60" s="4" t="s">
        <v>8</v>
      </c>
      <c r="H60" s="9">
        <v>59</v>
      </c>
      <c r="I6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60" t="str">
        <f>IF(Table1[[#This Row],[Nationality]]="Nigeria",Table1[[#This Row],[EMJM Scholarship]],"Not Applicable")</f>
        <v>Not Applicable</v>
      </c>
    </row>
    <row r="61" spans="1:10" ht="19.25" hidden="1" customHeight="1" x14ac:dyDescent="0.3">
      <c r="A61" s="8">
        <v>2521664</v>
      </c>
      <c r="B61" s="1" t="s">
        <v>46</v>
      </c>
      <c r="C61" s="1" t="s">
        <v>6</v>
      </c>
      <c r="D61" s="1" t="s">
        <v>6</v>
      </c>
      <c r="E61" s="1" t="s">
        <v>6</v>
      </c>
      <c r="F61" s="2">
        <v>86.15</v>
      </c>
      <c r="G61" s="4" t="s">
        <v>8</v>
      </c>
      <c r="H61" s="9">
        <v>60</v>
      </c>
      <c r="I6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61" t="str">
        <f>IF(Table1[[#This Row],[Nationality]]="Nigeria",Table1[[#This Row],[EMJM Scholarship]],"Not Applicable")</f>
        <v>Not Applicable</v>
      </c>
    </row>
    <row r="62" spans="1:10" ht="19.25" hidden="1" customHeight="1" x14ac:dyDescent="0.3">
      <c r="A62" s="8">
        <v>2512983</v>
      </c>
      <c r="B62" s="1" t="s">
        <v>56</v>
      </c>
      <c r="C62" s="1" t="s">
        <v>6</v>
      </c>
      <c r="D62" s="1" t="s">
        <v>6</v>
      </c>
      <c r="E62" s="1" t="s">
        <v>6</v>
      </c>
      <c r="F62" s="2">
        <v>86.1</v>
      </c>
      <c r="G62" s="4" t="s">
        <v>8</v>
      </c>
      <c r="H62" s="9">
        <v>61</v>
      </c>
      <c r="I6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62" t="str">
        <f>IF(Table1[[#This Row],[Nationality]]="Nigeria",Table1[[#This Row],[EMJM Scholarship]],"Not Applicable")</f>
        <v>Not Applicable</v>
      </c>
    </row>
    <row r="63" spans="1:10" ht="19.25" hidden="1" customHeight="1" x14ac:dyDescent="0.3">
      <c r="A63" s="8">
        <v>2483280</v>
      </c>
      <c r="B63" s="1" t="s">
        <v>24</v>
      </c>
      <c r="C63" s="1" t="s">
        <v>6</v>
      </c>
      <c r="D63" s="1" t="s">
        <v>6</v>
      </c>
      <c r="E63" s="1" t="s">
        <v>6</v>
      </c>
      <c r="F63" s="2">
        <v>86.05</v>
      </c>
      <c r="G63" s="4" t="s">
        <v>8</v>
      </c>
      <c r="H63" s="9">
        <v>62</v>
      </c>
      <c r="I6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63" t="str">
        <f>IF(Table1[[#This Row],[Nationality]]="Nigeria",Table1[[#This Row],[EMJM Scholarship]],"Not Applicable")</f>
        <v>Not Applicable</v>
      </c>
    </row>
    <row r="64" spans="1:10" ht="19.25" hidden="1" customHeight="1" x14ac:dyDescent="0.3">
      <c r="A64" s="8">
        <v>2465578</v>
      </c>
      <c r="B64" s="1" t="s">
        <v>18</v>
      </c>
      <c r="C64" s="1" t="s">
        <v>6</v>
      </c>
      <c r="D64" s="1" t="s">
        <v>6</v>
      </c>
      <c r="E64" s="1" t="s">
        <v>6</v>
      </c>
      <c r="F64" s="2">
        <v>86</v>
      </c>
      <c r="G64" s="4" t="s">
        <v>8</v>
      </c>
      <c r="H64" s="9">
        <v>63</v>
      </c>
      <c r="I6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64" t="str">
        <f>IF(Table1[[#This Row],[Nationality]]="Nigeria",Table1[[#This Row],[EMJM Scholarship]],"Not Applicable")</f>
        <v>Not Applicable</v>
      </c>
    </row>
    <row r="65" spans="1:10" ht="19.25" hidden="1" customHeight="1" x14ac:dyDescent="0.3">
      <c r="A65" s="8">
        <v>2513497</v>
      </c>
      <c r="B65" s="1" t="s">
        <v>61</v>
      </c>
      <c r="C65" s="1" t="s">
        <v>6</v>
      </c>
      <c r="D65" s="1" t="s">
        <v>6</v>
      </c>
      <c r="E65" s="1" t="s">
        <v>6</v>
      </c>
      <c r="F65" s="2">
        <v>85.95</v>
      </c>
      <c r="G65" s="4" t="s">
        <v>8</v>
      </c>
      <c r="H65" s="9">
        <v>64</v>
      </c>
      <c r="I6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65" t="str">
        <f>IF(Table1[[#This Row],[Nationality]]="Nigeria",Table1[[#This Row],[EMJM Scholarship]],"Not Applicable")</f>
        <v>Waiting List</v>
      </c>
    </row>
    <row r="66" spans="1:10" ht="19.25" hidden="1" customHeight="1" x14ac:dyDescent="0.3">
      <c r="A66" s="8">
        <v>2516686</v>
      </c>
      <c r="B66" s="1" t="s">
        <v>58</v>
      </c>
      <c r="C66" s="1" t="s">
        <v>6</v>
      </c>
      <c r="D66" s="1" t="s">
        <v>6</v>
      </c>
      <c r="E66" s="1" t="s">
        <v>6</v>
      </c>
      <c r="F66" s="2">
        <v>85.9</v>
      </c>
      <c r="G66" s="4" t="s">
        <v>8</v>
      </c>
      <c r="H66" s="9">
        <v>65</v>
      </c>
      <c r="I6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66" t="str">
        <f>IF(Table1[[#This Row],[Nationality]]="Nigeria",Table1[[#This Row],[EMJM Scholarship]],"Not Applicable")</f>
        <v>Not Applicable</v>
      </c>
    </row>
    <row r="67" spans="1:10" ht="19.25" hidden="1" customHeight="1" x14ac:dyDescent="0.3">
      <c r="A67" s="8">
        <v>2501634</v>
      </c>
      <c r="B67" s="1" t="s">
        <v>61</v>
      </c>
      <c r="C67" s="1" t="s">
        <v>6</v>
      </c>
      <c r="D67" s="1" t="s">
        <v>6</v>
      </c>
      <c r="E67" s="1" t="s">
        <v>6</v>
      </c>
      <c r="F67" s="2">
        <v>85.85</v>
      </c>
      <c r="G67" s="4" t="s">
        <v>8</v>
      </c>
      <c r="H67" s="9">
        <v>66</v>
      </c>
      <c r="I6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67" t="str">
        <f>IF(Table1[[#This Row],[Nationality]]="Nigeria",Table1[[#This Row],[EMJM Scholarship]],"Not Applicable")</f>
        <v>Waiting List</v>
      </c>
    </row>
    <row r="68" spans="1:10" ht="19.25" hidden="1" customHeight="1" x14ac:dyDescent="0.3">
      <c r="A68" s="8">
        <v>2414632</v>
      </c>
      <c r="B68" s="1" t="s">
        <v>58</v>
      </c>
      <c r="C68" s="1" t="s">
        <v>6</v>
      </c>
      <c r="D68" s="1" t="s">
        <v>6</v>
      </c>
      <c r="E68" s="1" t="s">
        <v>6</v>
      </c>
      <c r="F68" s="2">
        <v>85.8</v>
      </c>
      <c r="G68" s="4" t="s">
        <v>8</v>
      </c>
      <c r="H68" s="9">
        <v>67</v>
      </c>
      <c r="I6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68" t="str">
        <f>IF(Table1[[#This Row],[Nationality]]="Nigeria",Table1[[#This Row],[EMJM Scholarship]],"Not Applicable")</f>
        <v>Not Applicable</v>
      </c>
    </row>
    <row r="69" spans="1:10" ht="19.25" hidden="1" customHeight="1" x14ac:dyDescent="0.3">
      <c r="A69" s="8">
        <v>2488268</v>
      </c>
      <c r="B69" s="1" t="s">
        <v>62</v>
      </c>
      <c r="C69" s="1" t="s">
        <v>6</v>
      </c>
      <c r="D69" s="1" t="s">
        <v>6</v>
      </c>
      <c r="E69" s="1" t="s">
        <v>6</v>
      </c>
      <c r="F69" s="2">
        <v>85.75</v>
      </c>
      <c r="G69" s="4" t="s">
        <v>8</v>
      </c>
      <c r="H69" s="9">
        <v>68</v>
      </c>
      <c r="I6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69" t="str">
        <f>IF(Table1[[#This Row],[Nationality]]="Nigeria",Table1[[#This Row],[EMJM Scholarship]],"Not Applicable")</f>
        <v>Not Applicable</v>
      </c>
    </row>
    <row r="70" spans="1:10" ht="19.25" hidden="1" customHeight="1" x14ac:dyDescent="0.3">
      <c r="A70" s="8">
        <v>2477173</v>
      </c>
      <c r="B70" s="1" t="s">
        <v>47</v>
      </c>
      <c r="C70" s="1" t="s">
        <v>6</v>
      </c>
      <c r="D70" s="1" t="s">
        <v>6</v>
      </c>
      <c r="E70" s="1" t="s">
        <v>6</v>
      </c>
      <c r="F70" s="2">
        <v>85.7</v>
      </c>
      <c r="G70" s="4" t="s">
        <v>8</v>
      </c>
      <c r="H70" s="9">
        <v>69</v>
      </c>
      <c r="I7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70" t="str">
        <f>IF(Table1[[#This Row],[Nationality]]="Nigeria",Table1[[#This Row],[EMJM Scholarship]],"Not Applicable")</f>
        <v>Not Applicable</v>
      </c>
    </row>
    <row r="71" spans="1:10" ht="19.25" hidden="1" customHeight="1" x14ac:dyDescent="0.3">
      <c r="A71" s="8">
        <v>2422851</v>
      </c>
      <c r="B71" s="1" t="s">
        <v>58</v>
      </c>
      <c r="C71" s="1" t="s">
        <v>6</v>
      </c>
      <c r="D71" s="1" t="s">
        <v>6</v>
      </c>
      <c r="E71" s="1" t="s">
        <v>6</v>
      </c>
      <c r="F71" s="2">
        <v>85.63</v>
      </c>
      <c r="G71" s="4" t="s">
        <v>8</v>
      </c>
      <c r="H71" s="9">
        <v>70</v>
      </c>
      <c r="I7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71" t="str">
        <f>IF(Table1[[#This Row],[Nationality]]="Nigeria",Table1[[#This Row],[EMJM Scholarship]],"Not Applicable")</f>
        <v>Not Applicable</v>
      </c>
    </row>
    <row r="72" spans="1:10" ht="19.25" hidden="1" customHeight="1" x14ac:dyDescent="0.3">
      <c r="A72" s="8">
        <v>2424414</v>
      </c>
      <c r="B72" s="1" t="s">
        <v>20</v>
      </c>
      <c r="C72" s="1" t="s">
        <v>6</v>
      </c>
      <c r="D72" s="1" t="s">
        <v>6</v>
      </c>
      <c r="E72" s="1" t="s">
        <v>6</v>
      </c>
      <c r="F72" s="2">
        <v>85.57</v>
      </c>
      <c r="G72" s="4" t="s">
        <v>8</v>
      </c>
      <c r="H72" s="9">
        <v>71</v>
      </c>
      <c r="I7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72" t="str">
        <f>IF(Table1[[#This Row],[Nationality]]="Nigeria",Table1[[#This Row],[EMJM Scholarship]],"Not Applicable")</f>
        <v>Not Applicable</v>
      </c>
    </row>
    <row r="73" spans="1:10" ht="19.25" hidden="1" customHeight="1" x14ac:dyDescent="0.3">
      <c r="A73" s="8">
        <v>2514214</v>
      </c>
      <c r="B73" s="1" t="s">
        <v>18</v>
      </c>
      <c r="C73" s="1" t="s">
        <v>6</v>
      </c>
      <c r="D73" s="1" t="s">
        <v>6</v>
      </c>
      <c r="E73" s="1" t="s">
        <v>6</v>
      </c>
      <c r="F73" s="2">
        <v>85.5</v>
      </c>
      <c r="G73" s="4" t="s">
        <v>8</v>
      </c>
      <c r="H73" s="9">
        <v>72</v>
      </c>
      <c r="I7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73" t="str">
        <f>IF(Table1[[#This Row],[Nationality]]="Nigeria",Table1[[#This Row],[EMJM Scholarship]],"Not Applicable")</f>
        <v>Not Applicable</v>
      </c>
    </row>
    <row r="74" spans="1:10" ht="19.25" hidden="1" customHeight="1" x14ac:dyDescent="0.3">
      <c r="A74" s="8">
        <v>2479832</v>
      </c>
      <c r="B74" s="1" t="s">
        <v>58</v>
      </c>
      <c r="C74" s="1" t="s">
        <v>6</v>
      </c>
      <c r="D74" s="1" t="s">
        <v>6</v>
      </c>
      <c r="E74" s="1" t="s">
        <v>6</v>
      </c>
      <c r="F74" s="2">
        <v>85.44</v>
      </c>
      <c r="G74" s="4" t="s">
        <v>8</v>
      </c>
      <c r="H74" s="9">
        <v>73</v>
      </c>
      <c r="I7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74" t="str">
        <f>IF(Table1[[#This Row],[Nationality]]="Nigeria",Table1[[#This Row],[EMJM Scholarship]],"Not Applicable")</f>
        <v>Not Applicable</v>
      </c>
    </row>
    <row r="75" spans="1:10" ht="19.25" hidden="1" customHeight="1" x14ac:dyDescent="0.3">
      <c r="A75" s="8">
        <v>2520864</v>
      </c>
      <c r="B75" s="1" t="s">
        <v>63</v>
      </c>
      <c r="C75" s="1" t="s">
        <v>6</v>
      </c>
      <c r="D75" s="1" t="s">
        <v>6</v>
      </c>
      <c r="E75" s="1" t="s">
        <v>6</v>
      </c>
      <c r="F75" s="2">
        <v>85.38</v>
      </c>
      <c r="G75" s="4" t="s">
        <v>8</v>
      </c>
      <c r="H75" s="9">
        <v>74</v>
      </c>
      <c r="I7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75" t="str">
        <f>IF(Table1[[#This Row],[Nationality]]="Nigeria",Table1[[#This Row],[EMJM Scholarship]],"Not Applicable")</f>
        <v>Not Applicable</v>
      </c>
    </row>
    <row r="76" spans="1:10" ht="19.25" hidden="1" customHeight="1" x14ac:dyDescent="0.3">
      <c r="A76" s="8">
        <v>2446194</v>
      </c>
      <c r="B76" s="1" t="s">
        <v>20</v>
      </c>
      <c r="C76" s="1" t="s">
        <v>6</v>
      </c>
      <c r="D76" s="1" t="s">
        <v>6</v>
      </c>
      <c r="E76" s="1" t="s">
        <v>6</v>
      </c>
      <c r="F76" s="2">
        <v>85.22</v>
      </c>
      <c r="G76" s="4" t="s">
        <v>8</v>
      </c>
      <c r="H76" s="9">
        <v>75</v>
      </c>
      <c r="I7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76" t="str">
        <f>IF(Table1[[#This Row],[Nationality]]="Nigeria",Table1[[#This Row],[EMJM Scholarship]],"Not Applicable")</f>
        <v>Not Applicable</v>
      </c>
    </row>
    <row r="77" spans="1:10" ht="19.25" hidden="1" customHeight="1" x14ac:dyDescent="0.3">
      <c r="A77" s="8">
        <v>2491969</v>
      </c>
      <c r="B77" s="1" t="s">
        <v>50</v>
      </c>
      <c r="C77" s="1" t="s">
        <v>6</v>
      </c>
      <c r="D77" s="1" t="s">
        <v>6</v>
      </c>
      <c r="E77" s="1" t="s">
        <v>6</v>
      </c>
      <c r="F77" s="2">
        <v>84.99</v>
      </c>
      <c r="G77" s="4" t="s">
        <v>8</v>
      </c>
      <c r="H77" s="9">
        <v>76</v>
      </c>
      <c r="I7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77" t="str">
        <f>IF(Table1[[#This Row],[Nationality]]="Nigeria",Table1[[#This Row],[EMJM Scholarship]],"Not Applicable")</f>
        <v>Not Applicable</v>
      </c>
    </row>
    <row r="78" spans="1:10" ht="19.25" hidden="1" customHeight="1" x14ac:dyDescent="0.3">
      <c r="A78" s="8">
        <v>2516644</v>
      </c>
      <c r="B78" s="1" t="s">
        <v>18</v>
      </c>
      <c r="C78" s="1" t="s">
        <v>6</v>
      </c>
      <c r="D78" s="1" t="s">
        <v>6</v>
      </c>
      <c r="E78" s="1" t="s">
        <v>6</v>
      </c>
      <c r="F78" s="2">
        <v>84.9</v>
      </c>
      <c r="G78" s="4" t="s">
        <v>8</v>
      </c>
      <c r="H78" s="9">
        <v>77</v>
      </c>
      <c r="I7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78" t="str">
        <f>IF(Table1[[#This Row],[Nationality]]="Nigeria",Table1[[#This Row],[EMJM Scholarship]],"Not Applicable")</f>
        <v>Not Applicable</v>
      </c>
    </row>
    <row r="79" spans="1:10" ht="19.25" hidden="1" customHeight="1" x14ac:dyDescent="0.3">
      <c r="A79" s="8">
        <v>2523553</v>
      </c>
      <c r="B79" s="1" t="s">
        <v>63</v>
      </c>
      <c r="C79" s="1" t="s">
        <v>6</v>
      </c>
      <c r="D79" s="1" t="s">
        <v>6</v>
      </c>
      <c r="E79" s="1" t="s">
        <v>6</v>
      </c>
      <c r="F79" s="2">
        <v>84.85</v>
      </c>
      <c r="G79" s="4" t="s">
        <v>8</v>
      </c>
      <c r="H79" s="9">
        <v>78</v>
      </c>
      <c r="I7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79" t="str">
        <f>IF(Table1[[#This Row],[Nationality]]="Nigeria",Table1[[#This Row],[EMJM Scholarship]],"Not Applicable")</f>
        <v>Not Applicable</v>
      </c>
    </row>
    <row r="80" spans="1:10" ht="19.25" hidden="1" customHeight="1" x14ac:dyDescent="0.3">
      <c r="A80" s="8">
        <v>2523326</v>
      </c>
      <c r="B80" s="1" t="s">
        <v>58</v>
      </c>
      <c r="C80" s="1" t="s">
        <v>6</v>
      </c>
      <c r="D80" s="1" t="s">
        <v>6</v>
      </c>
      <c r="E80" s="1" t="s">
        <v>6</v>
      </c>
      <c r="F80" s="2">
        <v>84.78</v>
      </c>
      <c r="G80" s="4" t="s">
        <v>8</v>
      </c>
      <c r="H80" s="9">
        <v>79</v>
      </c>
      <c r="I8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80" t="str">
        <f>IF(Table1[[#This Row],[Nationality]]="Nigeria",Table1[[#This Row],[EMJM Scholarship]],"Not Applicable")</f>
        <v>Not Applicable</v>
      </c>
    </row>
    <row r="81" spans="1:10" ht="19.25" hidden="1" customHeight="1" x14ac:dyDescent="0.3">
      <c r="A81" s="8">
        <v>2496685</v>
      </c>
      <c r="B81" s="1" t="s">
        <v>24</v>
      </c>
      <c r="C81" s="1" t="s">
        <v>6</v>
      </c>
      <c r="D81" s="1" t="s">
        <v>6</v>
      </c>
      <c r="E81" s="1" t="s">
        <v>6</v>
      </c>
      <c r="F81" s="2">
        <v>84.72</v>
      </c>
      <c r="G81" s="4" t="s">
        <v>8</v>
      </c>
      <c r="H81" s="9">
        <v>80</v>
      </c>
      <c r="I8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81" t="str">
        <f>IF(Table1[[#This Row],[Nationality]]="Nigeria",Table1[[#This Row],[EMJM Scholarship]],"Not Applicable")</f>
        <v>Not Applicable</v>
      </c>
    </row>
    <row r="82" spans="1:10" ht="19.25" hidden="1" customHeight="1" x14ac:dyDescent="0.3">
      <c r="A82" s="8">
        <v>2514630</v>
      </c>
      <c r="B82" s="1" t="s">
        <v>62</v>
      </c>
      <c r="C82" s="1" t="s">
        <v>6</v>
      </c>
      <c r="D82" s="1" t="s">
        <v>6</v>
      </c>
      <c r="E82" s="1" t="s">
        <v>6</v>
      </c>
      <c r="F82" s="2">
        <v>84.67</v>
      </c>
      <c r="G82" s="4" t="s">
        <v>8</v>
      </c>
      <c r="H82" s="9">
        <v>81</v>
      </c>
      <c r="I8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82" t="str">
        <f>IF(Table1[[#This Row],[Nationality]]="Nigeria",Table1[[#This Row],[EMJM Scholarship]],"Not Applicable")</f>
        <v>Not Applicable</v>
      </c>
    </row>
    <row r="83" spans="1:10" ht="19.25" hidden="1" customHeight="1" x14ac:dyDescent="0.3">
      <c r="A83" s="8">
        <v>2517413</v>
      </c>
      <c r="B83" s="1" t="s">
        <v>62</v>
      </c>
      <c r="C83" s="1" t="s">
        <v>6</v>
      </c>
      <c r="D83" s="1" t="s">
        <v>6</v>
      </c>
      <c r="E83" s="1" t="s">
        <v>6</v>
      </c>
      <c r="F83" s="2">
        <v>84.6</v>
      </c>
      <c r="G83" s="4" t="s">
        <v>8</v>
      </c>
      <c r="H83" s="9">
        <v>82</v>
      </c>
      <c r="I8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83" t="str">
        <f>IF(Table1[[#This Row],[Nationality]]="Nigeria",Table1[[#This Row],[EMJM Scholarship]],"Not Applicable")</f>
        <v>Not Applicable</v>
      </c>
    </row>
    <row r="84" spans="1:10" ht="19.25" hidden="1" customHeight="1" x14ac:dyDescent="0.3">
      <c r="A84" s="8">
        <v>2497443</v>
      </c>
      <c r="B84" s="1" t="s">
        <v>37</v>
      </c>
      <c r="C84" s="1" t="s">
        <v>6</v>
      </c>
      <c r="D84" s="1" t="s">
        <v>6</v>
      </c>
      <c r="E84" s="1" t="s">
        <v>6</v>
      </c>
      <c r="F84" s="2">
        <v>84.55</v>
      </c>
      <c r="G84" s="4" t="s">
        <v>8</v>
      </c>
      <c r="H84" s="9">
        <v>83</v>
      </c>
      <c r="I8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84" t="str">
        <f>IF(Table1[[#This Row],[Nationality]]="Nigeria",Table1[[#This Row],[EMJM Scholarship]],"Not Applicable")</f>
        <v>Not Applicable</v>
      </c>
    </row>
    <row r="85" spans="1:10" ht="19.25" hidden="1" customHeight="1" x14ac:dyDescent="0.3">
      <c r="A85" s="8">
        <v>2516619</v>
      </c>
      <c r="B85" s="1" t="s">
        <v>25</v>
      </c>
      <c r="C85" s="1" t="s">
        <v>6</v>
      </c>
      <c r="D85" s="1" t="s">
        <v>6</v>
      </c>
      <c r="E85" s="1" t="s">
        <v>6</v>
      </c>
      <c r="F85" s="2">
        <v>84.5</v>
      </c>
      <c r="G85" s="4" t="s">
        <v>8</v>
      </c>
      <c r="H85" s="9">
        <v>84</v>
      </c>
      <c r="I8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85" t="str">
        <f>IF(Table1[[#This Row],[Nationality]]="Nigeria",Table1[[#This Row],[EMJM Scholarship]],"Not Applicable")</f>
        <v>Not Applicable</v>
      </c>
    </row>
    <row r="86" spans="1:10" ht="19.25" hidden="1" customHeight="1" x14ac:dyDescent="0.3">
      <c r="A86" s="8">
        <v>2514555</v>
      </c>
      <c r="B86" s="1" t="s">
        <v>62</v>
      </c>
      <c r="C86" s="1" t="s">
        <v>6</v>
      </c>
      <c r="D86" s="1" t="s">
        <v>6</v>
      </c>
      <c r="E86" s="1" t="s">
        <v>6</v>
      </c>
      <c r="F86" s="2">
        <v>84.45</v>
      </c>
      <c r="G86" s="4" t="s">
        <v>8</v>
      </c>
      <c r="H86" s="9">
        <v>85</v>
      </c>
      <c r="I8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86" t="str">
        <f>IF(Table1[[#This Row],[Nationality]]="Nigeria",Table1[[#This Row],[EMJM Scholarship]],"Not Applicable")</f>
        <v>Not Applicable</v>
      </c>
    </row>
    <row r="87" spans="1:10" ht="19.25" hidden="1" customHeight="1" x14ac:dyDescent="0.3">
      <c r="A87" s="8">
        <v>2523359</v>
      </c>
      <c r="B87" s="1" t="s">
        <v>28</v>
      </c>
      <c r="C87" s="1" t="s">
        <v>6</v>
      </c>
      <c r="D87" s="1" t="s">
        <v>6</v>
      </c>
      <c r="E87" s="1" t="s">
        <v>6</v>
      </c>
      <c r="F87" s="2">
        <v>84.4</v>
      </c>
      <c r="G87" s="4" t="s">
        <v>8</v>
      </c>
      <c r="H87" s="9">
        <v>86</v>
      </c>
      <c r="I8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87" t="str">
        <f>IF(Table1[[#This Row],[Nationality]]="Nigeria",Table1[[#This Row],[EMJM Scholarship]],"Not Applicable")</f>
        <v>Not Applicable</v>
      </c>
    </row>
    <row r="88" spans="1:10" ht="19.25" hidden="1" customHeight="1" x14ac:dyDescent="0.3">
      <c r="A88" s="8">
        <v>2512400</v>
      </c>
      <c r="B88" s="1" t="s">
        <v>23</v>
      </c>
      <c r="C88" s="1" t="s">
        <v>6</v>
      </c>
      <c r="D88" s="1" t="s">
        <v>6</v>
      </c>
      <c r="E88" s="1" t="s">
        <v>6</v>
      </c>
      <c r="F88" s="2">
        <v>84.3</v>
      </c>
      <c r="G88" s="4" t="s">
        <v>8</v>
      </c>
      <c r="H88" s="9">
        <v>87</v>
      </c>
      <c r="I8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88" t="str">
        <f>IF(Table1[[#This Row],[Nationality]]="Nigeria",Table1[[#This Row],[EMJM Scholarship]],"Not Applicable")</f>
        <v>Not Applicable</v>
      </c>
    </row>
    <row r="89" spans="1:10" ht="19.25" hidden="1" customHeight="1" x14ac:dyDescent="0.3">
      <c r="A89" s="8">
        <v>2489553</v>
      </c>
      <c r="B89" s="1" t="s">
        <v>61</v>
      </c>
      <c r="C89" s="1" t="s">
        <v>6</v>
      </c>
      <c r="D89" s="1" t="s">
        <v>6</v>
      </c>
      <c r="E89" s="1" t="s">
        <v>6</v>
      </c>
      <c r="F89" s="2">
        <v>84.2</v>
      </c>
      <c r="G89" s="4" t="s">
        <v>8</v>
      </c>
      <c r="H89" s="9">
        <v>88</v>
      </c>
      <c r="I8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89" t="str">
        <f>IF(Table1[[#This Row],[Nationality]]="Nigeria",Table1[[#This Row],[EMJM Scholarship]],"Not Applicable")</f>
        <v>Waiting List</v>
      </c>
    </row>
    <row r="90" spans="1:10" ht="19.25" hidden="1" customHeight="1" x14ac:dyDescent="0.3">
      <c r="A90" s="8">
        <v>2425331</v>
      </c>
      <c r="B90" s="1" t="s">
        <v>64</v>
      </c>
      <c r="C90" s="1" t="s">
        <v>6</v>
      </c>
      <c r="D90" s="1" t="s">
        <v>6</v>
      </c>
      <c r="E90" s="1" t="s">
        <v>6</v>
      </c>
      <c r="F90" s="2">
        <v>84.09</v>
      </c>
      <c r="G90" s="4" t="s">
        <v>8</v>
      </c>
      <c r="H90" s="9">
        <v>89</v>
      </c>
      <c r="I9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90" t="str">
        <f>IF(Table1[[#This Row],[Nationality]]="Nigeria",Table1[[#This Row],[EMJM Scholarship]],"Not Applicable")</f>
        <v>Not Applicable</v>
      </c>
    </row>
    <row r="91" spans="1:10" ht="19.25" hidden="1" customHeight="1" x14ac:dyDescent="0.3">
      <c r="A91" s="8">
        <v>2478217</v>
      </c>
      <c r="B91" s="1" t="s">
        <v>57</v>
      </c>
      <c r="C91" s="1" t="s">
        <v>6</v>
      </c>
      <c r="D91" s="1" t="s">
        <v>6</v>
      </c>
      <c r="E91" s="1" t="s">
        <v>6</v>
      </c>
      <c r="F91" s="2">
        <v>83.94</v>
      </c>
      <c r="G91" s="4" t="s">
        <v>8</v>
      </c>
      <c r="H91" s="9">
        <v>90</v>
      </c>
      <c r="I9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91" t="str">
        <f>IF(Table1[[#This Row],[Nationality]]="Nigeria",Table1[[#This Row],[EMJM Scholarship]],"Not Applicable")</f>
        <v>Not Applicable</v>
      </c>
    </row>
    <row r="92" spans="1:10" ht="19.25" hidden="1" customHeight="1" x14ac:dyDescent="0.3">
      <c r="A92" s="8">
        <v>2518606</v>
      </c>
      <c r="B92" s="1" t="s">
        <v>53</v>
      </c>
      <c r="C92" s="1" t="s">
        <v>6</v>
      </c>
      <c r="D92" s="1" t="s">
        <v>6</v>
      </c>
      <c r="E92" s="1" t="s">
        <v>6</v>
      </c>
      <c r="F92" s="2">
        <v>83.88</v>
      </c>
      <c r="G92" s="4" t="s">
        <v>8</v>
      </c>
      <c r="H92" s="9">
        <v>91</v>
      </c>
      <c r="I9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92" t="str">
        <f>IF(Table1[[#This Row],[Nationality]]="Nigeria",Table1[[#This Row],[EMJM Scholarship]],"Not Applicable")</f>
        <v>Not Applicable</v>
      </c>
    </row>
    <row r="93" spans="1:10" ht="19.25" hidden="1" customHeight="1" x14ac:dyDescent="0.3">
      <c r="A93" s="8">
        <v>2423189</v>
      </c>
      <c r="B93" s="1" t="s">
        <v>20</v>
      </c>
      <c r="C93" s="1" t="s">
        <v>6</v>
      </c>
      <c r="D93" s="1" t="s">
        <v>6</v>
      </c>
      <c r="E93" s="1" t="s">
        <v>6</v>
      </c>
      <c r="F93" s="2">
        <v>83.81</v>
      </c>
      <c r="G93" s="4" t="s">
        <v>8</v>
      </c>
      <c r="H93" s="9">
        <v>92</v>
      </c>
      <c r="I9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93" t="str">
        <f>IF(Table1[[#This Row],[Nationality]]="Nigeria",Table1[[#This Row],[EMJM Scholarship]],"Not Applicable")</f>
        <v>Not Applicable</v>
      </c>
    </row>
    <row r="94" spans="1:10" ht="19.25" hidden="1" customHeight="1" x14ac:dyDescent="0.3">
      <c r="A94" s="8">
        <v>2514641</v>
      </c>
      <c r="B94" s="1" t="s">
        <v>18</v>
      </c>
      <c r="C94" s="1" t="s">
        <v>6</v>
      </c>
      <c r="D94" s="1" t="s">
        <v>6</v>
      </c>
      <c r="E94" s="1" t="s">
        <v>6</v>
      </c>
      <c r="F94" s="2">
        <v>83.6</v>
      </c>
      <c r="G94" s="4" t="s">
        <v>8</v>
      </c>
      <c r="H94" s="9">
        <v>93</v>
      </c>
      <c r="I9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94" t="str">
        <f>IF(Table1[[#This Row],[Nationality]]="Nigeria",Table1[[#This Row],[EMJM Scholarship]],"Not Applicable")</f>
        <v>Not Applicable</v>
      </c>
    </row>
    <row r="95" spans="1:10" ht="19.25" hidden="1" customHeight="1" x14ac:dyDescent="0.3">
      <c r="A95" s="8">
        <v>2493659</v>
      </c>
      <c r="B95" s="1" t="s">
        <v>55</v>
      </c>
      <c r="C95" s="1" t="s">
        <v>6</v>
      </c>
      <c r="D95" s="1" t="s">
        <v>6</v>
      </c>
      <c r="E95" s="1" t="s">
        <v>6</v>
      </c>
      <c r="F95" s="2">
        <v>83.54</v>
      </c>
      <c r="G95" s="4" t="s">
        <v>8</v>
      </c>
      <c r="H95" s="9">
        <v>94</v>
      </c>
      <c r="I9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95" t="str">
        <f>IF(Table1[[#This Row],[Nationality]]="Nigeria",Table1[[#This Row],[EMJM Scholarship]],"Not Applicable")</f>
        <v>Not Applicable</v>
      </c>
    </row>
    <row r="96" spans="1:10" ht="19.25" hidden="1" customHeight="1" x14ac:dyDescent="0.3">
      <c r="A96" s="8">
        <v>2505479</v>
      </c>
      <c r="B96" s="1" t="s">
        <v>46</v>
      </c>
      <c r="C96" s="1" t="s">
        <v>6</v>
      </c>
      <c r="D96" s="1" t="s">
        <v>6</v>
      </c>
      <c r="E96" s="1" t="s">
        <v>6</v>
      </c>
      <c r="F96" s="2">
        <v>83.44</v>
      </c>
      <c r="G96" s="4" t="s">
        <v>8</v>
      </c>
      <c r="H96" s="9">
        <v>95</v>
      </c>
      <c r="I9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96" t="str">
        <f>IF(Table1[[#This Row],[Nationality]]="Nigeria",Table1[[#This Row],[EMJM Scholarship]],"Not Applicable")</f>
        <v>Not Applicable</v>
      </c>
    </row>
    <row r="97" spans="1:10" ht="19.25" hidden="1" customHeight="1" x14ac:dyDescent="0.3">
      <c r="A97" s="8">
        <v>2511951</v>
      </c>
      <c r="B97" s="1" t="s">
        <v>65</v>
      </c>
      <c r="C97" s="1" t="s">
        <v>6</v>
      </c>
      <c r="D97" s="1" t="s">
        <v>6</v>
      </c>
      <c r="E97" s="1" t="s">
        <v>6</v>
      </c>
      <c r="F97" s="2">
        <v>83.27</v>
      </c>
      <c r="G97" s="4" t="s">
        <v>8</v>
      </c>
      <c r="H97" s="9">
        <v>96</v>
      </c>
      <c r="I9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97" t="str">
        <f>IF(Table1[[#This Row],[Nationality]]="Nigeria",Table1[[#This Row],[EMJM Scholarship]],"Not Applicable")</f>
        <v>Not Applicable</v>
      </c>
    </row>
    <row r="98" spans="1:10" ht="19.25" hidden="1" customHeight="1" x14ac:dyDescent="0.3">
      <c r="A98" s="8">
        <v>2465983</v>
      </c>
      <c r="B98" s="1" t="s">
        <v>64</v>
      </c>
      <c r="C98" s="1" t="s">
        <v>6</v>
      </c>
      <c r="D98" s="1" t="s">
        <v>6</v>
      </c>
      <c r="E98" s="1" t="s">
        <v>6</v>
      </c>
      <c r="F98" s="2">
        <v>82.87</v>
      </c>
      <c r="G98" s="4" t="s">
        <v>8</v>
      </c>
      <c r="H98" s="9">
        <v>97</v>
      </c>
      <c r="I9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98" t="str">
        <f>IF(Table1[[#This Row],[Nationality]]="Nigeria",Table1[[#This Row],[EMJM Scholarship]],"Not Applicable")</f>
        <v>Not Applicable</v>
      </c>
    </row>
    <row r="99" spans="1:10" ht="19.25" hidden="1" customHeight="1" x14ac:dyDescent="0.3">
      <c r="A99" s="8">
        <v>2438563</v>
      </c>
      <c r="B99" s="1" t="s">
        <v>61</v>
      </c>
      <c r="C99" s="1" t="s">
        <v>6</v>
      </c>
      <c r="D99" s="1" t="s">
        <v>6</v>
      </c>
      <c r="E99" s="1" t="s">
        <v>6</v>
      </c>
      <c r="F99" s="2">
        <v>82.56</v>
      </c>
      <c r="G99" s="4" t="s">
        <v>8</v>
      </c>
      <c r="H99" s="9">
        <v>98</v>
      </c>
      <c r="I9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99" t="str">
        <f>IF(Table1[[#This Row],[Nationality]]="Nigeria",Table1[[#This Row],[EMJM Scholarship]],"Not Applicable")</f>
        <v>Waiting List</v>
      </c>
    </row>
    <row r="100" spans="1:10" ht="19.25" hidden="1" customHeight="1" x14ac:dyDescent="0.3">
      <c r="A100" s="8">
        <v>2426158</v>
      </c>
      <c r="B100" s="1" t="s">
        <v>60</v>
      </c>
      <c r="C100" s="1" t="s">
        <v>6</v>
      </c>
      <c r="D100" s="1" t="s">
        <v>6</v>
      </c>
      <c r="E100" s="1" t="s">
        <v>6</v>
      </c>
      <c r="F100" s="2">
        <v>82.45</v>
      </c>
      <c r="G100" s="4" t="s">
        <v>8</v>
      </c>
      <c r="H100" s="9">
        <v>99</v>
      </c>
      <c r="I10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00" t="str">
        <f>IF(Table1[[#This Row],[Nationality]]="Nigeria",Table1[[#This Row],[EMJM Scholarship]],"Not Applicable")</f>
        <v>Not Applicable</v>
      </c>
    </row>
    <row r="101" spans="1:10" ht="19.25" hidden="1" customHeight="1" x14ac:dyDescent="0.3">
      <c r="A101" s="8">
        <v>2520846</v>
      </c>
      <c r="B101" s="1" t="s">
        <v>66</v>
      </c>
      <c r="C101" s="1" t="s">
        <v>6</v>
      </c>
      <c r="D101" s="1" t="s">
        <v>6</v>
      </c>
      <c r="E101" s="1" t="s">
        <v>6</v>
      </c>
      <c r="F101" s="2">
        <v>82.37</v>
      </c>
      <c r="G101" s="4" t="s">
        <v>8</v>
      </c>
      <c r="H101" s="9">
        <v>100</v>
      </c>
      <c r="I10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01" t="str">
        <f>IF(Table1[[#This Row],[Nationality]]="Nigeria",Table1[[#This Row],[EMJM Scholarship]],"Not Applicable")</f>
        <v>Not Applicable</v>
      </c>
    </row>
    <row r="102" spans="1:10" ht="19.25" hidden="1" customHeight="1" x14ac:dyDescent="0.3">
      <c r="A102" s="8">
        <v>2520908</v>
      </c>
      <c r="B102" s="1" t="s">
        <v>57</v>
      </c>
      <c r="C102" s="1" t="s">
        <v>6</v>
      </c>
      <c r="D102" s="1" t="s">
        <v>6</v>
      </c>
      <c r="E102" s="1" t="s">
        <v>6</v>
      </c>
      <c r="F102" s="2">
        <v>82.32</v>
      </c>
      <c r="G102" s="4" t="s">
        <v>8</v>
      </c>
      <c r="H102" s="9">
        <v>101</v>
      </c>
      <c r="I10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02" t="str">
        <f>IF(Table1[[#This Row],[Nationality]]="Nigeria",Table1[[#This Row],[EMJM Scholarship]],"Not Applicable")</f>
        <v>Not Applicable</v>
      </c>
    </row>
    <row r="103" spans="1:10" ht="19.25" hidden="1" customHeight="1" x14ac:dyDescent="0.3">
      <c r="A103" s="8">
        <v>2509734</v>
      </c>
      <c r="B103" s="1" t="s">
        <v>55</v>
      </c>
      <c r="C103" s="1" t="s">
        <v>6</v>
      </c>
      <c r="D103" s="1" t="s">
        <v>6</v>
      </c>
      <c r="E103" s="1" t="s">
        <v>6</v>
      </c>
      <c r="F103" s="2">
        <v>82.25</v>
      </c>
      <c r="G103" s="4" t="s">
        <v>8</v>
      </c>
      <c r="H103" s="9">
        <v>102</v>
      </c>
      <c r="I10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03" t="str">
        <f>IF(Table1[[#This Row],[Nationality]]="Nigeria",Table1[[#This Row],[EMJM Scholarship]],"Not Applicable")</f>
        <v>Not Applicable</v>
      </c>
    </row>
    <row r="104" spans="1:10" ht="19.25" hidden="1" customHeight="1" x14ac:dyDescent="0.3">
      <c r="A104" s="8">
        <v>2463475</v>
      </c>
      <c r="B104" s="1" t="s">
        <v>23</v>
      </c>
      <c r="C104" s="1" t="s">
        <v>6</v>
      </c>
      <c r="D104" s="1" t="s">
        <v>6</v>
      </c>
      <c r="E104" s="1" t="s">
        <v>6</v>
      </c>
      <c r="F104" s="2">
        <v>82.2</v>
      </c>
      <c r="G104" s="4" t="s">
        <v>8</v>
      </c>
      <c r="H104" s="9">
        <v>103</v>
      </c>
      <c r="I10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04" t="str">
        <f>IF(Table1[[#This Row],[Nationality]]="Nigeria",Table1[[#This Row],[EMJM Scholarship]],"Not Applicable")</f>
        <v>Not Applicable</v>
      </c>
    </row>
    <row r="105" spans="1:10" ht="19.25" hidden="1" customHeight="1" x14ac:dyDescent="0.3">
      <c r="A105" s="8">
        <v>2510396</v>
      </c>
      <c r="B105" s="1" t="s">
        <v>57</v>
      </c>
      <c r="C105" s="1" t="s">
        <v>6</v>
      </c>
      <c r="D105" s="1" t="s">
        <v>6</v>
      </c>
      <c r="E105" s="1" t="s">
        <v>6</v>
      </c>
      <c r="F105" s="2">
        <v>82.15</v>
      </c>
      <c r="G105" s="4" t="s">
        <v>8</v>
      </c>
      <c r="H105" s="9">
        <v>104</v>
      </c>
      <c r="I10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05" t="str">
        <f>IF(Table1[[#This Row],[Nationality]]="Nigeria",Table1[[#This Row],[EMJM Scholarship]],"Not Applicable")</f>
        <v>Not Applicable</v>
      </c>
    </row>
    <row r="106" spans="1:10" ht="19.25" hidden="1" customHeight="1" x14ac:dyDescent="0.3">
      <c r="A106" s="8">
        <v>2463779</v>
      </c>
      <c r="B106" s="1" t="s">
        <v>67</v>
      </c>
      <c r="C106" s="1" t="s">
        <v>6</v>
      </c>
      <c r="D106" s="1" t="s">
        <v>6</v>
      </c>
      <c r="E106" s="1" t="s">
        <v>6</v>
      </c>
      <c r="F106" s="2">
        <v>82.1</v>
      </c>
      <c r="G106" s="4" t="s">
        <v>8</v>
      </c>
      <c r="H106" s="9">
        <v>105</v>
      </c>
      <c r="I10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06" t="str">
        <f>IF(Table1[[#This Row],[Nationality]]="Nigeria",Table1[[#This Row],[EMJM Scholarship]],"Not Applicable")</f>
        <v>Not Applicable</v>
      </c>
    </row>
    <row r="107" spans="1:10" ht="19.25" hidden="1" customHeight="1" x14ac:dyDescent="0.3">
      <c r="A107" s="8">
        <v>2449553</v>
      </c>
      <c r="B107" s="1" t="s">
        <v>68</v>
      </c>
      <c r="C107" s="1" t="s">
        <v>6</v>
      </c>
      <c r="D107" s="1" t="s">
        <v>6</v>
      </c>
      <c r="E107" s="1" t="s">
        <v>6</v>
      </c>
      <c r="F107" s="2">
        <v>82.05</v>
      </c>
      <c r="G107" s="4" t="s">
        <v>8</v>
      </c>
      <c r="H107" s="9">
        <v>106</v>
      </c>
      <c r="I10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07" t="str">
        <f>IF(Table1[[#This Row],[Nationality]]="Nigeria",Table1[[#This Row],[EMJM Scholarship]],"Not Applicable")</f>
        <v>Not Applicable</v>
      </c>
    </row>
    <row r="108" spans="1:10" ht="19.25" hidden="1" customHeight="1" x14ac:dyDescent="0.3">
      <c r="A108" s="8">
        <v>2511304</v>
      </c>
      <c r="B108" s="1" t="s">
        <v>57</v>
      </c>
      <c r="C108" s="1" t="s">
        <v>6</v>
      </c>
      <c r="D108" s="1" t="s">
        <v>6</v>
      </c>
      <c r="E108" s="1" t="s">
        <v>6</v>
      </c>
      <c r="F108" s="2">
        <v>82</v>
      </c>
      <c r="G108" s="4" t="s">
        <v>8</v>
      </c>
      <c r="H108" s="9">
        <v>107</v>
      </c>
      <c r="I10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08" t="str">
        <f>IF(Table1[[#This Row],[Nationality]]="Nigeria",Table1[[#This Row],[EMJM Scholarship]],"Not Applicable")</f>
        <v>Not Applicable</v>
      </c>
    </row>
    <row r="109" spans="1:10" ht="19.25" hidden="1" customHeight="1" x14ac:dyDescent="0.3">
      <c r="A109" s="8">
        <v>2469881</v>
      </c>
      <c r="B109" s="1" t="s">
        <v>16</v>
      </c>
      <c r="C109" s="1" t="s">
        <v>6</v>
      </c>
      <c r="D109" s="1" t="s">
        <v>6</v>
      </c>
      <c r="E109" s="1" t="s">
        <v>6</v>
      </c>
      <c r="F109" s="2">
        <v>81.95</v>
      </c>
      <c r="G109" s="4" t="s">
        <v>8</v>
      </c>
      <c r="H109" s="9">
        <v>108</v>
      </c>
      <c r="I10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09" t="str">
        <f>IF(Table1[[#This Row],[Nationality]]="Nigeria",Table1[[#This Row],[EMJM Scholarship]],"Not Applicable")</f>
        <v>Not Applicable</v>
      </c>
    </row>
    <row r="110" spans="1:10" ht="19.25" hidden="1" customHeight="1" x14ac:dyDescent="0.3">
      <c r="A110" s="8">
        <v>2486137</v>
      </c>
      <c r="B110" s="1" t="s">
        <v>61</v>
      </c>
      <c r="C110" s="1" t="s">
        <v>6</v>
      </c>
      <c r="D110" s="1" t="s">
        <v>6</v>
      </c>
      <c r="E110" s="1" t="s">
        <v>6</v>
      </c>
      <c r="F110" s="2">
        <v>81.900000000000006</v>
      </c>
      <c r="G110" s="4" t="s">
        <v>8</v>
      </c>
      <c r="H110" s="9">
        <v>109</v>
      </c>
      <c r="I11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10" t="str">
        <f>IF(Table1[[#This Row],[Nationality]]="Nigeria",Table1[[#This Row],[EMJM Scholarship]],"Not Applicable")</f>
        <v>Waiting List</v>
      </c>
    </row>
    <row r="111" spans="1:10" ht="19.25" hidden="1" customHeight="1" x14ac:dyDescent="0.3">
      <c r="A111" s="8">
        <v>2516200</v>
      </c>
      <c r="B111" s="1" t="s">
        <v>63</v>
      </c>
      <c r="C111" s="1" t="s">
        <v>6</v>
      </c>
      <c r="D111" s="1" t="s">
        <v>6</v>
      </c>
      <c r="E111" s="1" t="s">
        <v>6</v>
      </c>
      <c r="F111" s="2">
        <v>81.8</v>
      </c>
      <c r="G111" s="4" t="s">
        <v>8</v>
      </c>
      <c r="H111" s="9">
        <v>110</v>
      </c>
      <c r="I11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11" t="str">
        <f>IF(Table1[[#This Row],[Nationality]]="Nigeria",Table1[[#This Row],[EMJM Scholarship]],"Not Applicable")</f>
        <v>Not Applicable</v>
      </c>
    </row>
    <row r="112" spans="1:10" ht="19.25" hidden="1" customHeight="1" x14ac:dyDescent="0.3">
      <c r="A112" s="8">
        <v>2466055</v>
      </c>
      <c r="B112" s="1" t="s">
        <v>41</v>
      </c>
      <c r="C112" s="1" t="s">
        <v>6</v>
      </c>
      <c r="D112" s="1" t="s">
        <v>6</v>
      </c>
      <c r="E112" s="1" t="s">
        <v>6</v>
      </c>
      <c r="F112" s="2">
        <v>81.44</v>
      </c>
      <c r="G112" s="4" t="s">
        <v>8</v>
      </c>
      <c r="H112" s="9">
        <v>111</v>
      </c>
      <c r="I11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12" t="str">
        <f>IF(Table1[[#This Row],[Nationality]]="Nigeria",Table1[[#This Row],[EMJM Scholarship]],"Not Applicable")</f>
        <v>Not Applicable</v>
      </c>
    </row>
    <row r="113" spans="1:10" ht="19.25" hidden="1" customHeight="1" x14ac:dyDescent="0.3">
      <c r="A113" s="8">
        <v>2438716</v>
      </c>
      <c r="B113" s="1" t="s">
        <v>60</v>
      </c>
      <c r="C113" s="1" t="s">
        <v>6</v>
      </c>
      <c r="D113" s="1" t="s">
        <v>6</v>
      </c>
      <c r="E113" s="1" t="s">
        <v>6</v>
      </c>
      <c r="F113" s="2">
        <v>81.349999999999994</v>
      </c>
      <c r="G113" s="4" t="s">
        <v>8</v>
      </c>
      <c r="H113" s="9">
        <v>112</v>
      </c>
      <c r="I11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13" t="str">
        <f>IF(Table1[[#This Row],[Nationality]]="Nigeria",Table1[[#This Row],[EMJM Scholarship]],"Not Applicable")</f>
        <v>Not Applicable</v>
      </c>
    </row>
    <row r="114" spans="1:10" ht="19.25" hidden="1" customHeight="1" x14ac:dyDescent="0.3">
      <c r="A114" s="8">
        <v>2414601</v>
      </c>
      <c r="B114" s="1" t="s">
        <v>61</v>
      </c>
      <c r="C114" s="1" t="s">
        <v>6</v>
      </c>
      <c r="D114" s="1" t="s">
        <v>6</v>
      </c>
      <c r="E114" s="1" t="s">
        <v>6</v>
      </c>
      <c r="F114" s="2">
        <v>81.05</v>
      </c>
      <c r="G114" s="4" t="s">
        <v>8</v>
      </c>
      <c r="H114" s="9">
        <v>113</v>
      </c>
      <c r="I11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14" t="str">
        <f>IF(Table1[[#This Row],[Nationality]]="Nigeria",Table1[[#This Row],[EMJM Scholarship]],"Not Applicable")</f>
        <v>Waiting List</v>
      </c>
    </row>
    <row r="115" spans="1:10" ht="19.25" hidden="1" customHeight="1" x14ac:dyDescent="0.3">
      <c r="A115" s="8">
        <v>2448800</v>
      </c>
      <c r="B115" s="1" t="s">
        <v>64</v>
      </c>
      <c r="C115" s="1" t="s">
        <v>6</v>
      </c>
      <c r="D115" s="1" t="s">
        <v>6</v>
      </c>
      <c r="E115" s="1" t="s">
        <v>6</v>
      </c>
      <c r="F115" s="2">
        <v>80.959999999999994</v>
      </c>
      <c r="G115" s="4" t="s">
        <v>8</v>
      </c>
      <c r="H115" s="9">
        <v>114</v>
      </c>
      <c r="I11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15" t="str">
        <f>IF(Table1[[#This Row],[Nationality]]="Nigeria",Table1[[#This Row],[EMJM Scholarship]],"Not Applicable")</f>
        <v>Not Applicable</v>
      </c>
    </row>
    <row r="116" spans="1:10" ht="19.25" hidden="1" customHeight="1" x14ac:dyDescent="0.3">
      <c r="A116" s="8">
        <v>2459039</v>
      </c>
      <c r="B116" s="1" t="s">
        <v>57</v>
      </c>
      <c r="C116" s="1" t="s">
        <v>6</v>
      </c>
      <c r="D116" s="1" t="s">
        <v>6</v>
      </c>
      <c r="E116" s="1" t="s">
        <v>6</v>
      </c>
      <c r="F116" s="2">
        <v>80.900000000000006</v>
      </c>
      <c r="G116" s="4" t="s">
        <v>8</v>
      </c>
      <c r="H116" s="9">
        <v>115</v>
      </c>
      <c r="I11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16" t="str">
        <f>IF(Table1[[#This Row],[Nationality]]="Nigeria",Table1[[#This Row],[EMJM Scholarship]],"Not Applicable")</f>
        <v>Not Applicable</v>
      </c>
    </row>
    <row r="117" spans="1:10" ht="19.25" hidden="1" customHeight="1" x14ac:dyDescent="0.3">
      <c r="A117" s="8">
        <v>2498989</v>
      </c>
      <c r="B117" s="1" t="s">
        <v>69</v>
      </c>
      <c r="C117" s="1" t="s">
        <v>6</v>
      </c>
      <c r="D117" s="1" t="s">
        <v>6</v>
      </c>
      <c r="E117" s="1" t="s">
        <v>6</v>
      </c>
      <c r="F117" s="2">
        <v>80.83</v>
      </c>
      <c r="G117" s="4" t="s">
        <v>8</v>
      </c>
      <c r="H117" s="9">
        <v>116</v>
      </c>
      <c r="I11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17" t="str">
        <f>IF(Table1[[#This Row],[Nationality]]="Nigeria",Table1[[#This Row],[EMJM Scholarship]],"Not Applicable")</f>
        <v>Not Applicable</v>
      </c>
    </row>
    <row r="118" spans="1:10" ht="19.25" hidden="1" customHeight="1" x14ac:dyDescent="0.3">
      <c r="A118" s="8">
        <v>2422070</v>
      </c>
      <c r="B118" s="1" t="s">
        <v>64</v>
      </c>
      <c r="C118" s="1" t="s">
        <v>6</v>
      </c>
      <c r="D118" s="1" t="s">
        <v>6</v>
      </c>
      <c r="E118" s="1" t="s">
        <v>6</v>
      </c>
      <c r="F118" s="2">
        <v>80.78</v>
      </c>
      <c r="G118" s="4" t="s">
        <v>8</v>
      </c>
      <c r="H118" s="9">
        <v>117</v>
      </c>
      <c r="I11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18" t="str">
        <f>IF(Table1[[#This Row],[Nationality]]="Nigeria",Table1[[#This Row],[EMJM Scholarship]],"Not Applicable")</f>
        <v>Not Applicable</v>
      </c>
    </row>
    <row r="119" spans="1:10" ht="19.25" customHeight="1" x14ac:dyDescent="0.3">
      <c r="A119" s="8">
        <v>2515437</v>
      </c>
      <c r="B119" s="1" t="s">
        <v>31</v>
      </c>
      <c r="C119" s="1" t="s">
        <v>6</v>
      </c>
      <c r="D119" s="1" t="s">
        <v>6</v>
      </c>
      <c r="E119" s="1" t="s">
        <v>6</v>
      </c>
      <c r="F119" s="2">
        <v>80.7</v>
      </c>
      <c r="G119" s="3" t="s">
        <v>7</v>
      </c>
      <c r="H119" s="9">
        <v>118</v>
      </c>
      <c r="I11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19" t="str">
        <f>IF(Table1[[#This Row],[Nationality]]="Nigeria",Table1[[#This Row],[EMJM Scholarship]],"Not Applicable")</f>
        <v>Not Applicable</v>
      </c>
    </row>
    <row r="120" spans="1:10" ht="19.25" hidden="1" customHeight="1" x14ac:dyDescent="0.3">
      <c r="A120" s="8">
        <v>2414563</v>
      </c>
      <c r="B120" s="1" t="s">
        <v>61</v>
      </c>
      <c r="C120" s="1" t="s">
        <v>6</v>
      </c>
      <c r="D120" s="1" t="s">
        <v>6</v>
      </c>
      <c r="E120" s="1" t="s">
        <v>6</v>
      </c>
      <c r="F120" s="2">
        <v>80.5</v>
      </c>
      <c r="G120" s="4" t="s">
        <v>8</v>
      </c>
      <c r="H120" s="9">
        <v>119</v>
      </c>
      <c r="I12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20" t="str">
        <f>IF(Table1[[#This Row],[Nationality]]="Nigeria",Table1[[#This Row],[EMJM Scholarship]],"Not Applicable")</f>
        <v>Waiting List</v>
      </c>
    </row>
    <row r="121" spans="1:10" ht="19.25" hidden="1" customHeight="1" x14ac:dyDescent="0.3">
      <c r="A121" s="8">
        <v>2495429</v>
      </c>
      <c r="B121" s="1" t="s">
        <v>61</v>
      </c>
      <c r="C121" s="1" t="s">
        <v>6</v>
      </c>
      <c r="D121" s="1" t="s">
        <v>6</v>
      </c>
      <c r="E121" s="1" t="s">
        <v>6</v>
      </c>
      <c r="F121" s="2">
        <v>80</v>
      </c>
      <c r="G121" s="4" t="s">
        <v>8</v>
      </c>
      <c r="H121" s="9">
        <v>120</v>
      </c>
      <c r="I12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21" t="str">
        <f>IF(Table1[[#This Row],[Nationality]]="Nigeria",Table1[[#This Row],[EMJM Scholarship]],"Not Applicable")</f>
        <v>Waiting List</v>
      </c>
    </row>
    <row r="122" spans="1:10" ht="19.25" hidden="1" customHeight="1" x14ac:dyDescent="0.3">
      <c r="A122" s="8">
        <v>2489632</v>
      </c>
      <c r="B122" s="1" t="s">
        <v>61</v>
      </c>
      <c r="C122" s="1" t="s">
        <v>6</v>
      </c>
      <c r="D122" s="1" t="s">
        <v>6</v>
      </c>
      <c r="E122" s="1" t="s">
        <v>6</v>
      </c>
      <c r="F122" s="2">
        <v>79.5</v>
      </c>
      <c r="G122" s="4" t="s">
        <v>8</v>
      </c>
      <c r="H122" s="9">
        <v>121</v>
      </c>
      <c r="I12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22" t="str">
        <f>IF(Table1[[#This Row],[Nationality]]="Nigeria",Table1[[#This Row],[EMJM Scholarship]],"Not Applicable")</f>
        <v>Waiting List</v>
      </c>
    </row>
    <row r="123" spans="1:10" ht="19.25" hidden="1" customHeight="1" x14ac:dyDescent="0.3">
      <c r="A123" s="8">
        <v>2480509</v>
      </c>
      <c r="B123" s="1" t="s">
        <v>41</v>
      </c>
      <c r="C123" s="1" t="s">
        <v>6</v>
      </c>
      <c r="D123" s="1" t="s">
        <v>6</v>
      </c>
      <c r="E123" s="1" t="s">
        <v>6</v>
      </c>
      <c r="F123" s="2">
        <v>79</v>
      </c>
      <c r="G123" s="4" t="s">
        <v>8</v>
      </c>
      <c r="H123" s="9">
        <v>122</v>
      </c>
      <c r="I12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23" t="str">
        <f>IF(Table1[[#This Row],[Nationality]]="Nigeria",Table1[[#This Row],[EMJM Scholarship]],"Not Applicable")</f>
        <v>Not Applicable</v>
      </c>
    </row>
    <row r="124" spans="1:10" ht="19.25" hidden="1" customHeight="1" x14ac:dyDescent="0.3">
      <c r="A124" s="8">
        <v>2517631</v>
      </c>
      <c r="B124" s="1" t="s">
        <v>67</v>
      </c>
      <c r="C124" s="1" t="s">
        <v>6</v>
      </c>
      <c r="D124" s="1" t="s">
        <v>6</v>
      </c>
      <c r="E124" s="1" t="s">
        <v>6</v>
      </c>
      <c r="F124" s="2">
        <v>78.5</v>
      </c>
      <c r="G124" s="4" t="s">
        <v>8</v>
      </c>
      <c r="H124" s="9">
        <v>123</v>
      </c>
      <c r="I12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24" t="str">
        <f>IF(Table1[[#This Row],[Nationality]]="Nigeria",Table1[[#This Row],[EMJM Scholarship]],"Not Applicable")</f>
        <v>Not Applicable</v>
      </c>
    </row>
    <row r="125" spans="1:10" ht="19.25" hidden="1" customHeight="1" x14ac:dyDescent="0.3">
      <c r="A125" s="8">
        <v>2517698</v>
      </c>
      <c r="B125" s="1" t="s">
        <v>68</v>
      </c>
      <c r="C125" s="1" t="s">
        <v>6</v>
      </c>
      <c r="D125" s="1" t="s">
        <v>6</v>
      </c>
      <c r="E125" s="1" t="s">
        <v>6</v>
      </c>
      <c r="F125" s="2">
        <v>78</v>
      </c>
      <c r="G125" s="4" t="s">
        <v>8</v>
      </c>
      <c r="H125" s="9">
        <v>124</v>
      </c>
      <c r="I12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25" t="str">
        <f>IF(Table1[[#This Row],[Nationality]]="Nigeria",Table1[[#This Row],[EMJM Scholarship]],"Not Applicable")</f>
        <v>Not Applicable</v>
      </c>
    </row>
    <row r="126" spans="1:10" ht="19.25" hidden="1" customHeight="1" x14ac:dyDescent="0.3">
      <c r="A126" s="8">
        <v>2414590</v>
      </c>
      <c r="B126" s="1" t="s">
        <v>61</v>
      </c>
      <c r="C126" s="1" t="s">
        <v>6</v>
      </c>
      <c r="D126" s="1" t="s">
        <v>6</v>
      </c>
      <c r="E126" s="1" t="s">
        <v>6</v>
      </c>
      <c r="F126" s="2">
        <v>77.5</v>
      </c>
      <c r="G126" s="4" t="s">
        <v>8</v>
      </c>
      <c r="H126" s="9">
        <v>125</v>
      </c>
      <c r="I12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26" t="str">
        <f>IF(Table1[[#This Row],[Nationality]]="Nigeria",Table1[[#This Row],[EMJM Scholarship]],"Not Applicable")</f>
        <v>Waiting List</v>
      </c>
    </row>
    <row r="127" spans="1:10" ht="19.25" hidden="1" customHeight="1" x14ac:dyDescent="0.3">
      <c r="A127" s="8">
        <v>2497518</v>
      </c>
      <c r="B127" s="1" t="s">
        <v>18</v>
      </c>
      <c r="C127" s="1" t="s">
        <v>6</v>
      </c>
      <c r="D127" s="1" t="s">
        <v>6</v>
      </c>
      <c r="E127" s="1" t="s">
        <v>6</v>
      </c>
      <c r="F127" s="2">
        <v>77</v>
      </c>
      <c r="G127" s="4" t="s">
        <v>8</v>
      </c>
      <c r="H127" s="9">
        <v>126</v>
      </c>
      <c r="I12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27" t="str">
        <f>IF(Table1[[#This Row],[Nationality]]="Nigeria",Table1[[#This Row],[EMJM Scholarship]],"Not Applicable")</f>
        <v>Not Applicable</v>
      </c>
    </row>
    <row r="128" spans="1:10" ht="19.25" hidden="1" customHeight="1" x14ac:dyDescent="0.3">
      <c r="A128" s="8">
        <v>2518596</v>
      </c>
      <c r="B128" s="1" t="s">
        <v>18</v>
      </c>
      <c r="C128" s="1" t="s">
        <v>6</v>
      </c>
      <c r="D128" s="1" t="s">
        <v>6</v>
      </c>
      <c r="E128" s="1" t="s">
        <v>6</v>
      </c>
      <c r="F128" s="2">
        <v>76.5</v>
      </c>
      <c r="G128" s="4" t="s">
        <v>8</v>
      </c>
      <c r="H128" s="9">
        <v>127</v>
      </c>
      <c r="I12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28" t="str">
        <f>IF(Table1[[#This Row],[Nationality]]="Nigeria",Table1[[#This Row],[EMJM Scholarship]],"Not Applicable")</f>
        <v>Not Applicable</v>
      </c>
    </row>
    <row r="129" spans="1:10" ht="19.25" hidden="1" customHeight="1" x14ac:dyDescent="0.3">
      <c r="A129" s="8">
        <v>2444879</v>
      </c>
      <c r="B129" s="1" t="s">
        <v>61</v>
      </c>
      <c r="C129" s="1" t="s">
        <v>6</v>
      </c>
      <c r="D129" s="1" t="s">
        <v>6</v>
      </c>
      <c r="E129" s="1" t="s">
        <v>6</v>
      </c>
      <c r="F129" s="2">
        <v>76</v>
      </c>
      <c r="G129" s="4" t="s">
        <v>8</v>
      </c>
      <c r="H129" s="9">
        <v>128</v>
      </c>
      <c r="I12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29" t="str">
        <f>IF(Table1[[#This Row],[Nationality]]="Nigeria",Table1[[#This Row],[EMJM Scholarship]],"Not Applicable")</f>
        <v>Waiting List</v>
      </c>
    </row>
    <row r="130" spans="1:10" ht="19.25" hidden="1" customHeight="1" x14ac:dyDescent="0.3">
      <c r="A130" s="8">
        <v>2418433</v>
      </c>
      <c r="B130" s="1" t="s">
        <v>67</v>
      </c>
      <c r="C130" s="1" t="s">
        <v>6</v>
      </c>
      <c r="D130" s="1" t="s">
        <v>6</v>
      </c>
      <c r="E130" s="1" t="s">
        <v>6</v>
      </c>
      <c r="F130" s="2">
        <v>75.5</v>
      </c>
      <c r="G130" s="4" t="s">
        <v>8</v>
      </c>
      <c r="H130" s="9">
        <v>129</v>
      </c>
      <c r="I13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30" t="str">
        <f>IF(Table1[[#This Row],[Nationality]]="Nigeria",Table1[[#This Row],[EMJM Scholarship]],"Not Applicable")</f>
        <v>Not Applicable</v>
      </c>
    </row>
    <row r="131" spans="1:10" ht="19.25" hidden="1" customHeight="1" x14ac:dyDescent="0.3">
      <c r="A131" s="8">
        <v>2495825</v>
      </c>
      <c r="B131" s="1" t="s">
        <v>69</v>
      </c>
      <c r="C131" s="1" t="s">
        <v>6</v>
      </c>
      <c r="D131" s="1" t="s">
        <v>6</v>
      </c>
      <c r="E131" s="1" t="s">
        <v>6</v>
      </c>
      <c r="F131" s="2">
        <v>75</v>
      </c>
      <c r="G131" s="4" t="s">
        <v>8</v>
      </c>
      <c r="H131" s="9">
        <v>130</v>
      </c>
      <c r="I13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Yes</v>
      </c>
      <c r="J131" t="str">
        <f>IF(Table1[[#This Row],[Nationality]]="Nigeria",Table1[[#This Row],[EMJM Scholarship]],"Not Applicable")</f>
        <v>Not Applicable</v>
      </c>
    </row>
    <row r="132" spans="1:10" ht="19.25" hidden="1" customHeight="1" x14ac:dyDescent="0.3">
      <c r="A132" s="8">
        <v>2488255</v>
      </c>
      <c r="B132" s="1" t="s">
        <v>70</v>
      </c>
      <c r="C132" s="1" t="s">
        <v>9</v>
      </c>
      <c r="D132" s="1" t="s">
        <v>6</v>
      </c>
      <c r="E132" s="1" t="s">
        <v>6</v>
      </c>
      <c r="F132" s="2">
        <v>74.900000000000006</v>
      </c>
      <c r="G132" s="4" t="s">
        <v>10</v>
      </c>
      <c r="H132" s="9">
        <v>131</v>
      </c>
      <c r="I13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32" t="str">
        <f>IF(Table1[[#This Row],[Nationality]]="Nigeria",Table1[[#This Row],[EMJM Scholarship]],"Not Applicable")</f>
        <v>Not Applicable</v>
      </c>
    </row>
    <row r="133" spans="1:10" ht="19.25" hidden="1" customHeight="1" x14ac:dyDescent="0.3">
      <c r="A133" s="8">
        <v>2507234</v>
      </c>
      <c r="B133" s="1" t="s">
        <v>51</v>
      </c>
      <c r="C133" s="1" t="s">
        <v>9</v>
      </c>
      <c r="D133" s="1" t="s">
        <v>6</v>
      </c>
      <c r="E133" s="1" t="s">
        <v>6</v>
      </c>
      <c r="F133" s="2">
        <v>74.8</v>
      </c>
      <c r="G133" s="4" t="s">
        <v>10</v>
      </c>
      <c r="H133" s="9">
        <v>132</v>
      </c>
      <c r="I13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33" t="str">
        <f>IF(Table1[[#This Row],[Nationality]]="Nigeria",Table1[[#This Row],[EMJM Scholarship]],"Not Applicable")</f>
        <v>Not Applicable</v>
      </c>
    </row>
    <row r="134" spans="1:10" ht="19.25" hidden="1" customHeight="1" x14ac:dyDescent="0.3">
      <c r="A134" s="8">
        <v>2522557</v>
      </c>
      <c r="B134" s="1" t="s">
        <v>51</v>
      </c>
      <c r="C134" s="1" t="s">
        <v>9</v>
      </c>
      <c r="D134" s="1" t="s">
        <v>6</v>
      </c>
      <c r="E134" s="1" t="s">
        <v>6</v>
      </c>
      <c r="F134" s="2">
        <v>74.650000000000006</v>
      </c>
      <c r="G134" s="4" t="s">
        <v>10</v>
      </c>
      <c r="H134" s="9">
        <v>133</v>
      </c>
      <c r="I13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34" t="str">
        <f>IF(Table1[[#This Row],[Nationality]]="Nigeria",Table1[[#This Row],[EMJM Scholarship]],"Not Applicable")</f>
        <v>Not Applicable</v>
      </c>
    </row>
    <row r="135" spans="1:10" ht="19.25" hidden="1" customHeight="1" x14ac:dyDescent="0.3">
      <c r="A135" s="8">
        <v>2418687</v>
      </c>
      <c r="B135" s="1" t="s">
        <v>16</v>
      </c>
      <c r="C135" s="1" t="s">
        <v>9</v>
      </c>
      <c r="D135" s="1" t="s">
        <v>6</v>
      </c>
      <c r="E135" s="1" t="s">
        <v>6</v>
      </c>
      <c r="F135" s="2">
        <v>74.55</v>
      </c>
      <c r="G135" s="4" t="s">
        <v>10</v>
      </c>
      <c r="H135" s="9">
        <v>134</v>
      </c>
      <c r="I13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35" t="str">
        <f>IF(Table1[[#This Row],[Nationality]]="Nigeria",Table1[[#This Row],[EMJM Scholarship]],"Not Applicable")</f>
        <v>Not Applicable</v>
      </c>
    </row>
    <row r="136" spans="1:10" ht="19.25" hidden="1" customHeight="1" x14ac:dyDescent="0.3">
      <c r="A136" s="8">
        <v>2515154</v>
      </c>
      <c r="B136" s="1" t="s">
        <v>42</v>
      </c>
      <c r="C136" s="1" t="s">
        <v>9</v>
      </c>
      <c r="D136" s="1" t="s">
        <v>6</v>
      </c>
      <c r="E136" s="1" t="s">
        <v>6</v>
      </c>
      <c r="F136" s="2">
        <v>74.400000000000006</v>
      </c>
      <c r="G136" s="4" t="s">
        <v>10</v>
      </c>
      <c r="H136" s="9">
        <v>135</v>
      </c>
      <c r="I13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36" t="str">
        <f>IF(Table1[[#This Row],[Nationality]]="Nigeria",Table1[[#This Row],[EMJM Scholarship]],"Not Applicable")</f>
        <v>Not Applicable</v>
      </c>
    </row>
    <row r="137" spans="1:10" ht="19.25" hidden="1" customHeight="1" x14ac:dyDescent="0.3">
      <c r="A137" s="8">
        <v>2506235</v>
      </c>
      <c r="B137" s="1" t="s">
        <v>29</v>
      </c>
      <c r="C137" s="1" t="s">
        <v>9</v>
      </c>
      <c r="D137" s="1" t="s">
        <v>6</v>
      </c>
      <c r="E137" s="1" t="s">
        <v>6</v>
      </c>
      <c r="F137" s="2">
        <v>74.3</v>
      </c>
      <c r="G137" s="4" t="s">
        <v>10</v>
      </c>
      <c r="H137" s="9">
        <v>136</v>
      </c>
      <c r="I13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37" t="str">
        <f>IF(Table1[[#This Row],[Nationality]]="Nigeria",Table1[[#This Row],[EMJM Scholarship]],"Not Applicable")</f>
        <v>Not Applicable</v>
      </c>
    </row>
    <row r="138" spans="1:10" ht="19.25" hidden="1" customHeight="1" x14ac:dyDescent="0.3">
      <c r="A138" s="8">
        <v>2522804</v>
      </c>
      <c r="B138" s="1" t="s">
        <v>29</v>
      </c>
      <c r="C138" s="1" t="s">
        <v>9</v>
      </c>
      <c r="D138" s="1" t="s">
        <v>6</v>
      </c>
      <c r="E138" s="1" t="s">
        <v>6</v>
      </c>
      <c r="F138" s="2">
        <v>74.2</v>
      </c>
      <c r="G138" s="4" t="s">
        <v>10</v>
      </c>
      <c r="H138" s="9">
        <v>137</v>
      </c>
      <c r="I13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38" t="str">
        <f>IF(Table1[[#This Row],[Nationality]]="Nigeria",Table1[[#This Row],[EMJM Scholarship]],"Not Applicable")</f>
        <v>Not Applicable</v>
      </c>
    </row>
    <row r="139" spans="1:10" ht="19.25" hidden="1" customHeight="1" x14ac:dyDescent="0.3">
      <c r="A139" s="8">
        <v>2520756</v>
      </c>
      <c r="B139" s="1" t="s">
        <v>43</v>
      </c>
      <c r="C139" s="1" t="s">
        <v>9</v>
      </c>
      <c r="D139" s="1" t="s">
        <v>6</v>
      </c>
      <c r="E139" s="1" t="s">
        <v>6</v>
      </c>
      <c r="F139" s="2">
        <v>74.099999999999994</v>
      </c>
      <c r="G139" s="4" t="s">
        <v>10</v>
      </c>
      <c r="H139" s="9">
        <v>138</v>
      </c>
      <c r="I13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39" t="str">
        <f>IF(Table1[[#This Row],[Nationality]]="Nigeria",Table1[[#This Row],[EMJM Scholarship]],"Not Applicable")</f>
        <v>Not Applicable</v>
      </c>
    </row>
    <row r="140" spans="1:10" ht="19.25" hidden="1" customHeight="1" x14ac:dyDescent="0.3">
      <c r="A140" s="8">
        <v>2508202</v>
      </c>
      <c r="B140" s="1" t="s">
        <v>71</v>
      </c>
      <c r="C140" s="1" t="s">
        <v>9</v>
      </c>
      <c r="D140" s="1" t="s">
        <v>6</v>
      </c>
      <c r="E140" s="1" t="s">
        <v>6</v>
      </c>
      <c r="F140" s="2">
        <v>74</v>
      </c>
      <c r="G140" s="4" t="s">
        <v>10</v>
      </c>
      <c r="H140" s="9">
        <v>139</v>
      </c>
      <c r="I14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40" t="str">
        <f>IF(Table1[[#This Row],[Nationality]]="Nigeria",Table1[[#This Row],[EMJM Scholarship]],"Not Applicable")</f>
        <v>Not Applicable</v>
      </c>
    </row>
    <row r="141" spans="1:10" ht="19.25" hidden="1" customHeight="1" x14ac:dyDescent="0.3">
      <c r="A141" s="8">
        <v>2522297</v>
      </c>
      <c r="B141" s="1" t="s">
        <v>20</v>
      </c>
      <c r="C141" s="1" t="s">
        <v>9</v>
      </c>
      <c r="D141" s="1" t="s">
        <v>6</v>
      </c>
      <c r="E141" s="1" t="s">
        <v>6</v>
      </c>
      <c r="F141" s="2">
        <v>73.849999999999994</v>
      </c>
      <c r="G141" s="4" t="s">
        <v>10</v>
      </c>
      <c r="H141" s="9">
        <v>140</v>
      </c>
      <c r="I14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41" t="str">
        <f>IF(Table1[[#This Row],[Nationality]]="Nigeria",Table1[[#This Row],[EMJM Scholarship]],"Not Applicable")</f>
        <v>Not Applicable</v>
      </c>
    </row>
    <row r="142" spans="1:10" ht="19.25" hidden="1" customHeight="1" x14ac:dyDescent="0.3">
      <c r="A142" s="8">
        <v>2497480</v>
      </c>
      <c r="B142" s="1" t="s">
        <v>51</v>
      </c>
      <c r="C142" s="1" t="s">
        <v>9</v>
      </c>
      <c r="D142" s="1" t="s">
        <v>6</v>
      </c>
      <c r="E142" s="1" t="s">
        <v>6</v>
      </c>
      <c r="F142" s="2">
        <v>73.7</v>
      </c>
      <c r="G142" s="4" t="s">
        <v>10</v>
      </c>
      <c r="H142" s="9">
        <v>141</v>
      </c>
      <c r="I14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42" t="str">
        <f>IF(Table1[[#This Row],[Nationality]]="Nigeria",Table1[[#This Row],[EMJM Scholarship]],"Not Applicable")</f>
        <v>Not Applicable</v>
      </c>
    </row>
    <row r="143" spans="1:10" ht="19.25" hidden="1" customHeight="1" x14ac:dyDescent="0.3">
      <c r="A143" s="8">
        <v>2520471</v>
      </c>
      <c r="B143" s="1" t="s">
        <v>58</v>
      </c>
      <c r="C143" s="1" t="s">
        <v>9</v>
      </c>
      <c r="D143" s="1" t="s">
        <v>6</v>
      </c>
      <c r="E143" s="1" t="s">
        <v>6</v>
      </c>
      <c r="F143" s="2">
        <v>73.599999999999994</v>
      </c>
      <c r="G143" s="4" t="s">
        <v>10</v>
      </c>
      <c r="H143" s="9">
        <v>142</v>
      </c>
      <c r="I14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43" t="str">
        <f>IF(Table1[[#This Row],[Nationality]]="Nigeria",Table1[[#This Row],[EMJM Scholarship]],"Not Applicable")</f>
        <v>Not Applicable</v>
      </c>
    </row>
    <row r="144" spans="1:10" ht="19.25" hidden="1" customHeight="1" x14ac:dyDescent="0.3">
      <c r="A144" s="8">
        <v>2508348</v>
      </c>
      <c r="B144" s="1" t="s">
        <v>58</v>
      </c>
      <c r="C144" s="1" t="s">
        <v>9</v>
      </c>
      <c r="D144" s="1" t="s">
        <v>6</v>
      </c>
      <c r="E144" s="1" t="s">
        <v>6</v>
      </c>
      <c r="F144" s="2">
        <v>73.5</v>
      </c>
      <c r="G144" s="4" t="s">
        <v>10</v>
      </c>
      <c r="H144" s="9">
        <v>143</v>
      </c>
      <c r="I14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44" t="str">
        <f>IF(Table1[[#This Row],[Nationality]]="Nigeria",Table1[[#This Row],[EMJM Scholarship]],"Not Applicable")</f>
        <v>Not Applicable</v>
      </c>
    </row>
    <row r="145" spans="1:10" ht="19.25" hidden="1" customHeight="1" x14ac:dyDescent="0.3">
      <c r="A145" s="8">
        <v>2483659</v>
      </c>
      <c r="B145" s="1" t="s">
        <v>58</v>
      </c>
      <c r="C145" s="1" t="s">
        <v>9</v>
      </c>
      <c r="D145" s="1" t="s">
        <v>6</v>
      </c>
      <c r="E145" s="1" t="s">
        <v>6</v>
      </c>
      <c r="F145" s="2">
        <v>73.400000000000006</v>
      </c>
      <c r="G145" s="4" t="s">
        <v>10</v>
      </c>
      <c r="H145" s="9">
        <v>144</v>
      </c>
      <c r="I14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45" t="str">
        <f>IF(Table1[[#This Row],[Nationality]]="Nigeria",Table1[[#This Row],[EMJM Scholarship]],"Not Applicable")</f>
        <v>Not Applicable</v>
      </c>
    </row>
    <row r="146" spans="1:10" ht="19.25" hidden="1" customHeight="1" x14ac:dyDescent="0.3">
      <c r="A146" s="8">
        <v>2449149</v>
      </c>
      <c r="B146" s="1" t="s">
        <v>62</v>
      </c>
      <c r="C146" s="1" t="s">
        <v>9</v>
      </c>
      <c r="D146" s="1" t="s">
        <v>6</v>
      </c>
      <c r="E146" s="1" t="s">
        <v>6</v>
      </c>
      <c r="F146" s="2">
        <v>73.25</v>
      </c>
      <c r="G146" s="4" t="s">
        <v>10</v>
      </c>
      <c r="H146" s="9">
        <v>145</v>
      </c>
      <c r="I14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46" t="str">
        <f>IF(Table1[[#This Row],[Nationality]]="Nigeria",Table1[[#This Row],[EMJM Scholarship]],"Not Applicable")</f>
        <v>Not Applicable</v>
      </c>
    </row>
    <row r="147" spans="1:10" ht="19.25" hidden="1" customHeight="1" x14ac:dyDescent="0.3">
      <c r="A147" s="8">
        <v>2513280</v>
      </c>
      <c r="B147" s="1" t="s">
        <v>72</v>
      </c>
      <c r="C147" s="1" t="s">
        <v>9</v>
      </c>
      <c r="D147" s="1" t="s">
        <v>6</v>
      </c>
      <c r="E147" s="1" t="s">
        <v>6</v>
      </c>
      <c r="F147" s="2">
        <v>73.099999999999994</v>
      </c>
      <c r="G147" s="4" t="s">
        <v>10</v>
      </c>
      <c r="H147" s="9">
        <v>146</v>
      </c>
      <c r="I14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47" t="str">
        <f>IF(Table1[[#This Row],[Nationality]]="Nigeria",Table1[[#This Row],[EMJM Scholarship]],"Not Applicable")</f>
        <v>Not Applicable</v>
      </c>
    </row>
    <row r="148" spans="1:10" ht="19.25" hidden="1" customHeight="1" x14ac:dyDescent="0.3">
      <c r="A148" s="8">
        <v>2509034</v>
      </c>
      <c r="B148" s="1" t="s">
        <v>25</v>
      </c>
      <c r="C148" s="1" t="s">
        <v>9</v>
      </c>
      <c r="D148" s="1" t="s">
        <v>6</v>
      </c>
      <c r="E148" s="1" t="s">
        <v>6</v>
      </c>
      <c r="F148" s="2">
        <v>73</v>
      </c>
      <c r="G148" s="4" t="s">
        <v>10</v>
      </c>
      <c r="H148" s="9">
        <v>147</v>
      </c>
      <c r="I14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48" t="str">
        <f>IF(Table1[[#This Row],[Nationality]]="Nigeria",Table1[[#This Row],[EMJM Scholarship]],"Not Applicable")</f>
        <v>Not Applicable</v>
      </c>
    </row>
    <row r="149" spans="1:10" ht="19.25" hidden="1" customHeight="1" x14ac:dyDescent="0.3">
      <c r="A149" s="8">
        <v>2417615</v>
      </c>
      <c r="B149" s="1" t="s">
        <v>58</v>
      </c>
      <c r="C149" s="1" t="s">
        <v>9</v>
      </c>
      <c r="D149" s="1" t="s">
        <v>6</v>
      </c>
      <c r="E149" s="1" t="s">
        <v>6</v>
      </c>
      <c r="F149" s="2">
        <v>72.900000000000006</v>
      </c>
      <c r="G149" s="4" t="s">
        <v>10</v>
      </c>
      <c r="H149" s="9">
        <v>148</v>
      </c>
      <c r="I14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49" t="str">
        <f>IF(Table1[[#This Row],[Nationality]]="Nigeria",Table1[[#This Row],[EMJM Scholarship]],"Not Applicable")</f>
        <v>Not Applicable</v>
      </c>
    </row>
    <row r="150" spans="1:10" ht="19.25" hidden="1" customHeight="1" x14ac:dyDescent="0.3">
      <c r="A150" s="8">
        <v>2508689</v>
      </c>
      <c r="B150" s="1" t="s">
        <v>58</v>
      </c>
      <c r="C150" s="1" t="s">
        <v>9</v>
      </c>
      <c r="D150" s="1" t="s">
        <v>6</v>
      </c>
      <c r="E150" s="1" t="s">
        <v>6</v>
      </c>
      <c r="F150" s="2">
        <v>72.75</v>
      </c>
      <c r="G150" s="4" t="s">
        <v>10</v>
      </c>
      <c r="H150" s="9">
        <v>149</v>
      </c>
      <c r="I15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50" t="str">
        <f>IF(Table1[[#This Row],[Nationality]]="Nigeria",Table1[[#This Row],[EMJM Scholarship]],"Not Applicable")</f>
        <v>Not Applicable</v>
      </c>
    </row>
    <row r="151" spans="1:10" ht="19.25" hidden="1" customHeight="1" x14ac:dyDescent="0.3">
      <c r="A151" s="8">
        <v>2518062</v>
      </c>
      <c r="B151" s="1" t="s">
        <v>35</v>
      </c>
      <c r="C151" s="1" t="s">
        <v>9</v>
      </c>
      <c r="D151" s="1" t="s">
        <v>6</v>
      </c>
      <c r="E151" s="1" t="s">
        <v>6</v>
      </c>
      <c r="F151" s="2">
        <v>72.599999999999994</v>
      </c>
      <c r="G151" s="4" t="s">
        <v>10</v>
      </c>
      <c r="H151" s="9">
        <v>150</v>
      </c>
      <c r="I15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51" t="str">
        <f>IF(Table1[[#This Row],[Nationality]]="Nigeria",Table1[[#This Row],[EMJM Scholarship]],"Not Applicable")</f>
        <v>Not Applicable</v>
      </c>
    </row>
    <row r="152" spans="1:10" ht="19.25" hidden="1" customHeight="1" x14ac:dyDescent="0.3">
      <c r="A152" s="8">
        <v>2451868</v>
      </c>
      <c r="B152" s="1" t="s">
        <v>37</v>
      </c>
      <c r="C152" s="1" t="s">
        <v>9</v>
      </c>
      <c r="D152" s="1" t="s">
        <v>6</v>
      </c>
      <c r="E152" s="1" t="s">
        <v>6</v>
      </c>
      <c r="F152" s="2">
        <v>72.5</v>
      </c>
      <c r="G152" s="4" t="s">
        <v>10</v>
      </c>
      <c r="H152" s="9">
        <v>151</v>
      </c>
      <c r="I15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52" t="str">
        <f>IF(Table1[[#This Row],[Nationality]]="Nigeria",Table1[[#This Row],[EMJM Scholarship]],"Not Applicable")</f>
        <v>Not Applicable</v>
      </c>
    </row>
    <row r="153" spans="1:10" ht="19.25" hidden="1" customHeight="1" x14ac:dyDescent="0.3">
      <c r="A153" s="8">
        <v>2449389</v>
      </c>
      <c r="B153" s="1" t="s">
        <v>19</v>
      </c>
      <c r="C153" s="1" t="s">
        <v>9</v>
      </c>
      <c r="D153" s="1" t="s">
        <v>6</v>
      </c>
      <c r="E153" s="1" t="s">
        <v>6</v>
      </c>
      <c r="F153" s="2">
        <v>72.400000000000006</v>
      </c>
      <c r="G153" s="4" t="s">
        <v>10</v>
      </c>
      <c r="H153" s="9">
        <v>152</v>
      </c>
      <c r="I15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53" t="str">
        <f>IF(Table1[[#This Row],[Nationality]]="Nigeria",Table1[[#This Row],[EMJM Scholarship]],"Not Applicable")</f>
        <v>Not Applicable</v>
      </c>
    </row>
    <row r="154" spans="1:10" ht="19.25" hidden="1" customHeight="1" x14ac:dyDescent="0.3">
      <c r="A154" s="8">
        <v>2517340</v>
      </c>
      <c r="B154" s="1" t="s">
        <v>58</v>
      </c>
      <c r="C154" s="1" t="s">
        <v>9</v>
      </c>
      <c r="D154" s="1" t="s">
        <v>6</v>
      </c>
      <c r="E154" s="1" t="s">
        <v>6</v>
      </c>
      <c r="F154" s="2">
        <v>72.3</v>
      </c>
      <c r="G154" s="4" t="s">
        <v>10</v>
      </c>
      <c r="H154" s="9">
        <v>153</v>
      </c>
      <c r="I15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54" t="str">
        <f>IF(Table1[[#This Row],[Nationality]]="Nigeria",Table1[[#This Row],[EMJM Scholarship]],"Not Applicable")</f>
        <v>Not Applicable</v>
      </c>
    </row>
    <row r="155" spans="1:10" ht="19.25" hidden="1" customHeight="1" x14ac:dyDescent="0.3">
      <c r="A155" s="8">
        <v>2493948</v>
      </c>
      <c r="B155" s="1" t="s">
        <v>64</v>
      </c>
      <c r="C155" s="1" t="s">
        <v>9</v>
      </c>
      <c r="D155" s="1" t="s">
        <v>6</v>
      </c>
      <c r="E155" s="1" t="s">
        <v>6</v>
      </c>
      <c r="F155" s="2">
        <v>72.2</v>
      </c>
      <c r="G155" s="4" t="s">
        <v>10</v>
      </c>
      <c r="H155" s="9">
        <v>154</v>
      </c>
      <c r="I15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55" t="str">
        <f>IF(Table1[[#This Row],[Nationality]]="Nigeria",Table1[[#This Row],[EMJM Scholarship]],"Not Applicable")</f>
        <v>Not Applicable</v>
      </c>
    </row>
    <row r="156" spans="1:10" ht="19.25" hidden="1" customHeight="1" x14ac:dyDescent="0.3">
      <c r="A156" s="8">
        <v>2489555</v>
      </c>
      <c r="B156" s="1" t="s">
        <v>46</v>
      </c>
      <c r="C156" s="1" t="s">
        <v>9</v>
      </c>
      <c r="D156" s="1" t="s">
        <v>6</v>
      </c>
      <c r="E156" s="1" t="s">
        <v>6</v>
      </c>
      <c r="F156" s="2">
        <v>72.099999999999994</v>
      </c>
      <c r="G156" s="4" t="s">
        <v>10</v>
      </c>
      <c r="H156" s="9">
        <v>155</v>
      </c>
      <c r="I15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56" t="str">
        <f>IF(Table1[[#This Row],[Nationality]]="Nigeria",Table1[[#This Row],[EMJM Scholarship]],"Not Applicable")</f>
        <v>Not Applicable</v>
      </c>
    </row>
    <row r="157" spans="1:10" ht="19.25" hidden="1" customHeight="1" x14ac:dyDescent="0.3">
      <c r="A157" s="8">
        <v>2456782</v>
      </c>
      <c r="B157" s="1" t="s">
        <v>24</v>
      </c>
      <c r="C157" s="1" t="s">
        <v>9</v>
      </c>
      <c r="D157" s="1" t="s">
        <v>6</v>
      </c>
      <c r="E157" s="1" t="s">
        <v>6</v>
      </c>
      <c r="F157" s="2">
        <v>72</v>
      </c>
      <c r="G157" s="4" t="s">
        <v>10</v>
      </c>
      <c r="H157" s="9">
        <v>156</v>
      </c>
      <c r="I15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57" t="str">
        <f>IF(Table1[[#This Row],[Nationality]]="Nigeria",Table1[[#This Row],[EMJM Scholarship]],"Not Applicable")</f>
        <v>Not Applicable</v>
      </c>
    </row>
    <row r="158" spans="1:10" ht="19.25" hidden="1" customHeight="1" x14ac:dyDescent="0.3">
      <c r="A158" s="8">
        <v>2508702</v>
      </c>
      <c r="B158" s="1" t="s">
        <v>62</v>
      </c>
      <c r="C158" s="1" t="s">
        <v>9</v>
      </c>
      <c r="D158" s="1" t="s">
        <v>6</v>
      </c>
      <c r="E158" s="1" t="s">
        <v>6</v>
      </c>
      <c r="F158" s="2">
        <v>71.849999999999994</v>
      </c>
      <c r="G158" s="4" t="s">
        <v>10</v>
      </c>
      <c r="H158" s="9">
        <v>157</v>
      </c>
      <c r="I15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58" t="str">
        <f>IF(Table1[[#This Row],[Nationality]]="Nigeria",Table1[[#This Row],[EMJM Scholarship]],"Not Applicable")</f>
        <v>Not Applicable</v>
      </c>
    </row>
    <row r="159" spans="1:10" ht="19.25" hidden="1" customHeight="1" x14ac:dyDescent="0.3">
      <c r="A159" s="8">
        <v>2500205</v>
      </c>
      <c r="B159" s="1" t="s">
        <v>64</v>
      </c>
      <c r="C159" s="1" t="s">
        <v>9</v>
      </c>
      <c r="D159" s="1" t="s">
        <v>6</v>
      </c>
      <c r="E159" s="1" t="s">
        <v>6</v>
      </c>
      <c r="F159" s="2">
        <v>71.7</v>
      </c>
      <c r="G159" s="4" t="s">
        <v>10</v>
      </c>
      <c r="H159" s="9">
        <v>158</v>
      </c>
      <c r="I15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59" t="str">
        <f>IF(Table1[[#This Row],[Nationality]]="Nigeria",Table1[[#This Row],[EMJM Scholarship]],"Not Applicable")</f>
        <v>Not Applicable</v>
      </c>
    </row>
    <row r="160" spans="1:10" ht="19.25" hidden="1" customHeight="1" x14ac:dyDescent="0.3">
      <c r="A160" s="8">
        <v>2415548</v>
      </c>
      <c r="B160" s="1" t="s">
        <v>58</v>
      </c>
      <c r="C160" s="1" t="s">
        <v>9</v>
      </c>
      <c r="D160" s="1" t="s">
        <v>6</v>
      </c>
      <c r="E160" s="1" t="s">
        <v>6</v>
      </c>
      <c r="F160" s="2">
        <v>71.55</v>
      </c>
      <c r="G160" s="4" t="s">
        <v>10</v>
      </c>
      <c r="H160" s="9">
        <v>159</v>
      </c>
      <c r="I16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60" t="str">
        <f>IF(Table1[[#This Row],[Nationality]]="Nigeria",Table1[[#This Row],[EMJM Scholarship]],"Not Applicable")</f>
        <v>Not Applicable</v>
      </c>
    </row>
    <row r="161" spans="1:10" ht="19.25" hidden="1" customHeight="1" x14ac:dyDescent="0.3">
      <c r="A161" s="8">
        <v>2414702</v>
      </c>
      <c r="B161" s="1" t="s">
        <v>64</v>
      </c>
      <c r="C161" s="1" t="s">
        <v>9</v>
      </c>
      <c r="D161" s="1" t="s">
        <v>6</v>
      </c>
      <c r="E161" s="1" t="s">
        <v>6</v>
      </c>
      <c r="F161" s="2">
        <v>71.400000000000006</v>
      </c>
      <c r="G161" s="4" t="s">
        <v>10</v>
      </c>
      <c r="H161" s="9">
        <v>160</v>
      </c>
      <c r="I16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61" t="str">
        <f>IF(Table1[[#This Row],[Nationality]]="Nigeria",Table1[[#This Row],[EMJM Scholarship]],"Not Applicable")</f>
        <v>Not Applicable</v>
      </c>
    </row>
    <row r="162" spans="1:10" ht="19.25" hidden="1" customHeight="1" x14ac:dyDescent="0.3">
      <c r="A162" s="8">
        <v>2503723</v>
      </c>
      <c r="B162" s="1" t="s">
        <v>46</v>
      </c>
      <c r="C162" s="1" t="s">
        <v>9</v>
      </c>
      <c r="D162" s="1" t="s">
        <v>6</v>
      </c>
      <c r="E162" s="1" t="s">
        <v>6</v>
      </c>
      <c r="F162" s="2">
        <v>71.25</v>
      </c>
      <c r="G162" s="4" t="s">
        <v>10</v>
      </c>
      <c r="H162" s="9">
        <v>161</v>
      </c>
      <c r="I16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62" t="str">
        <f>IF(Table1[[#This Row],[Nationality]]="Nigeria",Table1[[#This Row],[EMJM Scholarship]],"Not Applicable")</f>
        <v>Not Applicable</v>
      </c>
    </row>
    <row r="163" spans="1:10" ht="19.25" hidden="1" customHeight="1" x14ac:dyDescent="0.3">
      <c r="A163" s="8">
        <v>2512920</v>
      </c>
      <c r="B163" s="1" t="s">
        <v>58</v>
      </c>
      <c r="C163" s="1" t="s">
        <v>9</v>
      </c>
      <c r="D163" s="1" t="s">
        <v>6</v>
      </c>
      <c r="E163" s="1" t="s">
        <v>6</v>
      </c>
      <c r="F163" s="2">
        <v>71.099999999999994</v>
      </c>
      <c r="G163" s="4" t="s">
        <v>10</v>
      </c>
      <c r="H163" s="9">
        <v>162</v>
      </c>
      <c r="I16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63" t="str">
        <f>IF(Table1[[#This Row],[Nationality]]="Nigeria",Table1[[#This Row],[EMJM Scholarship]],"Not Applicable")</f>
        <v>Not Applicable</v>
      </c>
    </row>
    <row r="164" spans="1:10" ht="19.25" hidden="1" customHeight="1" x14ac:dyDescent="0.3">
      <c r="A164" s="8">
        <v>2429384</v>
      </c>
      <c r="B164" s="1" t="s">
        <v>27</v>
      </c>
      <c r="C164" s="1" t="s">
        <v>9</v>
      </c>
      <c r="D164" s="1" t="s">
        <v>6</v>
      </c>
      <c r="E164" s="1" t="s">
        <v>6</v>
      </c>
      <c r="F164" s="2">
        <v>71</v>
      </c>
      <c r="G164" s="4" t="s">
        <v>10</v>
      </c>
      <c r="H164" s="9">
        <v>163</v>
      </c>
      <c r="I16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64" t="str">
        <f>IF(Table1[[#This Row],[Nationality]]="Nigeria",Table1[[#This Row],[EMJM Scholarship]],"Not Applicable")</f>
        <v>Not Applicable</v>
      </c>
    </row>
    <row r="165" spans="1:10" ht="19.25" hidden="1" customHeight="1" x14ac:dyDescent="0.3">
      <c r="A165" s="8">
        <v>2421386</v>
      </c>
      <c r="B165" s="1" t="s">
        <v>62</v>
      </c>
      <c r="C165" s="1" t="s">
        <v>9</v>
      </c>
      <c r="D165" s="1" t="s">
        <v>6</v>
      </c>
      <c r="E165" s="1" t="s">
        <v>6</v>
      </c>
      <c r="F165" s="2">
        <v>70.849999999999994</v>
      </c>
      <c r="G165" s="4" t="s">
        <v>10</v>
      </c>
      <c r="H165" s="9">
        <v>164</v>
      </c>
      <c r="I16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65" t="str">
        <f>IF(Table1[[#This Row],[Nationality]]="Nigeria",Table1[[#This Row],[EMJM Scholarship]],"Not Applicable")</f>
        <v>Not Applicable</v>
      </c>
    </row>
    <row r="166" spans="1:10" ht="19.25" hidden="1" customHeight="1" x14ac:dyDescent="0.3">
      <c r="A166" s="8">
        <v>2483773</v>
      </c>
      <c r="B166" s="1" t="s">
        <v>17</v>
      </c>
      <c r="C166" s="1" t="s">
        <v>9</v>
      </c>
      <c r="D166" s="1" t="s">
        <v>6</v>
      </c>
      <c r="E166" s="1" t="s">
        <v>6</v>
      </c>
      <c r="F166" s="2">
        <v>70.599999999999994</v>
      </c>
      <c r="G166" s="4" t="s">
        <v>10</v>
      </c>
      <c r="H166" s="9">
        <v>165</v>
      </c>
      <c r="I16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66" t="str">
        <f>IF(Table1[[#This Row],[Nationality]]="Nigeria",Table1[[#This Row],[EMJM Scholarship]],"Not Applicable")</f>
        <v>Not Applicable</v>
      </c>
    </row>
    <row r="167" spans="1:10" ht="19.25" hidden="1" customHeight="1" x14ac:dyDescent="0.3">
      <c r="A167" s="8">
        <v>2523141</v>
      </c>
      <c r="B167" s="1" t="s">
        <v>63</v>
      </c>
      <c r="C167" s="1" t="s">
        <v>9</v>
      </c>
      <c r="D167" s="1" t="s">
        <v>6</v>
      </c>
      <c r="E167" s="1" t="s">
        <v>6</v>
      </c>
      <c r="F167" s="2">
        <v>70.5</v>
      </c>
      <c r="G167" s="4" t="s">
        <v>10</v>
      </c>
      <c r="H167" s="9">
        <v>166</v>
      </c>
      <c r="I16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67" t="str">
        <f>IF(Table1[[#This Row],[Nationality]]="Nigeria",Table1[[#This Row],[EMJM Scholarship]],"Not Applicable")</f>
        <v>Not Applicable</v>
      </c>
    </row>
    <row r="168" spans="1:10" ht="19.25" hidden="1" customHeight="1" x14ac:dyDescent="0.3">
      <c r="A168" s="8">
        <v>2429648</v>
      </c>
      <c r="B168" s="1" t="s">
        <v>27</v>
      </c>
      <c r="C168" s="1" t="s">
        <v>9</v>
      </c>
      <c r="D168" s="1" t="s">
        <v>6</v>
      </c>
      <c r="E168" s="1" t="s">
        <v>6</v>
      </c>
      <c r="F168" s="2">
        <v>70.349999999999994</v>
      </c>
      <c r="G168" s="4" t="s">
        <v>10</v>
      </c>
      <c r="H168" s="9">
        <v>167</v>
      </c>
      <c r="I16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68" t="str">
        <f>IF(Table1[[#This Row],[Nationality]]="Nigeria",Table1[[#This Row],[EMJM Scholarship]],"Not Applicable")</f>
        <v>Not Applicable</v>
      </c>
    </row>
    <row r="169" spans="1:10" ht="19.25" hidden="1" customHeight="1" x14ac:dyDescent="0.3">
      <c r="A169" s="8">
        <v>2486637</v>
      </c>
      <c r="B169" s="1" t="s">
        <v>55</v>
      </c>
      <c r="C169" s="1" t="s">
        <v>9</v>
      </c>
      <c r="D169" s="1" t="s">
        <v>6</v>
      </c>
      <c r="E169" s="1" t="s">
        <v>6</v>
      </c>
      <c r="F169" s="2">
        <v>70.2</v>
      </c>
      <c r="G169" s="4" t="s">
        <v>10</v>
      </c>
      <c r="H169" s="9">
        <v>168</v>
      </c>
      <c r="I16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69" t="str">
        <f>IF(Table1[[#This Row],[Nationality]]="Nigeria",Table1[[#This Row],[EMJM Scholarship]],"Not Applicable")</f>
        <v>Not Applicable</v>
      </c>
    </row>
    <row r="170" spans="1:10" ht="19.25" hidden="1" customHeight="1" x14ac:dyDescent="0.3">
      <c r="A170" s="8">
        <v>2414741</v>
      </c>
      <c r="B170" s="1" t="s">
        <v>64</v>
      </c>
      <c r="C170" s="1" t="s">
        <v>9</v>
      </c>
      <c r="D170" s="1" t="s">
        <v>6</v>
      </c>
      <c r="E170" s="1" t="s">
        <v>6</v>
      </c>
      <c r="F170" s="2">
        <v>70</v>
      </c>
      <c r="G170" s="4" t="s">
        <v>10</v>
      </c>
      <c r="H170" s="9">
        <v>169</v>
      </c>
      <c r="I17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70" t="str">
        <f>IF(Table1[[#This Row],[Nationality]]="Nigeria",Table1[[#This Row],[EMJM Scholarship]],"Not Applicable")</f>
        <v>Not Applicable</v>
      </c>
    </row>
    <row r="171" spans="1:10" ht="19.25" hidden="1" customHeight="1" x14ac:dyDescent="0.3">
      <c r="A171" s="8">
        <v>2500873</v>
      </c>
      <c r="B171" s="1" t="s">
        <v>64</v>
      </c>
      <c r="C171" s="1" t="s">
        <v>9</v>
      </c>
      <c r="D171" s="1" t="s">
        <v>6</v>
      </c>
      <c r="E171" s="1" t="s">
        <v>6</v>
      </c>
      <c r="F171" s="2">
        <v>69.849999999999994</v>
      </c>
      <c r="G171" s="4" t="s">
        <v>10</v>
      </c>
      <c r="H171" s="9">
        <v>170</v>
      </c>
      <c r="I17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71" t="str">
        <f>IF(Table1[[#This Row],[Nationality]]="Nigeria",Table1[[#This Row],[EMJM Scholarship]],"Not Applicable")</f>
        <v>Not Applicable</v>
      </c>
    </row>
    <row r="172" spans="1:10" ht="19.25" hidden="1" customHeight="1" x14ac:dyDescent="0.3">
      <c r="A172" s="8">
        <v>2460706</v>
      </c>
      <c r="B172" s="1" t="s">
        <v>55</v>
      </c>
      <c r="C172" s="1" t="s">
        <v>9</v>
      </c>
      <c r="D172" s="1" t="s">
        <v>6</v>
      </c>
      <c r="E172" s="1" t="s">
        <v>6</v>
      </c>
      <c r="F172" s="2">
        <v>69.75</v>
      </c>
      <c r="G172" s="4" t="s">
        <v>10</v>
      </c>
      <c r="H172" s="9">
        <v>171</v>
      </c>
      <c r="I17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72" t="str">
        <f>IF(Table1[[#This Row],[Nationality]]="Nigeria",Table1[[#This Row],[EMJM Scholarship]],"Not Applicable")</f>
        <v>Not Applicable</v>
      </c>
    </row>
    <row r="173" spans="1:10" ht="19.25" hidden="1" customHeight="1" x14ac:dyDescent="0.3">
      <c r="A173" s="8">
        <v>2503224</v>
      </c>
      <c r="B173" s="1" t="s">
        <v>55</v>
      </c>
      <c r="C173" s="1" t="s">
        <v>9</v>
      </c>
      <c r="D173" s="1" t="s">
        <v>6</v>
      </c>
      <c r="E173" s="1" t="s">
        <v>6</v>
      </c>
      <c r="F173" s="2">
        <v>69.650000000000006</v>
      </c>
      <c r="G173" s="4" t="s">
        <v>10</v>
      </c>
      <c r="H173" s="9">
        <v>172</v>
      </c>
      <c r="I17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73" t="str">
        <f>IF(Table1[[#This Row],[Nationality]]="Nigeria",Table1[[#This Row],[EMJM Scholarship]],"Not Applicable")</f>
        <v>Not Applicable</v>
      </c>
    </row>
    <row r="174" spans="1:10" ht="19.25" hidden="1" customHeight="1" x14ac:dyDescent="0.3">
      <c r="A174" s="8">
        <v>2523681</v>
      </c>
      <c r="B174" s="1" t="s">
        <v>61</v>
      </c>
      <c r="C174" s="1" t="s">
        <v>9</v>
      </c>
      <c r="D174" s="1" t="s">
        <v>6</v>
      </c>
      <c r="E174" s="1" t="s">
        <v>6</v>
      </c>
      <c r="F174" s="2">
        <v>69.5</v>
      </c>
      <c r="G174" s="4" t="s">
        <v>10</v>
      </c>
      <c r="H174" s="9">
        <v>173</v>
      </c>
      <c r="I17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74" t="str">
        <f>IF(Table1[[#This Row],[Nationality]]="Nigeria",Table1[[#This Row],[EMJM Scholarship]],"Not Applicable")</f>
        <v>N/A</v>
      </c>
    </row>
    <row r="175" spans="1:10" ht="19.25" hidden="1" customHeight="1" x14ac:dyDescent="0.3">
      <c r="A175" s="8">
        <v>2461270</v>
      </c>
      <c r="B175" s="1" t="s">
        <v>30</v>
      </c>
      <c r="C175" s="1" t="s">
        <v>9</v>
      </c>
      <c r="D175" s="1" t="s">
        <v>6</v>
      </c>
      <c r="E175" s="1" t="s">
        <v>6</v>
      </c>
      <c r="F175" s="2">
        <v>69.400000000000006</v>
      </c>
      <c r="G175" s="4" t="s">
        <v>10</v>
      </c>
      <c r="H175" s="9">
        <v>174</v>
      </c>
      <c r="I17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75" t="str">
        <f>IF(Table1[[#This Row],[Nationality]]="Nigeria",Table1[[#This Row],[EMJM Scholarship]],"Not Applicable")</f>
        <v>Not Applicable</v>
      </c>
    </row>
    <row r="176" spans="1:10" ht="19.25" hidden="1" customHeight="1" x14ac:dyDescent="0.3">
      <c r="A176" s="8">
        <v>2520436</v>
      </c>
      <c r="B176" s="1" t="s">
        <v>51</v>
      </c>
      <c r="C176" s="1" t="s">
        <v>9</v>
      </c>
      <c r="D176" s="1" t="s">
        <v>6</v>
      </c>
      <c r="E176" s="1" t="s">
        <v>6</v>
      </c>
      <c r="F176" s="2">
        <v>69.3</v>
      </c>
      <c r="G176" s="4" t="s">
        <v>10</v>
      </c>
      <c r="H176" s="9">
        <v>175</v>
      </c>
      <c r="I17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76" t="str">
        <f>IF(Table1[[#This Row],[Nationality]]="Nigeria",Table1[[#This Row],[EMJM Scholarship]],"Not Applicable")</f>
        <v>Not Applicable</v>
      </c>
    </row>
    <row r="177" spans="1:10" ht="19.25" hidden="1" customHeight="1" x14ac:dyDescent="0.3">
      <c r="A177" s="8">
        <v>2507046</v>
      </c>
      <c r="B177" s="1" t="s">
        <v>16</v>
      </c>
      <c r="C177" s="1" t="s">
        <v>9</v>
      </c>
      <c r="D177" s="1" t="s">
        <v>6</v>
      </c>
      <c r="E177" s="1" t="s">
        <v>6</v>
      </c>
      <c r="F177" s="2">
        <v>69.2</v>
      </c>
      <c r="G177" s="4" t="s">
        <v>10</v>
      </c>
      <c r="H177" s="9">
        <v>176</v>
      </c>
      <c r="I17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77" t="str">
        <f>IF(Table1[[#This Row],[Nationality]]="Nigeria",Table1[[#This Row],[EMJM Scholarship]],"Not Applicable")</f>
        <v>Not Applicable</v>
      </c>
    </row>
    <row r="178" spans="1:10" ht="19.25" hidden="1" customHeight="1" x14ac:dyDescent="0.3">
      <c r="A178" s="8">
        <v>2416993</v>
      </c>
      <c r="B178" s="1" t="s">
        <v>61</v>
      </c>
      <c r="C178" s="1" t="s">
        <v>9</v>
      </c>
      <c r="D178" s="1" t="s">
        <v>6</v>
      </c>
      <c r="E178" s="1" t="s">
        <v>6</v>
      </c>
      <c r="F178" s="2">
        <v>69</v>
      </c>
      <c r="G178" s="4" t="s">
        <v>10</v>
      </c>
      <c r="H178" s="9">
        <v>177</v>
      </c>
      <c r="I17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78" t="str">
        <f>IF(Table1[[#This Row],[Nationality]]="Nigeria",Table1[[#This Row],[EMJM Scholarship]],"Not Applicable")</f>
        <v>N/A</v>
      </c>
    </row>
    <row r="179" spans="1:10" ht="19.25" hidden="1" customHeight="1" x14ac:dyDescent="0.3">
      <c r="A179" s="8">
        <v>2480650</v>
      </c>
      <c r="B179" s="1" t="s">
        <v>61</v>
      </c>
      <c r="C179" s="1" t="s">
        <v>9</v>
      </c>
      <c r="D179" s="1" t="s">
        <v>6</v>
      </c>
      <c r="E179" s="1" t="s">
        <v>6</v>
      </c>
      <c r="F179" s="2">
        <v>68.900000000000006</v>
      </c>
      <c r="G179" s="4" t="s">
        <v>10</v>
      </c>
      <c r="H179" s="9">
        <v>178</v>
      </c>
      <c r="I17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79" t="str">
        <f>IF(Table1[[#This Row],[Nationality]]="Nigeria",Table1[[#This Row],[EMJM Scholarship]],"Not Applicable")</f>
        <v>N/A</v>
      </c>
    </row>
    <row r="180" spans="1:10" ht="19.25" hidden="1" customHeight="1" x14ac:dyDescent="0.3">
      <c r="A180" s="8">
        <v>2517205</v>
      </c>
      <c r="B180" s="1" t="s">
        <v>65</v>
      </c>
      <c r="C180" s="1" t="s">
        <v>9</v>
      </c>
      <c r="D180" s="1" t="s">
        <v>6</v>
      </c>
      <c r="E180" s="1" t="s">
        <v>6</v>
      </c>
      <c r="F180" s="2">
        <v>68.75</v>
      </c>
      <c r="G180" s="4" t="s">
        <v>10</v>
      </c>
      <c r="H180" s="9">
        <v>179</v>
      </c>
      <c r="I18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80" t="str">
        <f>IF(Table1[[#This Row],[Nationality]]="Nigeria",Table1[[#This Row],[EMJM Scholarship]],"Not Applicable")</f>
        <v>Not Applicable</v>
      </c>
    </row>
    <row r="181" spans="1:10" ht="19.25" hidden="1" customHeight="1" x14ac:dyDescent="0.3">
      <c r="A181" s="8">
        <v>2490540</v>
      </c>
      <c r="B181" s="1" t="s">
        <v>29</v>
      </c>
      <c r="C181" s="1" t="s">
        <v>9</v>
      </c>
      <c r="D181" s="1" t="s">
        <v>6</v>
      </c>
      <c r="E181" s="1" t="s">
        <v>6</v>
      </c>
      <c r="F181" s="2">
        <v>68.650000000000006</v>
      </c>
      <c r="G181" s="4" t="s">
        <v>10</v>
      </c>
      <c r="H181" s="9">
        <v>180</v>
      </c>
      <c r="I18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81" t="str">
        <f>IF(Table1[[#This Row],[Nationality]]="Nigeria",Table1[[#This Row],[EMJM Scholarship]],"Not Applicable")</f>
        <v>Not Applicable</v>
      </c>
    </row>
    <row r="182" spans="1:10" ht="19.25" hidden="1" customHeight="1" x14ac:dyDescent="0.3">
      <c r="A182" s="8">
        <v>2488790</v>
      </c>
      <c r="B182" s="1" t="s">
        <v>23</v>
      </c>
      <c r="C182" s="1" t="s">
        <v>9</v>
      </c>
      <c r="D182" s="1" t="s">
        <v>6</v>
      </c>
      <c r="E182" s="1" t="s">
        <v>6</v>
      </c>
      <c r="F182" s="2">
        <v>68.5</v>
      </c>
      <c r="G182" s="4" t="s">
        <v>10</v>
      </c>
      <c r="H182" s="9">
        <v>181</v>
      </c>
      <c r="I18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82" t="str">
        <f>IF(Table1[[#This Row],[Nationality]]="Nigeria",Table1[[#This Row],[EMJM Scholarship]],"Not Applicable")</f>
        <v>Not Applicable</v>
      </c>
    </row>
    <row r="183" spans="1:10" ht="19.25" hidden="1" customHeight="1" x14ac:dyDescent="0.3">
      <c r="A183" s="8">
        <v>2468821</v>
      </c>
      <c r="B183" s="1" t="s">
        <v>61</v>
      </c>
      <c r="C183" s="1" t="s">
        <v>9</v>
      </c>
      <c r="D183" s="1" t="s">
        <v>6</v>
      </c>
      <c r="E183" s="1" t="s">
        <v>6</v>
      </c>
      <c r="F183" s="2">
        <v>68.400000000000006</v>
      </c>
      <c r="G183" s="4" t="s">
        <v>10</v>
      </c>
      <c r="H183" s="9">
        <v>182</v>
      </c>
      <c r="I18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83" t="str">
        <f>IF(Table1[[#This Row],[Nationality]]="Nigeria",Table1[[#This Row],[EMJM Scholarship]],"Not Applicable")</f>
        <v>N/A</v>
      </c>
    </row>
    <row r="184" spans="1:10" ht="19.25" hidden="1" customHeight="1" x14ac:dyDescent="0.3">
      <c r="A184" s="8">
        <v>2507896</v>
      </c>
      <c r="B184" s="1" t="s">
        <v>61</v>
      </c>
      <c r="C184" s="1" t="s">
        <v>9</v>
      </c>
      <c r="D184" s="1" t="s">
        <v>6</v>
      </c>
      <c r="E184" s="1" t="s">
        <v>6</v>
      </c>
      <c r="F184" s="2">
        <v>68.25</v>
      </c>
      <c r="G184" s="4" t="s">
        <v>10</v>
      </c>
      <c r="H184" s="9">
        <v>183</v>
      </c>
      <c r="I18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84" t="str">
        <f>IF(Table1[[#This Row],[Nationality]]="Nigeria",Table1[[#This Row],[EMJM Scholarship]],"Not Applicable")</f>
        <v>N/A</v>
      </c>
    </row>
    <row r="185" spans="1:10" ht="19.25" hidden="1" customHeight="1" x14ac:dyDescent="0.3">
      <c r="A185" s="8">
        <v>2459982</v>
      </c>
      <c r="B185" s="1" t="s">
        <v>61</v>
      </c>
      <c r="C185" s="1" t="s">
        <v>9</v>
      </c>
      <c r="D185" s="1" t="s">
        <v>6</v>
      </c>
      <c r="E185" s="1" t="s">
        <v>6</v>
      </c>
      <c r="F185" s="2">
        <v>68.150000000000006</v>
      </c>
      <c r="G185" s="4" t="s">
        <v>10</v>
      </c>
      <c r="H185" s="9">
        <v>184</v>
      </c>
      <c r="I18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85" t="str">
        <f>IF(Table1[[#This Row],[Nationality]]="Nigeria",Table1[[#This Row],[EMJM Scholarship]],"Not Applicable")</f>
        <v>N/A</v>
      </c>
    </row>
    <row r="186" spans="1:10" ht="19.25" hidden="1" customHeight="1" x14ac:dyDescent="0.3">
      <c r="A186" s="8">
        <v>2473177</v>
      </c>
      <c r="B186" s="1" t="s">
        <v>18</v>
      </c>
      <c r="C186" s="1" t="s">
        <v>9</v>
      </c>
      <c r="D186" s="1" t="s">
        <v>6</v>
      </c>
      <c r="E186" s="1" t="s">
        <v>6</v>
      </c>
      <c r="F186" s="2">
        <v>68</v>
      </c>
      <c r="G186" s="4" t="s">
        <v>10</v>
      </c>
      <c r="H186" s="9">
        <v>185</v>
      </c>
      <c r="I18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86" t="str">
        <f>IF(Table1[[#This Row],[Nationality]]="Nigeria",Table1[[#This Row],[EMJM Scholarship]],"Not Applicable")</f>
        <v>Not Applicable</v>
      </c>
    </row>
    <row r="187" spans="1:10" ht="19.25" hidden="1" customHeight="1" x14ac:dyDescent="0.3">
      <c r="A187" s="8">
        <v>2521480</v>
      </c>
      <c r="B187" s="1" t="s">
        <v>18</v>
      </c>
      <c r="C187" s="1" t="s">
        <v>9</v>
      </c>
      <c r="D187" s="1" t="s">
        <v>6</v>
      </c>
      <c r="E187" s="1" t="s">
        <v>6</v>
      </c>
      <c r="F187" s="2">
        <v>67.900000000000006</v>
      </c>
      <c r="G187" s="4" t="s">
        <v>10</v>
      </c>
      <c r="H187" s="9">
        <v>186</v>
      </c>
      <c r="I18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87" t="str">
        <f>IF(Table1[[#This Row],[Nationality]]="Nigeria",Table1[[#This Row],[EMJM Scholarship]],"Not Applicable")</f>
        <v>Not Applicable</v>
      </c>
    </row>
    <row r="188" spans="1:10" ht="19.25" hidden="1" customHeight="1" x14ac:dyDescent="0.3">
      <c r="A188" s="8">
        <v>2503720</v>
      </c>
      <c r="B188" s="1" t="s">
        <v>32</v>
      </c>
      <c r="C188" s="1" t="s">
        <v>9</v>
      </c>
      <c r="D188" s="1" t="s">
        <v>6</v>
      </c>
      <c r="E188" s="1" t="s">
        <v>6</v>
      </c>
      <c r="F188" s="2">
        <v>67.8</v>
      </c>
      <c r="G188" s="4" t="s">
        <v>10</v>
      </c>
      <c r="H188" s="9">
        <v>187</v>
      </c>
      <c r="I18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88" t="str">
        <f>IF(Table1[[#This Row],[Nationality]]="Nigeria",Table1[[#This Row],[EMJM Scholarship]],"Not Applicable")</f>
        <v>Not Applicable</v>
      </c>
    </row>
    <row r="189" spans="1:10" ht="19.25" hidden="1" customHeight="1" x14ac:dyDescent="0.3">
      <c r="A189" s="8">
        <v>2481921</v>
      </c>
      <c r="B189" s="1" t="s">
        <v>18</v>
      </c>
      <c r="C189" s="1" t="s">
        <v>9</v>
      </c>
      <c r="D189" s="1" t="s">
        <v>6</v>
      </c>
      <c r="E189" s="1" t="s">
        <v>6</v>
      </c>
      <c r="F189" s="2">
        <v>67.650000000000006</v>
      </c>
      <c r="G189" s="4" t="s">
        <v>10</v>
      </c>
      <c r="H189" s="9">
        <v>188</v>
      </c>
      <c r="I18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89" t="str">
        <f>IF(Table1[[#This Row],[Nationality]]="Nigeria",Table1[[#This Row],[EMJM Scholarship]],"Not Applicable")</f>
        <v>Not Applicable</v>
      </c>
    </row>
    <row r="190" spans="1:10" ht="19.25" hidden="1" customHeight="1" x14ac:dyDescent="0.3">
      <c r="A190" s="8">
        <v>2522644</v>
      </c>
      <c r="B190" s="1" t="s">
        <v>60</v>
      </c>
      <c r="C190" s="1" t="s">
        <v>9</v>
      </c>
      <c r="D190" s="1" t="s">
        <v>6</v>
      </c>
      <c r="E190" s="1" t="s">
        <v>6</v>
      </c>
      <c r="F190" s="2">
        <v>67.5</v>
      </c>
      <c r="G190" s="4" t="s">
        <v>10</v>
      </c>
      <c r="H190" s="9">
        <v>189</v>
      </c>
      <c r="I19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90" t="str">
        <f>IF(Table1[[#This Row],[Nationality]]="Nigeria",Table1[[#This Row],[EMJM Scholarship]],"Not Applicable")</f>
        <v>Not Applicable</v>
      </c>
    </row>
    <row r="191" spans="1:10" ht="19.25" hidden="1" customHeight="1" x14ac:dyDescent="0.3">
      <c r="A191" s="8">
        <v>2513175</v>
      </c>
      <c r="B191" s="1" t="s">
        <v>18</v>
      </c>
      <c r="C191" s="1" t="s">
        <v>9</v>
      </c>
      <c r="D191" s="1" t="s">
        <v>6</v>
      </c>
      <c r="E191" s="1" t="s">
        <v>6</v>
      </c>
      <c r="F191" s="2">
        <v>67.349999999999994</v>
      </c>
      <c r="G191" s="4" t="s">
        <v>10</v>
      </c>
      <c r="H191" s="9">
        <v>190</v>
      </c>
      <c r="I19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91" t="str">
        <f>IF(Table1[[#This Row],[Nationality]]="Nigeria",Table1[[#This Row],[EMJM Scholarship]],"Not Applicable")</f>
        <v>Not Applicable</v>
      </c>
    </row>
    <row r="192" spans="1:10" ht="19.25" hidden="1" customHeight="1" x14ac:dyDescent="0.3">
      <c r="A192" s="8">
        <v>2489898</v>
      </c>
      <c r="B192" s="1" t="s">
        <v>67</v>
      </c>
      <c r="C192" s="1" t="s">
        <v>9</v>
      </c>
      <c r="D192" s="1" t="s">
        <v>6</v>
      </c>
      <c r="E192" s="1" t="s">
        <v>6</v>
      </c>
      <c r="F192" s="2">
        <v>67.2</v>
      </c>
      <c r="G192" s="4" t="s">
        <v>10</v>
      </c>
      <c r="H192" s="9">
        <v>191</v>
      </c>
      <c r="I19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92" t="str">
        <f>IF(Table1[[#This Row],[Nationality]]="Nigeria",Table1[[#This Row],[EMJM Scholarship]],"Not Applicable")</f>
        <v>Not Applicable</v>
      </c>
    </row>
    <row r="193" spans="1:10" ht="19.25" hidden="1" customHeight="1" x14ac:dyDescent="0.3">
      <c r="A193" s="8">
        <v>2464145</v>
      </c>
      <c r="B193" s="1" t="s">
        <v>67</v>
      </c>
      <c r="C193" s="1" t="s">
        <v>9</v>
      </c>
      <c r="D193" s="1" t="s">
        <v>6</v>
      </c>
      <c r="E193" s="1" t="s">
        <v>6</v>
      </c>
      <c r="F193" s="2">
        <v>67.099999999999994</v>
      </c>
      <c r="G193" s="4" t="s">
        <v>10</v>
      </c>
      <c r="H193" s="9">
        <v>192</v>
      </c>
      <c r="I19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93" t="str">
        <f>IF(Table1[[#This Row],[Nationality]]="Nigeria",Table1[[#This Row],[EMJM Scholarship]],"Not Applicable")</f>
        <v>Not Applicable</v>
      </c>
    </row>
    <row r="194" spans="1:10" ht="19.25" hidden="1" customHeight="1" x14ac:dyDescent="0.3">
      <c r="A194" s="8">
        <v>2477150</v>
      </c>
      <c r="B194" s="1" t="s">
        <v>41</v>
      </c>
      <c r="C194" s="1" t="s">
        <v>9</v>
      </c>
      <c r="D194" s="1" t="s">
        <v>6</v>
      </c>
      <c r="E194" s="1" t="s">
        <v>6</v>
      </c>
      <c r="F194" s="2">
        <v>67</v>
      </c>
      <c r="G194" s="4" t="s">
        <v>10</v>
      </c>
      <c r="H194" s="9">
        <v>193</v>
      </c>
      <c r="I19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94" t="str">
        <f>IF(Table1[[#This Row],[Nationality]]="Nigeria",Table1[[#This Row],[EMJM Scholarship]],"Not Applicable")</f>
        <v>Not Applicable</v>
      </c>
    </row>
    <row r="195" spans="1:10" ht="19.25" hidden="1" customHeight="1" x14ac:dyDescent="0.3">
      <c r="A195" s="8">
        <v>2418690</v>
      </c>
      <c r="B195" s="1" t="s">
        <v>18</v>
      </c>
      <c r="C195" s="1" t="s">
        <v>9</v>
      </c>
      <c r="D195" s="1" t="s">
        <v>6</v>
      </c>
      <c r="E195" s="1" t="s">
        <v>6</v>
      </c>
      <c r="F195" s="2">
        <v>66.900000000000006</v>
      </c>
      <c r="G195" s="4" t="s">
        <v>10</v>
      </c>
      <c r="H195" s="9">
        <v>194</v>
      </c>
      <c r="I19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95" t="str">
        <f>IF(Table1[[#This Row],[Nationality]]="Nigeria",Table1[[#This Row],[EMJM Scholarship]],"Not Applicable")</f>
        <v>Not Applicable</v>
      </c>
    </row>
    <row r="196" spans="1:10" ht="19.25" hidden="1" customHeight="1" x14ac:dyDescent="0.3">
      <c r="A196" s="8">
        <v>2438505</v>
      </c>
      <c r="B196" s="1" t="s">
        <v>41</v>
      </c>
      <c r="C196" s="1" t="s">
        <v>9</v>
      </c>
      <c r="D196" s="1" t="s">
        <v>6</v>
      </c>
      <c r="E196" s="1" t="s">
        <v>6</v>
      </c>
      <c r="F196" s="2">
        <v>66.75</v>
      </c>
      <c r="G196" s="4" t="s">
        <v>10</v>
      </c>
      <c r="H196" s="9">
        <v>195</v>
      </c>
      <c r="I19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96" t="str">
        <f>IF(Table1[[#This Row],[Nationality]]="Nigeria",Table1[[#This Row],[EMJM Scholarship]],"Not Applicable")</f>
        <v>Not Applicable</v>
      </c>
    </row>
    <row r="197" spans="1:10" ht="19.25" hidden="1" customHeight="1" x14ac:dyDescent="0.3">
      <c r="A197" s="8">
        <v>2458917</v>
      </c>
      <c r="B197" s="1" t="s">
        <v>18</v>
      </c>
      <c r="C197" s="1" t="s">
        <v>9</v>
      </c>
      <c r="D197" s="1" t="s">
        <v>6</v>
      </c>
      <c r="E197" s="1" t="s">
        <v>6</v>
      </c>
      <c r="F197" s="2">
        <v>66.5</v>
      </c>
      <c r="G197" s="4" t="s">
        <v>10</v>
      </c>
      <c r="H197" s="9">
        <v>196</v>
      </c>
      <c r="I19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97" t="str">
        <f>IF(Table1[[#This Row],[Nationality]]="Nigeria",Table1[[#This Row],[EMJM Scholarship]],"Not Applicable")</f>
        <v>Not Applicable</v>
      </c>
    </row>
    <row r="198" spans="1:10" ht="19.25" hidden="1" customHeight="1" x14ac:dyDescent="0.3">
      <c r="A198" s="8">
        <v>2519870</v>
      </c>
      <c r="B198" s="1" t="s">
        <v>18</v>
      </c>
      <c r="C198" s="1" t="s">
        <v>9</v>
      </c>
      <c r="D198" s="1" t="s">
        <v>6</v>
      </c>
      <c r="E198" s="1" t="s">
        <v>6</v>
      </c>
      <c r="F198" s="2">
        <v>66.400000000000006</v>
      </c>
      <c r="G198" s="4" t="s">
        <v>10</v>
      </c>
      <c r="H198" s="9">
        <v>197</v>
      </c>
      <c r="I19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98" t="str">
        <f>IF(Table1[[#This Row],[Nationality]]="Nigeria",Table1[[#This Row],[EMJM Scholarship]],"Not Applicable")</f>
        <v>Not Applicable</v>
      </c>
    </row>
    <row r="199" spans="1:10" ht="19.25" hidden="1" customHeight="1" x14ac:dyDescent="0.3">
      <c r="A199" s="8">
        <v>2429757</v>
      </c>
      <c r="B199" s="1" t="s">
        <v>41</v>
      </c>
      <c r="C199" s="1" t="s">
        <v>9</v>
      </c>
      <c r="D199" s="1" t="s">
        <v>6</v>
      </c>
      <c r="E199" s="1" t="s">
        <v>6</v>
      </c>
      <c r="F199" s="2">
        <v>66.25</v>
      </c>
      <c r="G199" s="4" t="s">
        <v>10</v>
      </c>
      <c r="H199" s="9">
        <v>198</v>
      </c>
      <c r="I19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199" t="str">
        <f>IF(Table1[[#This Row],[Nationality]]="Nigeria",Table1[[#This Row],[EMJM Scholarship]],"Not Applicable")</f>
        <v>Not Applicable</v>
      </c>
    </row>
    <row r="200" spans="1:10" ht="19.25" hidden="1" customHeight="1" x14ac:dyDescent="0.3">
      <c r="A200" s="8">
        <v>2464712</v>
      </c>
      <c r="B200" s="1" t="s">
        <v>41</v>
      </c>
      <c r="C200" s="1" t="s">
        <v>9</v>
      </c>
      <c r="D200" s="1" t="s">
        <v>6</v>
      </c>
      <c r="E200" s="1" t="s">
        <v>6</v>
      </c>
      <c r="F200" s="2">
        <v>66.099999999999994</v>
      </c>
      <c r="G200" s="4" t="s">
        <v>10</v>
      </c>
      <c r="H200" s="9">
        <v>199</v>
      </c>
      <c r="I20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200" t="str">
        <f>IF(Table1[[#This Row],[Nationality]]="Nigeria",Table1[[#This Row],[EMJM Scholarship]],"Not Applicable")</f>
        <v>Not Applicable</v>
      </c>
    </row>
    <row r="201" spans="1:10" ht="19.25" hidden="1" customHeight="1" x14ac:dyDescent="0.3">
      <c r="A201" s="8">
        <v>2466048</v>
      </c>
      <c r="B201" s="1" t="s">
        <v>69</v>
      </c>
      <c r="C201" s="1" t="s">
        <v>9</v>
      </c>
      <c r="D201" s="1" t="s">
        <v>6</v>
      </c>
      <c r="E201" s="1" t="s">
        <v>6</v>
      </c>
      <c r="F201" s="2">
        <v>66</v>
      </c>
      <c r="G201" s="4" t="s">
        <v>10</v>
      </c>
      <c r="H201" s="9">
        <v>200</v>
      </c>
      <c r="I20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Double Yes</v>
      </c>
      <c r="J201" t="str">
        <f>IF(Table1[[#This Row],[Nationality]]="Nigeria",Table1[[#This Row],[EMJM Scholarship]],"Not Applicable")</f>
        <v>Not Applicable</v>
      </c>
    </row>
    <row r="202" spans="1:10" ht="19.25" hidden="1" customHeight="1" x14ac:dyDescent="0.3">
      <c r="A202" s="8">
        <v>2420617</v>
      </c>
      <c r="B202" s="1" t="s">
        <v>73</v>
      </c>
      <c r="C202" s="1" t="s">
        <v>9</v>
      </c>
      <c r="D202" s="1" t="s">
        <v>9</v>
      </c>
      <c r="E202" s="1" t="s">
        <v>6</v>
      </c>
      <c r="F202" s="2">
        <v>65.8</v>
      </c>
      <c r="G202" s="4" t="s">
        <v>10</v>
      </c>
      <c r="H202" s="9">
        <v>201</v>
      </c>
      <c r="I20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02" t="str">
        <f>IF(Table1[[#This Row],[Nationality]]="Nigeria",Table1[[#This Row],[EMJM Scholarship]],"Not Applicable")</f>
        <v>Not Applicable</v>
      </c>
    </row>
    <row r="203" spans="1:10" ht="19.25" hidden="1" customHeight="1" x14ac:dyDescent="0.3">
      <c r="A203" s="8">
        <v>2516943</v>
      </c>
      <c r="B203" s="1" t="s">
        <v>39</v>
      </c>
      <c r="C203" s="1" t="s">
        <v>9</v>
      </c>
      <c r="D203" s="1" t="s">
        <v>9</v>
      </c>
      <c r="E203" s="1" t="s">
        <v>6</v>
      </c>
      <c r="F203" s="2">
        <v>65.599999999999994</v>
      </c>
      <c r="G203" s="4" t="s">
        <v>10</v>
      </c>
      <c r="H203" s="9">
        <v>202</v>
      </c>
      <c r="I20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03" t="str">
        <f>IF(Table1[[#This Row],[Nationality]]="Nigeria",Table1[[#This Row],[EMJM Scholarship]],"Not Applicable")</f>
        <v>Not Applicable</v>
      </c>
    </row>
    <row r="204" spans="1:10" ht="19.25" hidden="1" customHeight="1" x14ac:dyDescent="0.3">
      <c r="A204" s="8">
        <v>2447477</v>
      </c>
      <c r="B204" s="1" t="s">
        <v>36</v>
      </c>
      <c r="C204" s="1" t="s">
        <v>9</v>
      </c>
      <c r="D204" s="1" t="s">
        <v>9</v>
      </c>
      <c r="E204" s="1" t="s">
        <v>6</v>
      </c>
      <c r="F204" s="2">
        <v>65.400000000000006</v>
      </c>
      <c r="G204" s="4" t="s">
        <v>10</v>
      </c>
      <c r="H204" s="9">
        <v>203</v>
      </c>
      <c r="I20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04" t="str">
        <f>IF(Table1[[#This Row],[Nationality]]="Nigeria",Table1[[#This Row],[EMJM Scholarship]],"Not Applicable")</f>
        <v>Not Applicable</v>
      </c>
    </row>
    <row r="205" spans="1:10" ht="19.25" hidden="1" customHeight="1" x14ac:dyDescent="0.3">
      <c r="A205" s="8">
        <v>2479782</v>
      </c>
      <c r="B205" s="1" t="s">
        <v>21</v>
      </c>
      <c r="C205" s="1" t="s">
        <v>9</v>
      </c>
      <c r="D205" s="1" t="s">
        <v>9</v>
      </c>
      <c r="E205" s="1" t="s">
        <v>6</v>
      </c>
      <c r="F205" s="2">
        <v>65.2</v>
      </c>
      <c r="G205" s="4" t="s">
        <v>10</v>
      </c>
      <c r="H205" s="9">
        <v>204</v>
      </c>
      <c r="I20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05" t="str">
        <f>IF(Table1[[#This Row],[Nationality]]="Nigeria",Table1[[#This Row],[EMJM Scholarship]],"Not Applicable")</f>
        <v>Not Applicable</v>
      </c>
    </row>
    <row r="206" spans="1:10" ht="19.25" hidden="1" customHeight="1" x14ac:dyDescent="0.3">
      <c r="A206" s="8">
        <v>2493479</v>
      </c>
      <c r="B206" s="1" t="s">
        <v>34</v>
      </c>
      <c r="C206" s="1" t="s">
        <v>9</v>
      </c>
      <c r="D206" s="1" t="s">
        <v>9</v>
      </c>
      <c r="E206" s="1" t="s">
        <v>6</v>
      </c>
      <c r="F206" s="2">
        <v>65</v>
      </c>
      <c r="G206" s="4" t="s">
        <v>10</v>
      </c>
      <c r="H206" s="9">
        <v>205</v>
      </c>
      <c r="I20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06" t="str">
        <f>IF(Table1[[#This Row],[Nationality]]="Nigeria",Table1[[#This Row],[EMJM Scholarship]],"Not Applicable")</f>
        <v>Not Applicable</v>
      </c>
    </row>
    <row r="207" spans="1:10" ht="19.25" hidden="1" customHeight="1" x14ac:dyDescent="0.3">
      <c r="A207" s="8">
        <v>2418220</v>
      </c>
      <c r="B207" s="1" t="s">
        <v>74</v>
      </c>
      <c r="C207" s="1" t="s">
        <v>9</v>
      </c>
      <c r="D207" s="1" t="s">
        <v>9</v>
      </c>
      <c r="E207" s="1" t="s">
        <v>6</v>
      </c>
      <c r="F207" s="2">
        <v>64.8</v>
      </c>
      <c r="G207" s="4" t="s">
        <v>10</v>
      </c>
      <c r="H207" s="9">
        <v>206</v>
      </c>
      <c r="I20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07" t="str">
        <f>IF(Table1[[#This Row],[Nationality]]="Nigeria",Table1[[#This Row],[EMJM Scholarship]],"Not Applicable")</f>
        <v>Not Applicable</v>
      </c>
    </row>
    <row r="208" spans="1:10" ht="19.25" hidden="1" customHeight="1" x14ac:dyDescent="0.3">
      <c r="A208" s="8">
        <v>2498065</v>
      </c>
      <c r="B208" s="1" t="s">
        <v>58</v>
      </c>
      <c r="C208" s="1" t="s">
        <v>9</v>
      </c>
      <c r="D208" s="1" t="s">
        <v>9</v>
      </c>
      <c r="E208" s="1" t="s">
        <v>6</v>
      </c>
      <c r="F208" s="2">
        <v>64.650000000000006</v>
      </c>
      <c r="G208" s="4" t="s">
        <v>10</v>
      </c>
      <c r="H208" s="9">
        <v>207</v>
      </c>
      <c r="I20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08" t="str">
        <f>IF(Table1[[#This Row],[Nationality]]="Nigeria",Table1[[#This Row],[EMJM Scholarship]],"Not Applicable")</f>
        <v>Not Applicable</v>
      </c>
    </row>
    <row r="209" spans="1:10" ht="19.25" hidden="1" customHeight="1" x14ac:dyDescent="0.3">
      <c r="A209" s="8">
        <v>2415258</v>
      </c>
      <c r="B209" s="1" t="s">
        <v>20</v>
      </c>
      <c r="C209" s="1" t="s">
        <v>9</v>
      </c>
      <c r="D209" s="1" t="s">
        <v>9</v>
      </c>
      <c r="E209" s="1" t="s">
        <v>6</v>
      </c>
      <c r="F209" s="2">
        <v>64.5</v>
      </c>
      <c r="G209" s="4" t="s">
        <v>10</v>
      </c>
      <c r="H209" s="9">
        <v>208</v>
      </c>
      <c r="I20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09" t="str">
        <f>IF(Table1[[#This Row],[Nationality]]="Nigeria",Table1[[#This Row],[EMJM Scholarship]],"Not Applicable")</f>
        <v>Not Applicable</v>
      </c>
    </row>
    <row r="210" spans="1:10" ht="19.25" hidden="1" customHeight="1" x14ac:dyDescent="0.3">
      <c r="A210" s="8">
        <v>2507039</v>
      </c>
      <c r="B210" s="1" t="s">
        <v>53</v>
      </c>
      <c r="C210" s="1" t="s">
        <v>9</v>
      </c>
      <c r="D210" s="1" t="s">
        <v>9</v>
      </c>
      <c r="E210" s="1" t="s">
        <v>6</v>
      </c>
      <c r="F210" s="2">
        <v>64.400000000000006</v>
      </c>
      <c r="G210" s="4" t="s">
        <v>10</v>
      </c>
      <c r="H210" s="9">
        <v>209</v>
      </c>
      <c r="I21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10" t="str">
        <f>IF(Table1[[#This Row],[Nationality]]="Nigeria",Table1[[#This Row],[EMJM Scholarship]],"Not Applicable")</f>
        <v>Not Applicable</v>
      </c>
    </row>
    <row r="211" spans="1:10" ht="19.25" hidden="1" customHeight="1" x14ac:dyDescent="0.3">
      <c r="A211" s="8">
        <v>2466047</v>
      </c>
      <c r="B211" s="1" t="s">
        <v>37</v>
      </c>
      <c r="C211" s="1" t="s">
        <v>9</v>
      </c>
      <c r="D211" s="1" t="s">
        <v>9</v>
      </c>
      <c r="E211" s="1" t="s">
        <v>6</v>
      </c>
      <c r="F211" s="2">
        <v>64.3</v>
      </c>
      <c r="G211" s="4" t="s">
        <v>10</v>
      </c>
      <c r="H211" s="9">
        <v>210</v>
      </c>
      <c r="I21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11" t="str">
        <f>IF(Table1[[#This Row],[Nationality]]="Nigeria",Table1[[#This Row],[EMJM Scholarship]],"Not Applicable")</f>
        <v>Not Applicable</v>
      </c>
    </row>
    <row r="212" spans="1:10" ht="19.25" hidden="1" customHeight="1" x14ac:dyDescent="0.3">
      <c r="A212" s="8">
        <v>2523414</v>
      </c>
      <c r="B212" s="1" t="s">
        <v>51</v>
      </c>
      <c r="C212" s="1" t="s">
        <v>9</v>
      </c>
      <c r="D212" s="1" t="s">
        <v>9</v>
      </c>
      <c r="E212" s="1" t="s">
        <v>6</v>
      </c>
      <c r="F212" s="2">
        <v>64.150000000000006</v>
      </c>
      <c r="G212" s="4" t="s">
        <v>10</v>
      </c>
      <c r="H212" s="9">
        <v>211</v>
      </c>
      <c r="I21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12" t="str">
        <f>IF(Table1[[#This Row],[Nationality]]="Nigeria",Table1[[#This Row],[EMJM Scholarship]],"Not Applicable")</f>
        <v>Not Applicable</v>
      </c>
    </row>
    <row r="213" spans="1:10" ht="19.25" hidden="1" customHeight="1" x14ac:dyDescent="0.3">
      <c r="A213" s="8">
        <v>2489547</v>
      </c>
      <c r="B213" s="1" t="s">
        <v>44</v>
      </c>
      <c r="C213" s="1" t="s">
        <v>9</v>
      </c>
      <c r="D213" s="1" t="s">
        <v>9</v>
      </c>
      <c r="E213" s="1" t="s">
        <v>6</v>
      </c>
      <c r="F213" s="2">
        <v>64.05</v>
      </c>
      <c r="G213" s="4" t="s">
        <v>10</v>
      </c>
      <c r="H213" s="9">
        <v>212</v>
      </c>
      <c r="I21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13" t="str">
        <f>IF(Table1[[#This Row],[Nationality]]="Nigeria",Table1[[#This Row],[EMJM Scholarship]],"Not Applicable")</f>
        <v>Not Applicable</v>
      </c>
    </row>
    <row r="214" spans="1:10" ht="19.25" hidden="1" customHeight="1" x14ac:dyDescent="0.3">
      <c r="A214" s="8">
        <v>2490177</v>
      </c>
      <c r="B214" s="1" t="s">
        <v>70</v>
      </c>
      <c r="C214" s="1" t="s">
        <v>9</v>
      </c>
      <c r="D214" s="1" t="s">
        <v>9</v>
      </c>
      <c r="E214" s="1" t="s">
        <v>6</v>
      </c>
      <c r="F214" s="2">
        <v>63.9</v>
      </c>
      <c r="G214" s="4" t="s">
        <v>10</v>
      </c>
      <c r="H214" s="9">
        <v>213</v>
      </c>
      <c r="I21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14" t="str">
        <f>IF(Table1[[#This Row],[Nationality]]="Nigeria",Table1[[#This Row],[EMJM Scholarship]],"Not Applicable")</f>
        <v>Not Applicable</v>
      </c>
    </row>
    <row r="215" spans="1:10" ht="19.25" hidden="1" customHeight="1" x14ac:dyDescent="0.3">
      <c r="A215" s="8">
        <v>2510930</v>
      </c>
      <c r="B215" s="1" t="s">
        <v>42</v>
      </c>
      <c r="C215" s="1" t="s">
        <v>9</v>
      </c>
      <c r="D215" s="1" t="s">
        <v>9</v>
      </c>
      <c r="E215" s="1" t="s">
        <v>6</v>
      </c>
      <c r="F215" s="2">
        <v>63.7</v>
      </c>
      <c r="G215" s="4" t="s">
        <v>10</v>
      </c>
      <c r="H215" s="9">
        <v>214</v>
      </c>
      <c r="I21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15" t="str">
        <f>IF(Table1[[#This Row],[Nationality]]="Nigeria",Table1[[#This Row],[EMJM Scholarship]],"Not Applicable")</f>
        <v>Not Applicable</v>
      </c>
    </row>
    <row r="216" spans="1:10" ht="19.25" hidden="1" customHeight="1" x14ac:dyDescent="0.3">
      <c r="A216" s="8">
        <v>2470530</v>
      </c>
      <c r="B216" s="1" t="s">
        <v>70</v>
      </c>
      <c r="C216" s="1" t="s">
        <v>9</v>
      </c>
      <c r="D216" s="1" t="s">
        <v>9</v>
      </c>
      <c r="E216" s="1" t="s">
        <v>6</v>
      </c>
      <c r="F216" s="2">
        <v>63.5</v>
      </c>
      <c r="G216" s="4" t="s">
        <v>10</v>
      </c>
      <c r="H216" s="9">
        <v>215</v>
      </c>
      <c r="I21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16" t="str">
        <f>IF(Table1[[#This Row],[Nationality]]="Nigeria",Table1[[#This Row],[EMJM Scholarship]],"Not Applicable")</f>
        <v>Not Applicable</v>
      </c>
    </row>
    <row r="217" spans="1:10" ht="19.25" hidden="1" customHeight="1" x14ac:dyDescent="0.3">
      <c r="A217" s="8">
        <v>2419381</v>
      </c>
      <c r="B217" s="1" t="s">
        <v>58</v>
      </c>
      <c r="C217" s="1" t="s">
        <v>9</v>
      </c>
      <c r="D217" s="1" t="s">
        <v>9</v>
      </c>
      <c r="E217" s="1" t="s">
        <v>6</v>
      </c>
      <c r="F217" s="2">
        <v>63.35</v>
      </c>
      <c r="G217" s="4" t="s">
        <v>10</v>
      </c>
      <c r="H217" s="9">
        <v>216</v>
      </c>
      <c r="I21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17" t="str">
        <f>IF(Table1[[#This Row],[Nationality]]="Nigeria",Table1[[#This Row],[EMJM Scholarship]],"Not Applicable")</f>
        <v>Not Applicable</v>
      </c>
    </row>
    <row r="218" spans="1:10" ht="19.25" hidden="1" customHeight="1" x14ac:dyDescent="0.3">
      <c r="A218" s="8">
        <v>2498503</v>
      </c>
      <c r="B218" s="1" t="s">
        <v>58</v>
      </c>
      <c r="C218" s="1" t="s">
        <v>9</v>
      </c>
      <c r="D218" s="1" t="s">
        <v>9</v>
      </c>
      <c r="E218" s="1" t="s">
        <v>6</v>
      </c>
      <c r="F218" s="2">
        <v>63.15</v>
      </c>
      <c r="G218" s="4" t="s">
        <v>10</v>
      </c>
      <c r="H218" s="9">
        <v>217</v>
      </c>
      <c r="I21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18" t="str">
        <f>IF(Table1[[#This Row],[Nationality]]="Nigeria",Table1[[#This Row],[EMJM Scholarship]],"Not Applicable")</f>
        <v>Not Applicable</v>
      </c>
    </row>
    <row r="219" spans="1:10" ht="19.25" hidden="1" customHeight="1" x14ac:dyDescent="0.3">
      <c r="A219" s="8">
        <v>2461750</v>
      </c>
      <c r="B219" s="1" t="s">
        <v>58</v>
      </c>
      <c r="C219" s="1" t="s">
        <v>9</v>
      </c>
      <c r="D219" s="1" t="s">
        <v>9</v>
      </c>
      <c r="E219" s="1" t="s">
        <v>6</v>
      </c>
      <c r="F219" s="2">
        <v>63</v>
      </c>
      <c r="G219" s="4" t="s">
        <v>10</v>
      </c>
      <c r="H219" s="9">
        <v>218</v>
      </c>
      <c r="I21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19" t="str">
        <f>IF(Table1[[#This Row],[Nationality]]="Nigeria",Table1[[#This Row],[EMJM Scholarship]],"Not Applicable")</f>
        <v>Not Applicable</v>
      </c>
    </row>
    <row r="220" spans="1:10" ht="19.25" hidden="1" customHeight="1" x14ac:dyDescent="0.3">
      <c r="A220" s="8">
        <v>2521082</v>
      </c>
      <c r="B220" s="1" t="s">
        <v>58</v>
      </c>
      <c r="C220" s="1" t="s">
        <v>9</v>
      </c>
      <c r="D220" s="1" t="s">
        <v>9</v>
      </c>
      <c r="E220" s="1" t="s">
        <v>6</v>
      </c>
      <c r="F220" s="2">
        <v>62.85</v>
      </c>
      <c r="G220" s="4" t="s">
        <v>10</v>
      </c>
      <c r="H220" s="9">
        <v>219</v>
      </c>
      <c r="I22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20" t="str">
        <f>IF(Table1[[#This Row],[Nationality]]="Nigeria",Table1[[#This Row],[EMJM Scholarship]],"Not Applicable")</f>
        <v>Not Applicable</v>
      </c>
    </row>
    <row r="221" spans="1:10" ht="19.25" hidden="1" customHeight="1" x14ac:dyDescent="0.3">
      <c r="A221" s="8">
        <v>2522965</v>
      </c>
      <c r="B221" s="1" t="s">
        <v>58</v>
      </c>
      <c r="C221" s="1" t="s">
        <v>9</v>
      </c>
      <c r="D221" s="1" t="s">
        <v>9</v>
      </c>
      <c r="E221" s="1" t="s">
        <v>6</v>
      </c>
      <c r="F221" s="2">
        <v>62.7</v>
      </c>
      <c r="G221" s="4" t="s">
        <v>10</v>
      </c>
      <c r="H221" s="9">
        <v>220</v>
      </c>
      <c r="I22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21" t="str">
        <f>IF(Table1[[#This Row],[Nationality]]="Nigeria",Table1[[#This Row],[EMJM Scholarship]],"Not Applicable")</f>
        <v>Not Applicable</v>
      </c>
    </row>
    <row r="222" spans="1:10" ht="19.25" hidden="1" customHeight="1" x14ac:dyDescent="0.3">
      <c r="A222" s="8">
        <v>2479655</v>
      </c>
      <c r="B222" s="1" t="s">
        <v>75</v>
      </c>
      <c r="C222" s="1" t="s">
        <v>9</v>
      </c>
      <c r="D222" s="1" t="s">
        <v>9</v>
      </c>
      <c r="E222" s="1" t="s">
        <v>6</v>
      </c>
      <c r="F222" s="2">
        <v>62.5</v>
      </c>
      <c r="G222" s="4" t="s">
        <v>10</v>
      </c>
      <c r="H222" s="9">
        <v>221</v>
      </c>
      <c r="I22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22" t="str">
        <f>IF(Table1[[#This Row],[Nationality]]="Nigeria",Table1[[#This Row],[EMJM Scholarship]],"Not Applicable")</f>
        <v>Not Applicable</v>
      </c>
    </row>
    <row r="223" spans="1:10" ht="19.25" hidden="1" customHeight="1" x14ac:dyDescent="0.3">
      <c r="A223" s="8">
        <v>2517704</v>
      </c>
      <c r="B223" s="1" t="s">
        <v>58</v>
      </c>
      <c r="C223" s="1" t="s">
        <v>9</v>
      </c>
      <c r="D223" s="1" t="s">
        <v>9</v>
      </c>
      <c r="E223" s="1" t="s">
        <v>6</v>
      </c>
      <c r="F223" s="2">
        <v>62.25</v>
      </c>
      <c r="G223" s="4" t="s">
        <v>10</v>
      </c>
      <c r="H223" s="9">
        <v>222</v>
      </c>
      <c r="I22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23" t="str">
        <f>IF(Table1[[#This Row],[Nationality]]="Nigeria",Table1[[#This Row],[EMJM Scholarship]],"Not Applicable")</f>
        <v>Not Applicable</v>
      </c>
    </row>
    <row r="224" spans="1:10" ht="19.25" hidden="1" customHeight="1" x14ac:dyDescent="0.3">
      <c r="A224" s="8">
        <v>2448085</v>
      </c>
      <c r="B224" s="1" t="s">
        <v>58</v>
      </c>
      <c r="C224" s="1" t="s">
        <v>9</v>
      </c>
      <c r="D224" s="1" t="s">
        <v>9</v>
      </c>
      <c r="E224" s="1" t="s">
        <v>6</v>
      </c>
      <c r="F224" s="2">
        <v>62.1</v>
      </c>
      <c r="G224" s="4" t="s">
        <v>10</v>
      </c>
      <c r="H224" s="9">
        <v>223</v>
      </c>
      <c r="I22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24" t="str">
        <f>IF(Table1[[#This Row],[Nationality]]="Nigeria",Table1[[#This Row],[EMJM Scholarship]],"Not Applicable")</f>
        <v>Not Applicable</v>
      </c>
    </row>
    <row r="225" spans="1:10" ht="19.25" hidden="1" customHeight="1" x14ac:dyDescent="0.3">
      <c r="A225" s="8">
        <v>2522435</v>
      </c>
      <c r="B225" s="1" t="s">
        <v>58</v>
      </c>
      <c r="C225" s="1" t="s">
        <v>9</v>
      </c>
      <c r="D225" s="1" t="s">
        <v>9</v>
      </c>
      <c r="E225" s="1" t="s">
        <v>6</v>
      </c>
      <c r="F225" s="2">
        <v>61.9</v>
      </c>
      <c r="G225" s="4" t="s">
        <v>10</v>
      </c>
      <c r="H225" s="9">
        <v>224</v>
      </c>
      <c r="I22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25" t="str">
        <f>IF(Table1[[#This Row],[Nationality]]="Nigeria",Table1[[#This Row],[EMJM Scholarship]],"Not Applicable")</f>
        <v>Not Applicable</v>
      </c>
    </row>
    <row r="226" spans="1:10" ht="19.25" hidden="1" customHeight="1" x14ac:dyDescent="0.3">
      <c r="A226" s="8">
        <v>2507295</v>
      </c>
      <c r="B226" s="1" t="s">
        <v>70</v>
      </c>
      <c r="C226" s="1" t="s">
        <v>9</v>
      </c>
      <c r="D226" s="1" t="s">
        <v>9</v>
      </c>
      <c r="E226" s="1" t="s">
        <v>6</v>
      </c>
      <c r="F226" s="2">
        <v>61.75</v>
      </c>
      <c r="G226" s="4" t="s">
        <v>10</v>
      </c>
      <c r="H226" s="9">
        <v>225</v>
      </c>
      <c r="I22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26" t="str">
        <f>IF(Table1[[#This Row],[Nationality]]="Nigeria",Table1[[#This Row],[EMJM Scholarship]],"Not Applicable")</f>
        <v>Not Applicable</v>
      </c>
    </row>
    <row r="227" spans="1:10" ht="19.25" hidden="1" customHeight="1" x14ac:dyDescent="0.3">
      <c r="A227" s="8">
        <v>2521043</v>
      </c>
      <c r="B227" s="1" t="s">
        <v>55</v>
      </c>
      <c r="C227" s="1" t="s">
        <v>9</v>
      </c>
      <c r="D227" s="1" t="s">
        <v>9</v>
      </c>
      <c r="E227" s="1" t="s">
        <v>6</v>
      </c>
      <c r="F227" s="2">
        <v>61.5</v>
      </c>
      <c r="G227" s="4" t="s">
        <v>10</v>
      </c>
      <c r="H227" s="9">
        <v>226</v>
      </c>
      <c r="I22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27" t="str">
        <f>IF(Table1[[#This Row],[Nationality]]="Nigeria",Table1[[#This Row],[EMJM Scholarship]],"Not Applicable")</f>
        <v>Not Applicable</v>
      </c>
    </row>
    <row r="228" spans="1:10" ht="19.25" hidden="1" customHeight="1" x14ac:dyDescent="0.3">
      <c r="A228" s="8">
        <v>2467254</v>
      </c>
      <c r="B228" s="1" t="s">
        <v>63</v>
      </c>
      <c r="C228" s="1" t="s">
        <v>9</v>
      </c>
      <c r="D228" s="1" t="s">
        <v>9</v>
      </c>
      <c r="E228" s="1" t="s">
        <v>6</v>
      </c>
      <c r="F228" s="2">
        <v>61.35</v>
      </c>
      <c r="G228" s="4" t="s">
        <v>10</v>
      </c>
      <c r="H228" s="9">
        <v>227</v>
      </c>
      <c r="I22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28" t="str">
        <f>IF(Table1[[#This Row],[Nationality]]="Nigeria",Table1[[#This Row],[EMJM Scholarship]],"Not Applicable")</f>
        <v>Not Applicable</v>
      </c>
    </row>
    <row r="229" spans="1:10" ht="19.25" hidden="1" customHeight="1" x14ac:dyDescent="0.3">
      <c r="A229" s="8">
        <v>2500680</v>
      </c>
      <c r="B229" s="1" t="s">
        <v>58</v>
      </c>
      <c r="C229" s="1" t="s">
        <v>9</v>
      </c>
      <c r="D229" s="1" t="s">
        <v>9</v>
      </c>
      <c r="E229" s="1" t="s">
        <v>6</v>
      </c>
      <c r="F229" s="2">
        <v>61.2</v>
      </c>
      <c r="G229" s="4" t="s">
        <v>10</v>
      </c>
      <c r="H229" s="9">
        <v>228</v>
      </c>
      <c r="I22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29" t="str">
        <f>IF(Table1[[#This Row],[Nationality]]="Nigeria",Table1[[#This Row],[EMJM Scholarship]],"Not Applicable")</f>
        <v>Not Applicable</v>
      </c>
    </row>
    <row r="230" spans="1:10" ht="19.25" hidden="1" customHeight="1" x14ac:dyDescent="0.3">
      <c r="A230" s="8">
        <v>2523034</v>
      </c>
      <c r="B230" s="1" t="s">
        <v>63</v>
      </c>
      <c r="C230" s="1" t="s">
        <v>9</v>
      </c>
      <c r="D230" s="1" t="s">
        <v>9</v>
      </c>
      <c r="E230" s="1" t="s">
        <v>6</v>
      </c>
      <c r="F230" s="2">
        <v>61.05</v>
      </c>
      <c r="G230" s="4" t="s">
        <v>10</v>
      </c>
      <c r="H230" s="9">
        <v>229</v>
      </c>
      <c r="I23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30" t="str">
        <f>IF(Table1[[#This Row],[Nationality]]="Nigeria",Table1[[#This Row],[EMJM Scholarship]],"Not Applicable")</f>
        <v>Not Applicable</v>
      </c>
    </row>
    <row r="231" spans="1:10" ht="19.25" hidden="1" customHeight="1" x14ac:dyDescent="0.3">
      <c r="A231" s="8">
        <v>2464189</v>
      </c>
      <c r="B231" s="1" t="s">
        <v>64</v>
      </c>
      <c r="C231" s="1" t="s">
        <v>9</v>
      </c>
      <c r="D231" s="1" t="s">
        <v>9</v>
      </c>
      <c r="E231" s="1" t="s">
        <v>6</v>
      </c>
      <c r="F231" s="2">
        <v>60.9</v>
      </c>
      <c r="G231" s="4" t="s">
        <v>10</v>
      </c>
      <c r="H231" s="9">
        <v>230</v>
      </c>
      <c r="I23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31" t="str">
        <f>IF(Table1[[#This Row],[Nationality]]="Nigeria",Table1[[#This Row],[EMJM Scholarship]],"Not Applicable")</f>
        <v>Not Applicable</v>
      </c>
    </row>
    <row r="232" spans="1:10" ht="19.25" hidden="1" customHeight="1" x14ac:dyDescent="0.3">
      <c r="A232" s="8">
        <v>2489398</v>
      </c>
      <c r="B232" s="1" t="s">
        <v>24</v>
      </c>
      <c r="C232" s="1" t="s">
        <v>9</v>
      </c>
      <c r="D232" s="1" t="s">
        <v>9</v>
      </c>
      <c r="E232" s="1" t="s">
        <v>6</v>
      </c>
      <c r="F232" s="2">
        <v>60.75</v>
      </c>
      <c r="G232" s="4" t="s">
        <v>10</v>
      </c>
      <c r="H232" s="9">
        <v>231</v>
      </c>
      <c r="I23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32" t="str">
        <f>IF(Table1[[#This Row],[Nationality]]="Nigeria",Table1[[#This Row],[EMJM Scholarship]],"Not Applicable")</f>
        <v>Not Applicable</v>
      </c>
    </row>
    <row r="233" spans="1:10" ht="19.25" hidden="1" customHeight="1" x14ac:dyDescent="0.3">
      <c r="A233" s="8">
        <v>2523546</v>
      </c>
      <c r="B233" s="1" t="s">
        <v>55</v>
      </c>
      <c r="C233" s="1" t="s">
        <v>9</v>
      </c>
      <c r="D233" s="1" t="s">
        <v>9</v>
      </c>
      <c r="E233" s="1" t="s">
        <v>6</v>
      </c>
      <c r="F233" s="2">
        <v>60.6</v>
      </c>
      <c r="G233" s="4" t="s">
        <v>10</v>
      </c>
      <c r="H233" s="9">
        <v>232</v>
      </c>
      <c r="I23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33" t="str">
        <f>IF(Table1[[#This Row],[Nationality]]="Nigeria",Table1[[#This Row],[EMJM Scholarship]],"Not Applicable")</f>
        <v>Not Applicable</v>
      </c>
    </row>
    <row r="234" spans="1:10" ht="19.25" hidden="1" customHeight="1" x14ac:dyDescent="0.3">
      <c r="A234" s="8">
        <v>2419944</v>
      </c>
      <c r="B234" s="1" t="s">
        <v>64</v>
      </c>
      <c r="C234" s="1" t="s">
        <v>9</v>
      </c>
      <c r="D234" s="1" t="s">
        <v>9</v>
      </c>
      <c r="E234" s="1" t="s">
        <v>6</v>
      </c>
      <c r="F234" s="2">
        <v>60.5</v>
      </c>
      <c r="G234" s="4" t="s">
        <v>10</v>
      </c>
      <c r="H234" s="9">
        <v>233</v>
      </c>
      <c r="I23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34" t="str">
        <f>IF(Table1[[#This Row],[Nationality]]="Nigeria",Table1[[#This Row],[EMJM Scholarship]],"Not Applicable")</f>
        <v>Not Applicable</v>
      </c>
    </row>
    <row r="235" spans="1:10" ht="19.25" hidden="1" customHeight="1" x14ac:dyDescent="0.3">
      <c r="A235" s="8">
        <v>2484105</v>
      </c>
      <c r="B235" s="1" t="s">
        <v>76</v>
      </c>
      <c r="C235" s="1" t="s">
        <v>9</v>
      </c>
      <c r="D235" s="1" t="s">
        <v>9</v>
      </c>
      <c r="E235" s="1" t="s">
        <v>6</v>
      </c>
      <c r="F235" s="2">
        <v>60.4</v>
      </c>
      <c r="G235" s="4" t="s">
        <v>10</v>
      </c>
      <c r="H235" s="9">
        <v>234</v>
      </c>
      <c r="I23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35" t="str">
        <f>IF(Table1[[#This Row],[Nationality]]="Nigeria",Table1[[#This Row],[EMJM Scholarship]],"Not Applicable")</f>
        <v>Not Applicable</v>
      </c>
    </row>
    <row r="236" spans="1:10" ht="19.25" hidden="1" customHeight="1" x14ac:dyDescent="0.3">
      <c r="A236" s="8">
        <v>2523170</v>
      </c>
      <c r="B236" s="1" t="s">
        <v>58</v>
      </c>
      <c r="C236" s="1" t="s">
        <v>9</v>
      </c>
      <c r="D236" s="1" t="s">
        <v>9</v>
      </c>
      <c r="E236" s="1" t="s">
        <v>6</v>
      </c>
      <c r="F236" s="2">
        <v>60.25</v>
      </c>
      <c r="G236" s="4" t="s">
        <v>10</v>
      </c>
      <c r="H236" s="9">
        <v>235</v>
      </c>
      <c r="I23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36" t="str">
        <f>IF(Table1[[#This Row],[Nationality]]="Nigeria",Table1[[#This Row],[EMJM Scholarship]],"Not Applicable")</f>
        <v>Not Applicable</v>
      </c>
    </row>
    <row r="237" spans="1:10" ht="19.25" hidden="1" customHeight="1" x14ac:dyDescent="0.3">
      <c r="A237" s="8">
        <v>2517438</v>
      </c>
      <c r="B237" s="1" t="s">
        <v>58</v>
      </c>
      <c r="C237" s="1" t="s">
        <v>9</v>
      </c>
      <c r="D237" s="1" t="s">
        <v>9</v>
      </c>
      <c r="E237" s="1" t="s">
        <v>6</v>
      </c>
      <c r="F237" s="2">
        <v>60.1</v>
      </c>
      <c r="G237" s="4" t="s">
        <v>10</v>
      </c>
      <c r="H237" s="9">
        <v>236</v>
      </c>
      <c r="I23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37" t="str">
        <f>IF(Table1[[#This Row],[Nationality]]="Nigeria",Table1[[#This Row],[EMJM Scholarship]],"Not Applicable")</f>
        <v>Not Applicable</v>
      </c>
    </row>
    <row r="238" spans="1:10" ht="19.25" hidden="1" customHeight="1" x14ac:dyDescent="0.3">
      <c r="A238" s="8">
        <v>2420882</v>
      </c>
      <c r="B238" s="1" t="s">
        <v>62</v>
      </c>
      <c r="C238" s="1" t="s">
        <v>9</v>
      </c>
      <c r="D238" s="1" t="s">
        <v>9</v>
      </c>
      <c r="E238" s="1" t="s">
        <v>6</v>
      </c>
      <c r="F238" s="2">
        <v>60</v>
      </c>
      <c r="G238" s="4" t="s">
        <v>10</v>
      </c>
      <c r="H238" s="9">
        <v>237</v>
      </c>
      <c r="I23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38" t="str">
        <f>IF(Table1[[#This Row],[Nationality]]="Nigeria",Table1[[#This Row],[EMJM Scholarship]],"Not Applicable")</f>
        <v>Not Applicable</v>
      </c>
    </row>
    <row r="239" spans="1:10" ht="19.25" hidden="1" customHeight="1" x14ac:dyDescent="0.3">
      <c r="A239" s="8">
        <v>2522983</v>
      </c>
      <c r="B239" s="1" t="s">
        <v>75</v>
      </c>
      <c r="C239" s="1" t="s">
        <v>9</v>
      </c>
      <c r="D239" s="1" t="s">
        <v>9</v>
      </c>
      <c r="E239" s="1" t="s">
        <v>6</v>
      </c>
      <c r="F239" s="2">
        <v>59.9</v>
      </c>
      <c r="G239" s="4" t="s">
        <v>10</v>
      </c>
      <c r="H239" s="9">
        <v>238</v>
      </c>
      <c r="I23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39" t="str">
        <f>IF(Table1[[#This Row],[Nationality]]="Nigeria",Table1[[#This Row],[EMJM Scholarship]],"Not Applicable")</f>
        <v>Not Applicable</v>
      </c>
    </row>
    <row r="240" spans="1:10" ht="19.25" hidden="1" customHeight="1" x14ac:dyDescent="0.3">
      <c r="A240" s="8">
        <v>2457531</v>
      </c>
      <c r="B240" s="1" t="s">
        <v>55</v>
      </c>
      <c r="C240" s="1" t="s">
        <v>9</v>
      </c>
      <c r="D240" s="1" t="s">
        <v>9</v>
      </c>
      <c r="E240" s="1" t="s">
        <v>6</v>
      </c>
      <c r="F240" s="2">
        <v>59.8</v>
      </c>
      <c r="G240" s="4" t="s">
        <v>10</v>
      </c>
      <c r="H240" s="9">
        <v>239</v>
      </c>
      <c r="I24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40" t="str">
        <f>IF(Table1[[#This Row],[Nationality]]="Nigeria",Table1[[#This Row],[EMJM Scholarship]],"Not Applicable")</f>
        <v>Not Applicable</v>
      </c>
    </row>
    <row r="241" spans="1:10" ht="19.25" hidden="1" customHeight="1" x14ac:dyDescent="0.3">
      <c r="A241" s="8">
        <v>2475039</v>
      </c>
      <c r="B241" s="1" t="s">
        <v>16</v>
      </c>
      <c r="C241" s="1" t="s">
        <v>9</v>
      </c>
      <c r="D241" s="1" t="s">
        <v>9</v>
      </c>
      <c r="E241" s="1" t="s">
        <v>6</v>
      </c>
      <c r="F241" s="2">
        <v>59.6</v>
      </c>
      <c r="G241" s="4" t="s">
        <v>10</v>
      </c>
      <c r="H241" s="9">
        <v>240</v>
      </c>
      <c r="I24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41" t="str">
        <f>IF(Table1[[#This Row],[Nationality]]="Nigeria",Table1[[#This Row],[EMJM Scholarship]],"Not Applicable")</f>
        <v>Not Applicable</v>
      </c>
    </row>
    <row r="242" spans="1:10" ht="19.25" hidden="1" customHeight="1" x14ac:dyDescent="0.3">
      <c r="A242" s="8">
        <v>2419405</v>
      </c>
      <c r="B242" s="1" t="s">
        <v>24</v>
      </c>
      <c r="C242" s="1" t="s">
        <v>9</v>
      </c>
      <c r="D242" s="1" t="s">
        <v>9</v>
      </c>
      <c r="E242" s="1" t="s">
        <v>6</v>
      </c>
      <c r="F242" s="2">
        <v>59.4</v>
      </c>
      <c r="G242" s="4" t="s">
        <v>10</v>
      </c>
      <c r="H242" s="9">
        <v>241</v>
      </c>
      <c r="I24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42" t="str">
        <f>IF(Table1[[#This Row],[Nationality]]="Nigeria",Table1[[#This Row],[EMJM Scholarship]],"Not Applicable")</f>
        <v>Not Applicable</v>
      </c>
    </row>
    <row r="243" spans="1:10" ht="19.25" hidden="1" customHeight="1" x14ac:dyDescent="0.3">
      <c r="A243" s="8">
        <v>2509118</v>
      </c>
      <c r="B243" s="1" t="s">
        <v>26</v>
      </c>
      <c r="C243" s="1" t="s">
        <v>9</v>
      </c>
      <c r="D243" s="1" t="s">
        <v>9</v>
      </c>
      <c r="E243" s="1" t="s">
        <v>6</v>
      </c>
      <c r="F243" s="2">
        <v>59.25</v>
      </c>
      <c r="G243" s="4" t="s">
        <v>10</v>
      </c>
      <c r="H243" s="9">
        <v>242</v>
      </c>
      <c r="I24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43" t="str">
        <f>IF(Table1[[#This Row],[Nationality]]="Nigeria",Table1[[#This Row],[EMJM Scholarship]],"Not Applicable")</f>
        <v>Not Applicable</v>
      </c>
    </row>
    <row r="244" spans="1:10" ht="19.25" hidden="1" customHeight="1" x14ac:dyDescent="0.3">
      <c r="A244" s="8">
        <v>2469579</v>
      </c>
      <c r="B244" s="1" t="s">
        <v>58</v>
      </c>
      <c r="C244" s="1" t="s">
        <v>9</v>
      </c>
      <c r="D244" s="1" t="s">
        <v>9</v>
      </c>
      <c r="E244" s="1" t="s">
        <v>6</v>
      </c>
      <c r="F244" s="2">
        <v>59.1</v>
      </c>
      <c r="G244" s="4" t="s">
        <v>10</v>
      </c>
      <c r="H244" s="9">
        <v>243</v>
      </c>
      <c r="I24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44" t="str">
        <f>IF(Table1[[#This Row],[Nationality]]="Nigeria",Table1[[#This Row],[EMJM Scholarship]],"Not Applicable")</f>
        <v>Not Applicable</v>
      </c>
    </row>
    <row r="245" spans="1:10" ht="19.25" hidden="1" customHeight="1" x14ac:dyDescent="0.3">
      <c r="A245" s="8">
        <v>2494400</v>
      </c>
      <c r="B245" s="1" t="s">
        <v>58</v>
      </c>
      <c r="C245" s="1" t="s">
        <v>9</v>
      </c>
      <c r="D245" s="1" t="s">
        <v>9</v>
      </c>
      <c r="E245" s="1" t="s">
        <v>6</v>
      </c>
      <c r="F245" s="2">
        <v>59</v>
      </c>
      <c r="G245" s="4" t="s">
        <v>10</v>
      </c>
      <c r="H245" s="9">
        <v>244</v>
      </c>
      <c r="I24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45" t="str">
        <f>IF(Table1[[#This Row],[Nationality]]="Nigeria",Table1[[#This Row],[EMJM Scholarship]],"Not Applicable")</f>
        <v>Not Applicable</v>
      </c>
    </row>
    <row r="246" spans="1:10" ht="19.25" hidden="1" customHeight="1" x14ac:dyDescent="0.3">
      <c r="A246" s="8">
        <v>2464252</v>
      </c>
      <c r="B246" s="1" t="s">
        <v>30</v>
      </c>
      <c r="C246" s="1" t="s">
        <v>9</v>
      </c>
      <c r="D246" s="1" t="s">
        <v>9</v>
      </c>
      <c r="E246" s="1" t="s">
        <v>6</v>
      </c>
      <c r="F246" s="2">
        <v>58.85</v>
      </c>
      <c r="G246" s="4" t="s">
        <v>10</v>
      </c>
      <c r="H246" s="9">
        <v>245</v>
      </c>
      <c r="I24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46" t="str">
        <f>IF(Table1[[#This Row],[Nationality]]="Nigeria",Table1[[#This Row],[EMJM Scholarship]],"Not Applicable")</f>
        <v>Not Applicable</v>
      </c>
    </row>
    <row r="247" spans="1:10" ht="19.25" hidden="1" customHeight="1" x14ac:dyDescent="0.3">
      <c r="A247" s="8">
        <v>2450203</v>
      </c>
      <c r="B247" s="1" t="s">
        <v>58</v>
      </c>
      <c r="C247" s="1" t="s">
        <v>9</v>
      </c>
      <c r="D247" s="1" t="s">
        <v>9</v>
      </c>
      <c r="E247" s="1" t="s">
        <v>6</v>
      </c>
      <c r="F247" s="2">
        <v>58.7</v>
      </c>
      <c r="G247" s="4" t="s">
        <v>10</v>
      </c>
      <c r="H247" s="9">
        <v>246</v>
      </c>
      <c r="I24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47" t="str">
        <f>IF(Table1[[#This Row],[Nationality]]="Nigeria",Table1[[#This Row],[EMJM Scholarship]],"Not Applicable")</f>
        <v>Not Applicable</v>
      </c>
    </row>
    <row r="248" spans="1:10" ht="19.25" hidden="1" customHeight="1" x14ac:dyDescent="0.3">
      <c r="A248" s="8">
        <v>2445816</v>
      </c>
      <c r="B248" s="1" t="s">
        <v>23</v>
      </c>
      <c r="C248" s="1" t="s">
        <v>9</v>
      </c>
      <c r="D248" s="1" t="s">
        <v>9</v>
      </c>
      <c r="E248" s="1" t="s">
        <v>6</v>
      </c>
      <c r="F248" s="2">
        <v>58.55</v>
      </c>
      <c r="G248" s="4" t="s">
        <v>10</v>
      </c>
      <c r="H248" s="9">
        <v>247</v>
      </c>
      <c r="I24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48" t="str">
        <f>IF(Table1[[#This Row],[Nationality]]="Nigeria",Table1[[#This Row],[EMJM Scholarship]],"Not Applicable")</f>
        <v>Not Applicable</v>
      </c>
    </row>
    <row r="249" spans="1:10" ht="19.25" hidden="1" customHeight="1" x14ac:dyDescent="0.3">
      <c r="A249" s="8">
        <v>2469056</v>
      </c>
      <c r="B249" s="1" t="s">
        <v>58</v>
      </c>
      <c r="C249" s="1" t="s">
        <v>9</v>
      </c>
      <c r="D249" s="1" t="s">
        <v>9</v>
      </c>
      <c r="E249" s="1" t="s">
        <v>6</v>
      </c>
      <c r="F249" s="2">
        <v>58.4</v>
      </c>
      <c r="G249" s="4" t="s">
        <v>10</v>
      </c>
      <c r="H249" s="9">
        <v>248</v>
      </c>
      <c r="I24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49" t="str">
        <f>IF(Table1[[#This Row],[Nationality]]="Nigeria",Table1[[#This Row],[EMJM Scholarship]],"Not Applicable")</f>
        <v>Not Applicable</v>
      </c>
    </row>
    <row r="250" spans="1:10" ht="19.25" hidden="1" customHeight="1" x14ac:dyDescent="0.3">
      <c r="A250" s="8">
        <v>2507882</v>
      </c>
      <c r="B250" s="1" t="s">
        <v>77</v>
      </c>
      <c r="C250" s="1" t="s">
        <v>9</v>
      </c>
      <c r="D250" s="1" t="s">
        <v>9</v>
      </c>
      <c r="E250" s="1" t="s">
        <v>6</v>
      </c>
      <c r="F250" s="2">
        <v>58.25</v>
      </c>
      <c r="G250" s="4" t="s">
        <v>10</v>
      </c>
      <c r="H250" s="9">
        <v>249</v>
      </c>
      <c r="I25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50" t="str">
        <f>IF(Table1[[#This Row],[Nationality]]="Nigeria",Table1[[#This Row],[EMJM Scholarship]],"Not Applicable")</f>
        <v>Not Applicable</v>
      </c>
    </row>
    <row r="251" spans="1:10" ht="19.25" hidden="1" customHeight="1" x14ac:dyDescent="0.3">
      <c r="A251" s="8">
        <v>2522001</v>
      </c>
      <c r="B251" s="1" t="s">
        <v>60</v>
      </c>
      <c r="C251" s="1" t="s">
        <v>9</v>
      </c>
      <c r="D251" s="1" t="s">
        <v>9</v>
      </c>
      <c r="E251" s="1" t="s">
        <v>6</v>
      </c>
      <c r="F251" s="2">
        <v>58.1</v>
      </c>
      <c r="G251" s="4" t="s">
        <v>10</v>
      </c>
      <c r="H251" s="9">
        <v>250</v>
      </c>
      <c r="I25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51" t="str">
        <f>IF(Table1[[#This Row],[Nationality]]="Nigeria",Table1[[#This Row],[EMJM Scholarship]],"Not Applicable")</f>
        <v>Not Applicable</v>
      </c>
    </row>
    <row r="252" spans="1:10" ht="19.25" hidden="1" customHeight="1" x14ac:dyDescent="0.3">
      <c r="A252" s="8">
        <v>2417391</v>
      </c>
      <c r="B252" s="1" t="s">
        <v>61</v>
      </c>
      <c r="C252" s="1" t="s">
        <v>9</v>
      </c>
      <c r="D252" s="1" t="s">
        <v>9</v>
      </c>
      <c r="E252" s="1" t="s">
        <v>6</v>
      </c>
      <c r="F252" s="2">
        <v>57.95</v>
      </c>
      <c r="G252" s="4" t="s">
        <v>10</v>
      </c>
      <c r="H252" s="9">
        <v>251</v>
      </c>
      <c r="I25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52" t="str">
        <f>IF(Table1[[#This Row],[Nationality]]="Nigeria",Table1[[#This Row],[EMJM Scholarship]],"Not Applicable")</f>
        <v>N/A</v>
      </c>
    </row>
    <row r="253" spans="1:10" ht="19.25" hidden="1" customHeight="1" x14ac:dyDescent="0.3">
      <c r="A253" s="8">
        <v>2434117</v>
      </c>
      <c r="B253" s="1" t="s">
        <v>61</v>
      </c>
      <c r="C253" s="1" t="s">
        <v>9</v>
      </c>
      <c r="D253" s="1" t="s">
        <v>9</v>
      </c>
      <c r="E253" s="1" t="s">
        <v>6</v>
      </c>
      <c r="F253" s="2">
        <v>57.8</v>
      </c>
      <c r="G253" s="4" t="s">
        <v>10</v>
      </c>
      <c r="H253" s="9">
        <v>252</v>
      </c>
      <c r="I25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53" t="str">
        <f>IF(Table1[[#This Row],[Nationality]]="Nigeria",Table1[[#This Row],[EMJM Scholarship]],"Not Applicable")</f>
        <v>N/A</v>
      </c>
    </row>
    <row r="254" spans="1:10" ht="19.25" hidden="1" customHeight="1" x14ac:dyDescent="0.3">
      <c r="A254" s="8">
        <v>2424251</v>
      </c>
      <c r="B254" s="1" t="s">
        <v>61</v>
      </c>
      <c r="C254" s="1" t="s">
        <v>9</v>
      </c>
      <c r="D254" s="1" t="s">
        <v>9</v>
      </c>
      <c r="E254" s="1" t="s">
        <v>6</v>
      </c>
      <c r="F254" s="2">
        <v>57.65</v>
      </c>
      <c r="G254" s="4" t="s">
        <v>10</v>
      </c>
      <c r="H254" s="9">
        <v>253</v>
      </c>
      <c r="I25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54" t="str">
        <f>IF(Table1[[#This Row],[Nationality]]="Nigeria",Table1[[#This Row],[EMJM Scholarship]],"Not Applicable")</f>
        <v>N/A</v>
      </c>
    </row>
    <row r="255" spans="1:10" ht="19.25" hidden="1" customHeight="1" x14ac:dyDescent="0.3">
      <c r="A255" s="8">
        <v>2464142</v>
      </c>
      <c r="B255" s="1" t="s">
        <v>61</v>
      </c>
      <c r="C255" s="1" t="s">
        <v>9</v>
      </c>
      <c r="D255" s="1" t="s">
        <v>9</v>
      </c>
      <c r="E255" s="1" t="s">
        <v>6</v>
      </c>
      <c r="F255" s="2">
        <v>57.5</v>
      </c>
      <c r="G255" s="4" t="s">
        <v>10</v>
      </c>
      <c r="H255" s="9">
        <v>254</v>
      </c>
      <c r="I25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55" t="str">
        <f>IF(Table1[[#This Row],[Nationality]]="Nigeria",Table1[[#This Row],[EMJM Scholarship]],"Not Applicable")</f>
        <v>N/A</v>
      </c>
    </row>
    <row r="256" spans="1:10" ht="19.25" hidden="1" customHeight="1" x14ac:dyDescent="0.3">
      <c r="A256" s="8">
        <v>2519763</v>
      </c>
      <c r="B256" s="1" t="s">
        <v>64</v>
      </c>
      <c r="C256" s="1" t="s">
        <v>9</v>
      </c>
      <c r="D256" s="1" t="s">
        <v>9</v>
      </c>
      <c r="E256" s="1" t="s">
        <v>6</v>
      </c>
      <c r="F256" s="2">
        <v>57.25</v>
      </c>
      <c r="G256" s="4" t="s">
        <v>10</v>
      </c>
      <c r="H256" s="9">
        <v>255</v>
      </c>
      <c r="I25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56" t="str">
        <f>IF(Table1[[#This Row],[Nationality]]="Nigeria",Table1[[#This Row],[EMJM Scholarship]],"Not Applicable")</f>
        <v>Not Applicable</v>
      </c>
    </row>
    <row r="257" spans="1:10" ht="19.25" hidden="1" customHeight="1" x14ac:dyDescent="0.3">
      <c r="A257" s="8">
        <v>2470505</v>
      </c>
      <c r="B257" s="1" t="s">
        <v>36</v>
      </c>
      <c r="C257" s="1" t="s">
        <v>9</v>
      </c>
      <c r="D257" s="1" t="s">
        <v>9</v>
      </c>
      <c r="E257" s="1" t="s">
        <v>6</v>
      </c>
      <c r="F257" s="2">
        <v>57.1</v>
      </c>
      <c r="G257" s="4" t="s">
        <v>10</v>
      </c>
      <c r="H257" s="9">
        <v>256</v>
      </c>
      <c r="I25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57" t="str">
        <f>IF(Table1[[#This Row],[Nationality]]="Nigeria",Table1[[#This Row],[EMJM Scholarship]],"Not Applicable")</f>
        <v>Not Applicable</v>
      </c>
    </row>
    <row r="258" spans="1:10" ht="19.25" hidden="1" customHeight="1" x14ac:dyDescent="0.3">
      <c r="A258" s="8">
        <v>2511122</v>
      </c>
      <c r="B258" s="1" t="s">
        <v>60</v>
      </c>
      <c r="C258" s="1" t="s">
        <v>9</v>
      </c>
      <c r="D258" s="1" t="s">
        <v>9</v>
      </c>
      <c r="E258" s="1" t="s">
        <v>6</v>
      </c>
      <c r="F258" s="2">
        <v>57</v>
      </c>
      <c r="G258" s="4" t="s">
        <v>10</v>
      </c>
      <c r="H258" s="9">
        <v>257</v>
      </c>
      <c r="I25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58" t="str">
        <f>IF(Table1[[#This Row],[Nationality]]="Nigeria",Table1[[#This Row],[EMJM Scholarship]],"Not Applicable")</f>
        <v>Not Applicable</v>
      </c>
    </row>
    <row r="259" spans="1:10" ht="19.25" hidden="1" customHeight="1" x14ac:dyDescent="0.3">
      <c r="A259" s="8">
        <v>2415046</v>
      </c>
      <c r="B259" s="1" t="s">
        <v>64</v>
      </c>
      <c r="C259" s="1" t="s">
        <v>9</v>
      </c>
      <c r="D259" s="1" t="s">
        <v>9</v>
      </c>
      <c r="E259" s="1" t="s">
        <v>6</v>
      </c>
      <c r="F259" s="2">
        <v>56.9</v>
      </c>
      <c r="G259" s="4" t="s">
        <v>10</v>
      </c>
      <c r="H259" s="9">
        <v>258</v>
      </c>
      <c r="I25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59" t="str">
        <f>IF(Table1[[#This Row],[Nationality]]="Nigeria",Table1[[#This Row],[EMJM Scholarship]],"Not Applicable")</f>
        <v>Not Applicable</v>
      </c>
    </row>
    <row r="260" spans="1:10" ht="19.25" hidden="1" customHeight="1" x14ac:dyDescent="0.3">
      <c r="A260" s="8">
        <v>2441989</v>
      </c>
      <c r="B260" s="1" t="s">
        <v>58</v>
      </c>
      <c r="C260" s="1" t="s">
        <v>9</v>
      </c>
      <c r="D260" s="1" t="s">
        <v>9</v>
      </c>
      <c r="E260" s="1" t="s">
        <v>6</v>
      </c>
      <c r="F260" s="2">
        <v>56.8</v>
      </c>
      <c r="G260" s="4" t="s">
        <v>10</v>
      </c>
      <c r="H260" s="9">
        <v>259</v>
      </c>
      <c r="I26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60" t="str">
        <f>IF(Table1[[#This Row],[Nationality]]="Nigeria",Table1[[#This Row],[EMJM Scholarship]],"Not Applicable")</f>
        <v>Not Applicable</v>
      </c>
    </row>
    <row r="261" spans="1:10" ht="19.25" hidden="1" customHeight="1" x14ac:dyDescent="0.3">
      <c r="A261" s="8">
        <v>2495377</v>
      </c>
      <c r="B261" s="1" t="s">
        <v>29</v>
      </c>
      <c r="C261" s="1" t="s">
        <v>9</v>
      </c>
      <c r="D261" s="1" t="s">
        <v>9</v>
      </c>
      <c r="E261" s="1" t="s">
        <v>6</v>
      </c>
      <c r="F261" s="2">
        <v>56.65</v>
      </c>
      <c r="G261" s="4" t="s">
        <v>10</v>
      </c>
      <c r="H261" s="9">
        <v>260</v>
      </c>
      <c r="I26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61" t="str">
        <f>IF(Table1[[#This Row],[Nationality]]="Nigeria",Table1[[#This Row],[EMJM Scholarship]],"Not Applicable")</f>
        <v>Not Applicable</v>
      </c>
    </row>
    <row r="262" spans="1:10" ht="19.25" hidden="1" customHeight="1" x14ac:dyDescent="0.3">
      <c r="A262" s="8">
        <v>2461169</v>
      </c>
      <c r="B262" s="1" t="s">
        <v>24</v>
      </c>
      <c r="C262" s="1" t="s">
        <v>9</v>
      </c>
      <c r="D262" s="1" t="s">
        <v>9</v>
      </c>
      <c r="E262" s="1" t="s">
        <v>6</v>
      </c>
      <c r="F262" s="2">
        <v>56.5</v>
      </c>
      <c r="G262" s="4" t="s">
        <v>10</v>
      </c>
      <c r="H262" s="9">
        <v>261</v>
      </c>
      <c r="I26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62" t="str">
        <f>IF(Table1[[#This Row],[Nationality]]="Nigeria",Table1[[#This Row],[EMJM Scholarship]],"Not Applicable")</f>
        <v>Not Applicable</v>
      </c>
    </row>
    <row r="263" spans="1:10" ht="19.25" hidden="1" customHeight="1" x14ac:dyDescent="0.3">
      <c r="A263" s="8">
        <v>2414548</v>
      </c>
      <c r="B263" s="1" t="s">
        <v>61</v>
      </c>
      <c r="C263" s="1" t="s">
        <v>9</v>
      </c>
      <c r="D263" s="1" t="s">
        <v>9</v>
      </c>
      <c r="E263" s="1" t="s">
        <v>6</v>
      </c>
      <c r="F263" s="2">
        <v>56.4</v>
      </c>
      <c r="G263" s="4" t="s">
        <v>10</v>
      </c>
      <c r="H263" s="9">
        <v>262</v>
      </c>
      <c r="I26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63" t="str">
        <f>IF(Table1[[#This Row],[Nationality]]="Nigeria",Table1[[#This Row],[EMJM Scholarship]],"Not Applicable")</f>
        <v>N/A</v>
      </c>
    </row>
    <row r="264" spans="1:10" ht="19.25" hidden="1" customHeight="1" x14ac:dyDescent="0.3">
      <c r="A264" s="8">
        <v>2486714</v>
      </c>
      <c r="B264" s="1" t="s">
        <v>61</v>
      </c>
      <c r="C264" s="1" t="s">
        <v>9</v>
      </c>
      <c r="D264" s="1" t="s">
        <v>9</v>
      </c>
      <c r="E264" s="1" t="s">
        <v>6</v>
      </c>
      <c r="F264" s="2">
        <v>56.25</v>
      </c>
      <c r="G264" s="4" t="s">
        <v>10</v>
      </c>
      <c r="H264" s="9">
        <v>263</v>
      </c>
      <c r="I26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64" t="str">
        <f>IF(Table1[[#This Row],[Nationality]]="Nigeria",Table1[[#This Row],[EMJM Scholarship]],"Not Applicable")</f>
        <v>N/A</v>
      </c>
    </row>
    <row r="265" spans="1:10" ht="19.25" hidden="1" customHeight="1" x14ac:dyDescent="0.3">
      <c r="A265" s="8">
        <v>2498008</v>
      </c>
      <c r="B265" s="1" t="s">
        <v>23</v>
      </c>
      <c r="C265" s="1" t="s">
        <v>9</v>
      </c>
      <c r="D265" s="1" t="s">
        <v>9</v>
      </c>
      <c r="E265" s="1" t="s">
        <v>6</v>
      </c>
      <c r="F265" s="2">
        <v>56.1</v>
      </c>
      <c r="G265" s="4" t="s">
        <v>10</v>
      </c>
      <c r="H265" s="9">
        <v>264</v>
      </c>
      <c r="I26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65" t="str">
        <f>IF(Table1[[#This Row],[Nationality]]="Nigeria",Table1[[#This Row],[EMJM Scholarship]],"Not Applicable")</f>
        <v>Not Applicable</v>
      </c>
    </row>
    <row r="266" spans="1:10" ht="19.25" hidden="1" customHeight="1" x14ac:dyDescent="0.3">
      <c r="A266" s="8">
        <v>2461416</v>
      </c>
      <c r="B266" s="1" t="s">
        <v>61</v>
      </c>
      <c r="C266" s="1" t="s">
        <v>9</v>
      </c>
      <c r="D266" s="1" t="s">
        <v>9</v>
      </c>
      <c r="E266" s="1" t="s">
        <v>6</v>
      </c>
      <c r="F266" s="2">
        <v>56</v>
      </c>
      <c r="G266" s="4" t="s">
        <v>10</v>
      </c>
      <c r="H266" s="9">
        <v>265</v>
      </c>
      <c r="I26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66" t="str">
        <f>IF(Table1[[#This Row],[Nationality]]="Nigeria",Table1[[#This Row],[EMJM Scholarship]],"Not Applicable")</f>
        <v>N/A</v>
      </c>
    </row>
    <row r="267" spans="1:10" ht="19.25" hidden="1" customHeight="1" x14ac:dyDescent="0.3">
      <c r="A267" s="8">
        <v>2429237</v>
      </c>
      <c r="B267" s="1" t="s">
        <v>61</v>
      </c>
      <c r="C267" s="1" t="s">
        <v>9</v>
      </c>
      <c r="D267" s="1" t="s">
        <v>9</v>
      </c>
      <c r="E267" s="1" t="s">
        <v>6</v>
      </c>
      <c r="F267" s="2">
        <v>55.85</v>
      </c>
      <c r="G267" s="4" t="s">
        <v>10</v>
      </c>
      <c r="H267" s="9">
        <v>266</v>
      </c>
      <c r="I26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67" t="str">
        <f>IF(Table1[[#This Row],[Nationality]]="Nigeria",Table1[[#This Row],[EMJM Scholarship]],"Not Applicable")</f>
        <v>N/A</v>
      </c>
    </row>
    <row r="268" spans="1:10" ht="19.25" hidden="1" customHeight="1" x14ac:dyDescent="0.3">
      <c r="A268" s="8">
        <v>2435252</v>
      </c>
      <c r="B268" s="1" t="s">
        <v>64</v>
      </c>
      <c r="C268" s="1" t="s">
        <v>9</v>
      </c>
      <c r="D268" s="1" t="s">
        <v>9</v>
      </c>
      <c r="E268" s="1" t="s">
        <v>6</v>
      </c>
      <c r="F268" s="2">
        <v>55.75</v>
      </c>
      <c r="G268" s="4" t="s">
        <v>10</v>
      </c>
      <c r="H268" s="9">
        <v>267</v>
      </c>
      <c r="I26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68" t="str">
        <f>IF(Table1[[#This Row],[Nationality]]="Nigeria",Table1[[#This Row],[EMJM Scholarship]],"Not Applicable")</f>
        <v>Not Applicable</v>
      </c>
    </row>
    <row r="269" spans="1:10" ht="19.25" hidden="1" customHeight="1" x14ac:dyDescent="0.3">
      <c r="A269" s="8">
        <v>2463467</v>
      </c>
      <c r="B269" s="1" t="s">
        <v>61</v>
      </c>
      <c r="C269" s="1" t="s">
        <v>9</v>
      </c>
      <c r="D269" s="1" t="s">
        <v>9</v>
      </c>
      <c r="E269" s="1" t="s">
        <v>6</v>
      </c>
      <c r="F269" s="2">
        <v>55.6</v>
      </c>
      <c r="G269" s="4" t="s">
        <v>10</v>
      </c>
      <c r="H269" s="9">
        <v>268</v>
      </c>
      <c r="I26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69" t="str">
        <f>IF(Table1[[#This Row],[Nationality]]="Nigeria",Table1[[#This Row],[EMJM Scholarship]],"Not Applicable")</f>
        <v>N/A</v>
      </c>
    </row>
    <row r="270" spans="1:10" ht="19.25" hidden="1" customHeight="1" x14ac:dyDescent="0.3">
      <c r="A270" s="8">
        <v>2438638</v>
      </c>
      <c r="B270" s="1" t="s">
        <v>60</v>
      </c>
      <c r="C270" s="1" t="s">
        <v>9</v>
      </c>
      <c r="D270" s="1" t="s">
        <v>9</v>
      </c>
      <c r="E270" s="1" t="s">
        <v>6</v>
      </c>
      <c r="F270" s="2">
        <v>55.4</v>
      </c>
      <c r="G270" s="4" t="s">
        <v>10</v>
      </c>
      <c r="H270" s="9">
        <v>269</v>
      </c>
      <c r="I27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70" t="str">
        <f>IF(Table1[[#This Row],[Nationality]]="Nigeria",Table1[[#This Row],[EMJM Scholarship]],"Not Applicable")</f>
        <v>Not Applicable</v>
      </c>
    </row>
    <row r="271" spans="1:10" ht="19.25" hidden="1" customHeight="1" x14ac:dyDescent="0.3">
      <c r="A271" s="8">
        <v>2482203</v>
      </c>
      <c r="B271" s="1" t="s">
        <v>61</v>
      </c>
      <c r="C271" s="1" t="s">
        <v>9</v>
      </c>
      <c r="D271" s="1" t="s">
        <v>9</v>
      </c>
      <c r="E271" s="1" t="s">
        <v>6</v>
      </c>
      <c r="F271" s="2">
        <v>55.3</v>
      </c>
      <c r="G271" s="4" t="s">
        <v>10</v>
      </c>
      <c r="H271" s="9">
        <v>270</v>
      </c>
      <c r="I27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71" t="str">
        <f>IF(Table1[[#This Row],[Nationality]]="Nigeria",Table1[[#This Row],[EMJM Scholarship]],"Not Applicable")</f>
        <v>N/A</v>
      </c>
    </row>
    <row r="272" spans="1:10" ht="19.25" hidden="1" customHeight="1" x14ac:dyDescent="0.3">
      <c r="A272" s="8">
        <v>2425681</v>
      </c>
      <c r="B272" s="1" t="s">
        <v>55</v>
      </c>
      <c r="C272" s="1" t="s">
        <v>9</v>
      </c>
      <c r="D272" s="1" t="s">
        <v>9</v>
      </c>
      <c r="E272" s="1" t="s">
        <v>6</v>
      </c>
      <c r="F272" s="2">
        <v>55.2</v>
      </c>
      <c r="G272" s="4" t="s">
        <v>10</v>
      </c>
      <c r="H272" s="9">
        <v>271</v>
      </c>
      <c r="I27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72" t="str">
        <f>IF(Table1[[#This Row],[Nationality]]="Nigeria",Table1[[#This Row],[EMJM Scholarship]],"Not Applicable")</f>
        <v>Not Applicable</v>
      </c>
    </row>
    <row r="273" spans="1:10" ht="19.25" hidden="1" customHeight="1" x14ac:dyDescent="0.3">
      <c r="A273" s="8">
        <v>2469687</v>
      </c>
      <c r="B273" s="1" t="s">
        <v>23</v>
      </c>
      <c r="C273" s="1" t="s">
        <v>9</v>
      </c>
      <c r="D273" s="1" t="s">
        <v>9</v>
      </c>
      <c r="E273" s="1" t="s">
        <v>6</v>
      </c>
      <c r="F273" s="2">
        <v>55.1</v>
      </c>
      <c r="G273" s="4" t="s">
        <v>10</v>
      </c>
      <c r="H273" s="9">
        <v>272</v>
      </c>
      <c r="I27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73" t="str">
        <f>IF(Table1[[#This Row],[Nationality]]="Nigeria",Table1[[#This Row],[EMJM Scholarship]],"Not Applicable")</f>
        <v>Not Applicable</v>
      </c>
    </row>
    <row r="274" spans="1:10" ht="19.25" hidden="1" customHeight="1" x14ac:dyDescent="0.3">
      <c r="A274" s="8">
        <v>2440463</v>
      </c>
      <c r="B274" s="1" t="s">
        <v>64</v>
      </c>
      <c r="C274" s="1" t="s">
        <v>9</v>
      </c>
      <c r="D274" s="1" t="s">
        <v>9</v>
      </c>
      <c r="E274" s="1" t="s">
        <v>6</v>
      </c>
      <c r="F274" s="2">
        <v>55</v>
      </c>
      <c r="G274" s="4" t="s">
        <v>10</v>
      </c>
      <c r="H274" s="9">
        <v>273</v>
      </c>
      <c r="I27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74" t="str">
        <f>IF(Table1[[#This Row],[Nationality]]="Nigeria",Table1[[#This Row],[EMJM Scholarship]],"Not Applicable")</f>
        <v>Not Applicable</v>
      </c>
    </row>
    <row r="275" spans="1:10" ht="19.25" hidden="1" customHeight="1" x14ac:dyDescent="0.3">
      <c r="A275" s="8">
        <v>2473691</v>
      </c>
      <c r="B275" s="1" t="s">
        <v>23</v>
      </c>
      <c r="C275" s="1" t="s">
        <v>9</v>
      </c>
      <c r="D275" s="1" t="s">
        <v>9</v>
      </c>
      <c r="E275" s="1" t="s">
        <v>6</v>
      </c>
      <c r="F275" s="2">
        <v>54.9</v>
      </c>
      <c r="G275" s="4" t="s">
        <v>10</v>
      </c>
      <c r="H275" s="9">
        <v>274</v>
      </c>
      <c r="I27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75" t="str">
        <f>IF(Table1[[#This Row],[Nationality]]="Nigeria",Table1[[#This Row],[EMJM Scholarship]],"Not Applicable")</f>
        <v>Not Applicable</v>
      </c>
    </row>
    <row r="276" spans="1:10" ht="19.25" hidden="1" customHeight="1" x14ac:dyDescent="0.3">
      <c r="A276" s="8">
        <v>2421789</v>
      </c>
      <c r="B276" s="1" t="s">
        <v>61</v>
      </c>
      <c r="C276" s="1" t="s">
        <v>9</v>
      </c>
      <c r="D276" s="1" t="s">
        <v>9</v>
      </c>
      <c r="E276" s="1" t="s">
        <v>6</v>
      </c>
      <c r="F276" s="2">
        <v>54.75</v>
      </c>
      <c r="G276" s="4" t="s">
        <v>10</v>
      </c>
      <c r="H276" s="9">
        <v>275</v>
      </c>
      <c r="I27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76" t="str">
        <f>IF(Table1[[#This Row],[Nationality]]="Nigeria",Table1[[#This Row],[EMJM Scholarship]],"Not Applicable")</f>
        <v>N/A</v>
      </c>
    </row>
    <row r="277" spans="1:10" ht="19.25" hidden="1" customHeight="1" x14ac:dyDescent="0.3">
      <c r="A277" s="8">
        <v>2422720</v>
      </c>
      <c r="B277" s="1" t="s">
        <v>47</v>
      </c>
      <c r="C277" s="1" t="s">
        <v>9</v>
      </c>
      <c r="D277" s="1" t="s">
        <v>9</v>
      </c>
      <c r="E277" s="1" t="s">
        <v>6</v>
      </c>
      <c r="F277" s="2">
        <v>54.6</v>
      </c>
      <c r="G277" s="4" t="s">
        <v>10</v>
      </c>
      <c r="H277" s="9">
        <v>276</v>
      </c>
      <c r="I27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77" t="str">
        <f>IF(Table1[[#This Row],[Nationality]]="Nigeria",Table1[[#This Row],[EMJM Scholarship]],"Not Applicable")</f>
        <v>Not Applicable</v>
      </c>
    </row>
    <row r="278" spans="1:10" ht="19.25" hidden="1" customHeight="1" x14ac:dyDescent="0.3">
      <c r="A278" s="8">
        <v>2520740</v>
      </c>
      <c r="B278" s="1" t="s">
        <v>60</v>
      </c>
      <c r="C278" s="1" t="s">
        <v>9</v>
      </c>
      <c r="D278" s="1" t="s">
        <v>9</v>
      </c>
      <c r="E278" s="1" t="s">
        <v>6</v>
      </c>
      <c r="F278" s="2">
        <v>54.5</v>
      </c>
      <c r="G278" s="4" t="s">
        <v>10</v>
      </c>
      <c r="H278" s="9">
        <v>277</v>
      </c>
      <c r="I27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78" t="str">
        <f>IF(Table1[[#This Row],[Nationality]]="Nigeria",Table1[[#This Row],[EMJM Scholarship]],"Not Applicable")</f>
        <v>Not Applicable</v>
      </c>
    </row>
    <row r="279" spans="1:10" ht="19.25" hidden="1" customHeight="1" x14ac:dyDescent="0.3">
      <c r="A279" s="8">
        <v>2491077</v>
      </c>
      <c r="B279" s="1" t="s">
        <v>34</v>
      </c>
      <c r="C279" s="1" t="s">
        <v>9</v>
      </c>
      <c r="D279" s="1" t="s">
        <v>9</v>
      </c>
      <c r="E279" s="1" t="s">
        <v>6</v>
      </c>
      <c r="F279" s="2">
        <v>54.4</v>
      </c>
      <c r="G279" s="4" t="s">
        <v>10</v>
      </c>
      <c r="H279" s="9">
        <v>278</v>
      </c>
      <c r="I27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79" t="str">
        <f>IF(Table1[[#This Row],[Nationality]]="Nigeria",Table1[[#This Row],[EMJM Scholarship]],"Not Applicable")</f>
        <v>Not Applicable</v>
      </c>
    </row>
    <row r="280" spans="1:10" ht="19.25" hidden="1" customHeight="1" x14ac:dyDescent="0.3">
      <c r="A280" s="8">
        <v>2461653</v>
      </c>
      <c r="B280" s="1" t="s">
        <v>61</v>
      </c>
      <c r="C280" s="1" t="s">
        <v>9</v>
      </c>
      <c r="D280" s="1" t="s">
        <v>9</v>
      </c>
      <c r="E280" s="1" t="s">
        <v>6</v>
      </c>
      <c r="F280" s="2">
        <v>54.25</v>
      </c>
      <c r="G280" s="4" t="s">
        <v>10</v>
      </c>
      <c r="H280" s="9">
        <v>279</v>
      </c>
      <c r="I28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80" t="str">
        <f>IF(Table1[[#This Row],[Nationality]]="Nigeria",Table1[[#This Row],[EMJM Scholarship]],"Not Applicable")</f>
        <v>N/A</v>
      </c>
    </row>
    <row r="281" spans="1:10" ht="19.25" hidden="1" customHeight="1" x14ac:dyDescent="0.3">
      <c r="A281" s="8">
        <v>2488646</v>
      </c>
      <c r="B281" s="1" t="s">
        <v>61</v>
      </c>
      <c r="C281" s="1" t="s">
        <v>9</v>
      </c>
      <c r="D281" s="1" t="s">
        <v>9</v>
      </c>
      <c r="E281" s="1" t="s">
        <v>6</v>
      </c>
      <c r="F281" s="2">
        <v>54.1</v>
      </c>
      <c r="G281" s="4" t="s">
        <v>10</v>
      </c>
      <c r="H281" s="9">
        <v>280</v>
      </c>
      <c r="I28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81" t="str">
        <f>IF(Table1[[#This Row],[Nationality]]="Nigeria",Table1[[#This Row],[EMJM Scholarship]],"Not Applicable")</f>
        <v>N/A</v>
      </c>
    </row>
    <row r="282" spans="1:10" ht="19.25" hidden="1" customHeight="1" x14ac:dyDescent="0.3">
      <c r="A282" s="8">
        <v>2508205</v>
      </c>
      <c r="B282" s="1" t="s">
        <v>68</v>
      </c>
      <c r="C282" s="1" t="s">
        <v>9</v>
      </c>
      <c r="D282" s="1" t="s">
        <v>9</v>
      </c>
      <c r="E282" s="1" t="s">
        <v>6</v>
      </c>
      <c r="F282" s="2">
        <v>54</v>
      </c>
      <c r="G282" s="4" t="s">
        <v>10</v>
      </c>
      <c r="H282" s="9">
        <v>281</v>
      </c>
      <c r="I28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82" t="str">
        <f>IF(Table1[[#This Row],[Nationality]]="Nigeria",Table1[[#This Row],[EMJM Scholarship]],"Not Applicable")</f>
        <v>Not Applicable</v>
      </c>
    </row>
    <row r="283" spans="1:10" ht="19.25" hidden="1" customHeight="1" x14ac:dyDescent="0.3">
      <c r="A283" s="8">
        <v>2520987</v>
      </c>
      <c r="B283" s="1" t="s">
        <v>60</v>
      </c>
      <c r="C283" s="1" t="s">
        <v>9</v>
      </c>
      <c r="D283" s="1" t="s">
        <v>9</v>
      </c>
      <c r="E283" s="1" t="s">
        <v>6</v>
      </c>
      <c r="F283" s="2">
        <v>53.85</v>
      </c>
      <c r="G283" s="4" t="s">
        <v>10</v>
      </c>
      <c r="H283" s="9">
        <v>282</v>
      </c>
      <c r="I28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83" t="str">
        <f>IF(Table1[[#This Row],[Nationality]]="Nigeria",Table1[[#This Row],[EMJM Scholarship]],"Not Applicable")</f>
        <v>Not Applicable</v>
      </c>
    </row>
    <row r="284" spans="1:10" ht="19.25" hidden="1" customHeight="1" x14ac:dyDescent="0.3">
      <c r="A284" s="8">
        <v>2446537</v>
      </c>
      <c r="B284" s="1" t="s">
        <v>64</v>
      </c>
      <c r="C284" s="1" t="s">
        <v>9</v>
      </c>
      <c r="D284" s="1" t="s">
        <v>9</v>
      </c>
      <c r="E284" s="1" t="s">
        <v>6</v>
      </c>
      <c r="F284" s="2">
        <v>53.75</v>
      </c>
      <c r="G284" s="4" t="s">
        <v>10</v>
      </c>
      <c r="H284" s="9">
        <v>283</v>
      </c>
      <c r="I28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84" t="str">
        <f>IF(Table1[[#This Row],[Nationality]]="Nigeria",Table1[[#This Row],[EMJM Scholarship]],"Not Applicable")</f>
        <v>Not Applicable</v>
      </c>
    </row>
    <row r="285" spans="1:10" ht="19.25" hidden="1" customHeight="1" x14ac:dyDescent="0.3">
      <c r="A285" s="8">
        <v>2477293</v>
      </c>
      <c r="B285" s="1" t="s">
        <v>29</v>
      </c>
      <c r="C285" s="1" t="s">
        <v>9</v>
      </c>
      <c r="D285" s="1" t="s">
        <v>9</v>
      </c>
      <c r="E285" s="1" t="s">
        <v>6</v>
      </c>
      <c r="F285" s="2">
        <v>53.6</v>
      </c>
      <c r="G285" s="4" t="s">
        <v>10</v>
      </c>
      <c r="H285" s="9">
        <v>284</v>
      </c>
      <c r="I28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85" t="str">
        <f>IF(Table1[[#This Row],[Nationality]]="Nigeria",Table1[[#This Row],[EMJM Scholarship]],"Not Applicable")</f>
        <v>Not Applicable</v>
      </c>
    </row>
    <row r="286" spans="1:10" ht="19.25" hidden="1" customHeight="1" x14ac:dyDescent="0.3">
      <c r="A286" s="8">
        <v>2465852</v>
      </c>
      <c r="B286" s="1" t="s">
        <v>30</v>
      </c>
      <c r="C286" s="1" t="s">
        <v>9</v>
      </c>
      <c r="D286" s="1" t="s">
        <v>9</v>
      </c>
      <c r="E286" s="1" t="s">
        <v>6</v>
      </c>
      <c r="F286" s="2">
        <v>53.5</v>
      </c>
      <c r="G286" s="4" t="s">
        <v>10</v>
      </c>
      <c r="H286" s="9">
        <v>285</v>
      </c>
      <c r="I28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86" t="str">
        <f>IF(Table1[[#This Row],[Nationality]]="Nigeria",Table1[[#This Row],[EMJM Scholarship]],"Not Applicable")</f>
        <v>Not Applicable</v>
      </c>
    </row>
    <row r="287" spans="1:10" ht="19.25" hidden="1" customHeight="1" x14ac:dyDescent="0.3">
      <c r="A287" s="8">
        <v>2500866</v>
      </c>
      <c r="B287" s="1" t="s">
        <v>55</v>
      </c>
      <c r="C287" s="1" t="s">
        <v>9</v>
      </c>
      <c r="D287" s="1" t="s">
        <v>9</v>
      </c>
      <c r="E287" s="1" t="s">
        <v>6</v>
      </c>
      <c r="F287" s="2">
        <v>53.35</v>
      </c>
      <c r="G287" s="4" t="s">
        <v>10</v>
      </c>
      <c r="H287" s="9">
        <v>286</v>
      </c>
      <c r="I28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87" t="str">
        <f>IF(Table1[[#This Row],[Nationality]]="Nigeria",Table1[[#This Row],[EMJM Scholarship]],"Not Applicable")</f>
        <v>Not Applicable</v>
      </c>
    </row>
    <row r="288" spans="1:10" ht="19.25" hidden="1" customHeight="1" x14ac:dyDescent="0.3">
      <c r="A288" s="8">
        <v>2468957</v>
      </c>
      <c r="B288" s="1" t="s">
        <v>18</v>
      </c>
      <c r="C288" s="1" t="s">
        <v>9</v>
      </c>
      <c r="D288" s="1" t="s">
        <v>9</v>
      </c>
      <c r="E288" s="1" t="s">
        <v>6</v>
      </c>
      <c r="F288" s="2">
        <v>53.25</v>
      </c>
      <c r="G288" s="4" t="s">
        <v>10</v>
      </c>
      <c r="H288" s="9">
        <v>287</v>
      </c>
      <c r="I28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88" t="str">
        <f>IF(Table1[[#This Row],[Nationality]]="Nigeria",Table1[[#This Row],[EMJM Scholarship]],"Not Applicable")</f>
        <v>Not Applicable</v>
      </c>
    </row>
    <row r="289" spans="1:10" ht="19.25" hidden="1" customHeight="1" x14ac:dyDescent="0.3">
      <c r="A289" s="8">
        <v>2485451</v>
      </c>
      <c r="B289" s="1" t="s">
        <v>18</v>
      </c>
      <c r="C289" s="1" t="s">
        <v>9</v>
      </c>
      <c r="D289" s="1" t="s">
        <v>9</v>
      </c>
      <c r="E289" s="1" t="s">
        <v>6</v>
      </c>
      <c r="F289" s="2">
        <v>53.1</v>
      </c>
      <c r="G289" s="4" t="s">
        <v>10</v>
      </c>
      <c r="H289" s="9">
        <v>288</v>
      </c>
      <c r="I28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89" t="str">
        <f>IF(Table1[[#This Row],[Nationality]]="Nigeria",Table1[[#This Row],[EMJM Scholarship]],"Not Applicable")</f>
        <v>Not Applicable</v>
      </c>
    </row>
    <row r="290" spans="1:10" ht="19.25" hidden="1" customHeight="1" x14ac:dyDescent="0.3">
      <c r="A290" s="8">
        <v>2432586</v>
      </c>
      <c r="B290" s="1" t="s">
        <v>68</v>
      </c>
      <c r="C290" s="1" t="s">
        <v>9</v>
      </c>
      <c r="D290" s="1" t="s">
        <v>9</v>
      </c>
      <c r="E290" s="1" t="s">
        <v>6</v>
      </c>
      <c r="F290" s="2">
        <v>53</v>
      </c>
      <c r="G290" s="4" t="s">
        <v>10</v>
      </c>
      <c r="H290" s="9">
        <v>289</v>
      </c>
      <c r="I29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90" t="str">
        <f>IF(Table1[[#This Row],[Nationality]]="Nigeria",Table1[[#This Row],[EMJM Scholarship]],"Not Applicable")</f>
        <v>Not Applicable</v>
      </c>
    </row>
    <row r="291" spans="1:10" ht="19.25" hidden="1" customHeight="1" x14ac:dyDescent="0.3">
      <c r="A291" s="8">
        <v>2455352</v>
      </c>
      <c r="B291" s="1" t="s">
        <v>59</v>
      </c>
      <c r="C291" s="1" t="s">
        <v>9</v>
      </c>
      <c r="D291" s="1" t="s">
        <v>9</v>
      </c>
      <c r="E291" s="1" t="s">
        <v>6</v>
      </c>
      <c r="F291" s="2">
        <v>52.85</v>
      </c>
      <c r="G291" s="4" t="s">
        <v>10</v>
      </c>
      <c r="H291" s="9">
        <v>290</v>
      </c>
      <c r="I29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91" t="str">
        <f>IF(Table1[[#This Row],[Nationality]]="Nigeria",Table1[[#This Row],[EMJM Scholarship]],"Not Applicable")</f>
        <v>Not Applicable</v>
      </c>
    </row>
    <row r="292" spans="1:10" ht="19.25" hidden="1" customHeight="1" x14ac:dyDescent="0.3">
      <c r="A292" s="8">
        <v>2513736</v>
      </c>
      <c r="B292" s="1" t="s">
        <v>18</v>
      </c>
      <c r="C292" s="1" t="s">
        <v>9</v>
      </c>
      <c r="D292" s="1" t="s">
        <v>9</v>
      </c>
      <c r="E292" s="1" t="s">
        <v>6</v>
      </c>
      <c r="F292" s="2">
        <v>52.7</v>
      </c>
      <c r="G292" s="4" t="s">
        <v>10</v>
      </c>
      <c r="H292" s="9">
        <v>291</v>
      </c>
      <c r="I29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92" t="str">
        <f>IF(Table1[[#This Row],[Nationality]]="Nigeria",Table1[[#This Row],[EMJM Scholarship]],"Not Applicable")</f>
        <v>Not Applicable</v>
      </c>
    </row>
    <row r="293" spans="1:10" ht="19.25" hidden="1" customHeight="1" x14ac:dyDescent="0.3">
      <c r="A293" s="8">
        <v>2495111</v>
      </c>
      <c r="B293" s="1" t="s">
        <v>18</v>
      </c>
      <c r="C293" s="1" t="s">
        <v>9</v>
      </c>
      <c r="D293" s="1" t="s">
        <v>9</v>
      </c>
      <c r="E293" s="1" t="s">
        <v>6</v>
      </c>
      <c r="F293" s="2">
        <v>52.6</v>
      </c>
      <c r="G293" s="4" t="s">
        <v>10</v>
      </c>
      <c r="H293" s="9">
        <v>292</v>
      </c>
      <c r="I29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93" t="str">
        <f>IF(Table1[[#This Row],[Nationality]]="Nigeria",Table1[[#This Row],[EMJM Scholarship]],"Not Applicable")</f>
        <v>Not Applicable</v>
      </c>
    </row>
    <row r="294" spans="1:10" ht="19.25" hidden="1" customHeight="1" x14ac:dyDescent="0.3">
      <c r="A294" s="8">
        <v>2496976</v>
      </c>
      <c r="B294" s="1" t="s">
        <v>29</v>
      </c>
      <c r="C294" s="1" t="s">
        <v>9</v>
      </c>
      <c r="D294" s="1" t="s">
        <v>9</v>
      </c>
      <c r="E294" s="1" t="s">
        <v>6</v>
      </c>
      <c r="F294" s="2">
        <v>52.55</v>
      </c>
      <c r="G294" s="4" t="s">
        <v>10</v>
      </c>
      <c r="H294" s="9">
        <v>293</v>
      </c>
      <c r="I29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94" t="str">
        <f>IF(Table1[[#This Row],[Nationality]]="Nigeria",Table1[[#This Row],[EMJM Scholarship]],"Not Applicable")</f>
        <v>Not Applicable</v>
      </c>
    </row>
    <row r="295" spans="1:10" ht="19.25" hidden="1" customHeight="1" x14ac:dyDescent="0.3">
      <c r="A295" s="8">
        <v>2498144</v>
      </c>
      <c r="B295" s="1" t="s">
        <v>18</v>
      </c>
      <c r="C295" s="1" t="s">
        <v>9</v>
      </c>
      <c r="D295" s="1" t="s">
        <v>9</v>
      </c>
      <c r="E295" s="1" t="s">
        <v>6</v>
      </c>
      <c r="F295" s="2">
        <v>52.3</v>
      </c>
      <c r="G295" s="4" t="s">
        <v>10</v>
      </c>
      <c r="H295" s="9">
        <v>294</v>
      </c>
      <c r="I29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95" t="str">
        <f>IF(Table1[[#This Row],[Nationality]]="Nigeria",Table1[[#This Row],[EMJM Scholarship]],"Not Applicable")</f>
        <v>Not Applicable</v>
      </c>
    </row>
    <row r="296" spans="1:10" ht="19.25" hidden="1" customHeight="1" x14ac:dyDescent="0.3">
      <c r="A296" s="8">
        <v>2482851</v>
      </c>
      <c r="B296" s="1" t="s">
        <v>68</v>
      </c>
      <c r="C296" s="1" t="s">
        <v>9</v>
      </c>
      <c r="D296" s="1" t="s">
        <v>9</v>
      </c>
      <c r="E296" s="1" t="s">
        <v>6</v>
      </c>
      <c r="F296" s="2">
        <v>52.15</v>
      </c>
      <c r="G296" s="4" t="s">
        <v>10</v>
      </c>
      <c r="H296" s="9">
        <v>295</v>
      </c>
      <c r="I29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96" t="str">
        <f>IF(Table1[[#This Row],[Nationality]]="Nigeria",Table1[[#This Row],[EMJM Scholarship]],"Not Applicable")</f>
        <v>Not Applicable</v>
      </c>
    </row>
    <row r="297" spans="1:10" ht="19.25" hidden="1" customHeight="1" x14ac:dyDescent="0.3">
      <c r="A297" s="8">
        <v>2498861</v>
      </c>
      <c r="B297" s="1" t="s">
        <v>67</v>
      </c>
      <c r="C297" s="1" t="s">
        <v>9</v>
      </c>
      <c r="D297" s="1" t="s">
        <v>9</v>
      </c>
      <c r="E297" s="1" t="s">
        <v>6</v>
      </c>
      <c r="F297" s="2">
        <v>52.05</v>
      </c>
      <c r="G297" s="4" t="s">
        <v>10</v>
      </c>
      <c r="H297" s="9">
        <v>296</v>
      </c>
      <c r="I29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97" t="str">
        <f>IF(Table1[[#This Row],[Nationality]]="Nigeria",Table1[[#This Row],[EMJM Scholarship]],"Not Applicable")</f>
        <v>Not Applicable</v>
      </c>
    </row>
    <row r="298" spans="1:10" ht="19.25" hidden="1" customHeight="1" x14ac:dyDescent="0.3">
      <c r="A298" s="8">
        <v>2490478</v>
      </c>
      <c r="B298" s="1" t="s">
        <v>18</v>
      </c>
      <c r="C298" s="1" t="s">
        <v>9</v>
      </c>
      <c r="D298" s="1" t="s">
        <v>9</v>
      </c>
      <c r="E298" s="1" t="s">
        <v>6</v>
      </c>
      <c r="F298" s="2">
        <v>51.95</v>
      </c>
      <c r="G298" s="4" t="s">
        <v>10</v>
      </c>
      <c r="H298" s="9">
        <v>297</v>
      </c>
      <c r="I29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98" t="str">
        <f>IF(Table1[[#This Row],[Nationality]]="Nigeria",Table1[[#This Row],[EMJM Scholarship]],"Not Applicable")</f>
        <v>Not Applicable</v>
      </c>
    </row>
    <row r="299" spans="1:10" ht="19.25" hidden="1" customHeight="1" x14ac:dyDescent="0.3">
      <c r="A299" s="8">
        <v>2492668</v>
      </c>
      <c r="B299" s="1" t="s">
        <v>18</v>
      </c>
      <c r="C299" s="1" t="s">
        <v>9</v>
      </c>
      <c r="D299" s="1" t="s">
        <v>9</v>
      </c>
      <c r="E299" s="1" t="s">
        <v>6</v>
      </c>
      <c r="F299" s="2">
        <v>51.85</v>
      </c>
      <c r="G299" s="4" t="s">
        <v>10</v>
      </c>
      <c r="H299" s="9">
        <v>298</v>
      </c>
      <c r="I29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299" t="str">
        <f>IF(Table1[[#This Row],[Nationality]]="Nigeria",Table1[[#This Row],[EMJM Scholarship]],"Not Applicable")</f>
        <v>Not Applicable</v>
      </c>
    </row>
    <row r="300" spans="1:10" ht="19.25" hidden="1" customHeight="1" x14ac:dyDescent="0.3">
      <c r="A300" s="8">
        <v>2493277</v>
      </c>
      <c r="B300" s="1" t="s">
        <v>32</v>
      </c>
      <c r="C300" s="1" t="s">
        <v>9</v>
      </c>
      <c r="D300" s="1" t="s">
        <v>9</v>
      </c>
      <c r="E300" s="1" t="s">
        <v>6</v>
      </c>
      <c r="F300" s="2">
        <v>51.75</v>
      </c>
      <c r="G300" s="4" t="s">
        <v>10</v>
      </c>
      <c r="H300" s="9">
        <v>299</v>
      </c>
      <c r="I30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300" t="str">
        <f>IF(Table1[[#This Row],[Nationality]]="Nigeria",Table1[[#This Row],[EMJM Scholarship]],"Not Applicable")</f>
        <v>Not Applicable</v>
      </c>
    </row>
    <row r="301" spans="1:10" ht="19.25" hidden="1" customHeight="1" x14ac:dyDescent="0.3">
      <c r="A301" s="8">
        <v>2459362</v>
      </c>
      <c r="B301" s="1" t="s">
        <v>41</v>
      </c>
      <c r="C301" s="1" t="s">
        <v>9</v>
      </c>
      <c r="D301" s="1" t="s">
        <v>9</v>
      </c>
      <c r="E301" s="1" t="s">
        <v>6</v>
      </c>
      <c r="F301" s="2">
        <v>51.6</v>
      </c>
      <c r="G301" s="4" t="s">
        <v>10</v>
      </c>
      <c r="H301" s="9">
        <v>300</v>
      </c>
      <c r="I30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301" t="str">
        <f>IF(Table1[[#This Row],[Nationality]]="Nigeria",Table1[[#This Row],[EMJM Scholarship]],"Not Applicable")</f>
        <v>Not Applicable</v>
      </c>
    </row>
    <row r="302" spans="1:10" ht="19.25" hidden="1" customHeight="1" x14ac:dyDescent="0.3">
      <c r="A302" s="8">
        <v>2470327</v>
      </c>
      <c r="B302" s="1" t="s">
        <v>18</v>
      </c>
      <c r="C302" s="1" t="s">
        <v>9</v>
      </c>
      <c r="D302" s="1" t="s">
        <v>9</v>
      </c>
      <c r="E302" s="1" t="s">
        <v>6</v>
      </c>
      <c r="F302" s="2">
        <v>51.55</v>
      </c>
      <c r="G302" s="4" t="s">
        <v>10</v>
      </c>
      <c r="H302" s="9">
        <v>301</v>
      </c>
      <c r="I30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302" t="str">
        <f>IF(Table1[[#This Row],[Nationality]]="Nigeria",Table1[[#This Row],[EMJM Scholarship]],"Not Applicable")</f>
        <v>Not Applicable</v>
      </c>
    </row>
    <row r="303" spans="1:10" ht="19.25" hidden="1" customHeight="1" x14ac:dyDescent="0.3">
      <c r="A303" s="8">
        <v>2449617</v>
      </c>
      <c r="B303" s="1" t="s">
        <v>41</v>
      </c>
      <c r="C303" s="1" t="s">
        <v>9</v>
      </c>
      <c r="D303" s="1" t="s">
        <v>9</v>
      </c>
      <c r="E303" s="1" t="s">
        <v>6</v>
      </c>
      <c r="F303" s="2">
        <v>51.5</v>
      </c>
      <c r="G303" s="4" t="s">
        <v>10</v>
      </c>
      <c r="H303" s="9">
        <v>302</v>
      </c>
      <c r="I30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303" t="str">
        <f>IF(Table1[[#This Row],[Nationality]]="Nigeria",Table1[[#This Row],[EMJM Scholarship]],"Not Applicable")</f>
        <v>Not Applicable</v>
      </c>
    </row>
    <row r="304" spans="1:10" ht="19.25" hidden="1" customHeight="1" x14ac:dyDescent="0.3">
      <c r="A304" s="8">
        <v>2462313</v>
      </c>
      <c r="B304" s="1" t="s">
        <v>18</v>
      </c>
      <c r="C304" s="1" t="s">
        <v>9</v>
      </c>
      <c r="D304" s="1" t="s">
        <v>9</v>
      </c>
      <c r="E304" s="1" t="s">
        <v>6</v>
      </c>
      <c r="F304" s="2">
        <v>51.45</v>
      </c>
      <c r="G304" s="4" t="s">
        <v>10</v>
      </c>
      <c r="H304" s="9">
        <v>303</v>
      </c>
      <c r="I30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304" t="str">
        <f>IF(Table1[[#This Row],[Nationality]]="Nigeria",Table1[[#This Row],[EMJM Scholarship]],"Not Applicable")</f>
        <v>Not Applicable</v>
      </c>
    </row>
    <row r="305" spans="1:10" ht="19.25" hidden="1" customHeight="1" x14ac:dyDescent="0.3">
      <c r="A305" s="8">
        <v>2482139</v>
      </c>
      <c r="B305" s="1" t="s">
        <v>41</v>
      </c>
      <c r="C305" s="1" t="s">
        <v>9</v>
      </c>
      <c r="D305" s="1" t="s">
        <v>9</v>
      </c>
      <c r="E305" s="1" t="s">
        <v>6</v>
      </c>
      <c r="F305" s="2">
        <v>51.4</v>
      </c>
      <c r="G305" s="4" t="s">
        <v>10</v>
      </c>
      <c r="H305" s="9">
        <v>304</v>
      </c>
      <c r="I30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305" t="str">
        <f>IF(Table1[[#This Row],[Nationality]]="Nigeria",Table1[[#This Row],[EMJM Scholarship]],"Not Applicable")</f>
        <v>Not Applicable</v>
      </c>
    </row>
    <row r="306" spans="1:10" ht="19.25" hidden="1" customHeight="1" x14ac:dyDescent="0.3">
      <c r="A306" s="8">
        <v>2458981</v>
      </c>
      <c r="B306" s="1" t="s">
        <v>41</v>
      </c>
      <c r="C306" s="1" t="s">
        <v>9</v>
      </c>
      <c r="D306" s="1" t="s">
        <v>9</v>
      </c>
      <c r="E306" s="1" t="s">
        <v>6</v>
      </c>
      <c r="F306" s="2">
        <v>51.3</v>
      </c>
      <c r="G306" s="4" t="s">
        <v>10</v>
      </c>
      <c r="H306" s="9">
        <v>305</v>
      </c>
      <c r="I30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306" t="str">
        <f>IF(Table1[[#This Row],[Nationality]]="Nigeria",Table1[[#This Row],[EMJM Scholarship]],"Not Applicable")</f>
        <v>Not Applicable</v>
      </c>
    </row>
    <row r="307" spans="1:10" ht="19.25" hidden="1" customHeight="1" x14ac:dyDescent="0.3">
      <c r="A307" s="8">
        <v>2521561</v>
      </c>
      <c r="B307" s="1" t="s">
        <v>38</v>
      </c>
      <c r="C307" s="1" t="s">
        <v>9</v>
      </c>
      <c r="D307" s="1" t="s">
        <v>9</v>
      </c>
      <c r="E307" s="1" t="s">
        <v>6</v>
      </c>
      <c r="F307" s="2">
        <v>51.25</v>
      </c>
      <c r="G307" s="4" t="s">
        <v>10</v>
      </c>
      <c r="H307" s="9">
        <v>306</v>
      </c>
      <c r="I30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307" t="str">
        <f>IF(Table1[[#This Row],[Nationality]]="Nigeria",Table1[[#This Row],[EMJM Scholarship]],"Not Applicable")</f>
        <v>Not Applicable</v>
      </c>
    </row>
    <row r="308" spans="1:10" ht="19.25" hidden="1" customHeight="1" x14ac:dyDescent="0.3">
      <c r="A308" s="8">
        <v>2516732</v>
      </c>
      <c r="B308" s="1" t="s">
        <v>18</v>
      </c>
      <c r="C308" s="1" t="s">
        <v>9</v>
      </c>
      <c r="D308" s="1" t="s">
        <v>9</v>
      </c>
      <c r="E308" s="1" t="s">
        <v>6</v>
      </c>
      <c r="F308" s="2">
        <v>51.15</v>
      </c>
      <c r="G308" s="4" t="s">
        <v>10</v>
      </c>
      <c r="H308" s="9">
        <v>307</v>
      </c>
      <c r="I30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308" t="str">
        <f>IF(Table1[[#This Row],[Nationality]]="Nigeria",Table1[[#This Row],[EMJM Scholarship]],"Not Applicable")</f>
        <v>Not Applicable</v>
      </c>
    </row>
    <row r="309" spans="1:10" ht="19.25" hidden="1" customHeight="1" x14ac:dyDescent="0.3">
      <c r="A309" s="8">
        <v>2521388</v>
      </c>
      <c r="B309" s="1" t="s">
        <v>78</v>
      </c>
      <c r="C309" s="1" t="s">
        <v>9</v>
      </c>
      <c r="D309" s="1" t="s">
        <v>9</v>
      </c>
      <c r="E309" s="1" t="s">
        <v>6</v>
      </c>
      <c r="F309" s="2">
        <v>51</v>
      </c>
      <c r="G309" s="4" t="s">
        <v>10</v>
      </c>
      <c r="H309" s="9">
        <v>308</v>
      </c>
      <c r="I30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309" t="str">
        <f>IF(Table1[[#This Row],[Nationality]]="Nigeria",Table1[[#This Row],[EMJM Scholarship]],"Not Applicable")</f>
        <v>Not Applicable</v>
      </c>
    </row>
    <row r="310" spans="1:10" ht="19.25" hidden="1" customHeight="1" x14ac:dyDescent="0.3">
      <c r="A310" s="8">
        <v>2513322</v>
      </c>
      <c r="B310" s="1" t="s">
        <v>68</v>
      </c>
      <c r="C310" s="1" t="s">
        <v>9</v>
      </c>
      <c r="D310" s="1" t="s">
        <v>9</v>
      </c>
      <c r="E310" s="1" t="s">
        <v>6</v>
      </c>
      <c r="F310" s="2">
        <v>50.9</v>
      </c>
      <c r="G310" s="4" t="s">
        <v>10</v>
      </c>
      <c r="H310" s="9">
        <v>309</v>
      </c>
      <c r="I31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310" t="str">
        <f>IF(Table1[[#This Row],[Nationality]]="Nigeria",Table1[[#This Row],[EMJM Scholarship]],"Not Applicable")</f>
        <v>Not Applicable</v>
      </c>
    </row>
    <row r="311" spans="1:10" ht="19.25" hidden="1" customHeight="1" x14ac:dyDescent="0.3">
      <c r="A311" s="8">
        <v>2465170</v>
      </c>
      <c r="B311" s="1" t="s">
        <v>68</v>
      </c>
      <c r="C311" s="1" t="s">
        <v>9</v>
      </c>
      <c r="D311" s="1" t="s">
        <v>9</v>
      </c>
      <c r="E311" s="1" t="s">
        <v>6</v>
      </c>
      <c r="F311" s="2">
        <v>50.8</v>
      </c>
      <c r="G311" s="4" t="s">
        <v>10</v>
      </c>
      <c r="H311" s="9">
        <v>310</v>
      </c>
      <c r="I31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311" t="str">
        <f>IF(Table1[[#This Row],[Nationality]]="Nigeria",Table1[[#This Row],[EMJM Scholarship]],"Not Applicable")</f>
        <v>Not Applicable</v>
      </c>
    </row>
    <row r="312" spans="1:10" ht="19.25" hidden="1" customHeight="1" x14ac:dyDescent="0.3">
      <c r="A312" s="8">
        <v>2501864</v>
      </c>
      <c r="B312" s="1" t="s">
        <v>18</v>
      </c>
      <c r="C312" s="1" t="s">
        <v>9</v>
      </c>
      <c r="D312" s="1" t="s">
        <v>9</v>
      </c>
      <c r="E312" s="1" t="s">
        <v>6</v>
      </c>
      <c r="F312" s="2">
        <v>50.7</v>
      </c>
      <c r="G312" s="4" t="s">
        <v>10</v>
      </c>
      <c r="H312" s="9">
        <v>311</v>
      </c>
      <c r="I31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312" t="str">
        <f>IF(Table1[[#This Row],[Nationality]]="Nigeria",Table1[[#This Row],[EMJM Scholarship]],"Not Applicable")</f>
        <v>Not Applicable</v>
      </c>
    </row>
    <row r="313" spans="1:10" ht="19.25" hidden="1" customHeight="1" x14ac:dyDescent="0.3">
      <c r="A313" s="8">
        <v>2472071</v>
      </c>
      <c r="B313" s="1" t="s">
        <v>18</v>
      </c>
      <c r="C313" s="1" t="s">
        <v>9</v>
      </c>
      <c r="D313" s="1" t="s">
        <v>9</v>
      </c>
      <c r="E313" s="1" t="s">
        <v>6</v>
      </c>
      <c r="F313" s="2">
        <v>50.6</v>
      </c>
      <c r="G313" s="4" t="s">
        <v>10</v>
      </c>
      <c r="H313" s="9">
        <v>312</v>
      </c>
      <c r="I31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313" t="str">
        <f>IF(Table1[[#This Row],[Nationality]]="Nigeria",Table1[[#This Row],[EMJM Scholarship]],"Not Applicable")</f>
        <v>Not Applicable</v>
      </c>
    </row>
    <row r="314" spans="1:10" ht="19.25" hidden="1" customHeight="1" x14ac:dyDescent="0.3">
      <c r="A314" s="8">
        <v>2483870</v>
      </c>
      <c r="B314" s="1" t="s">
        <v>18</v>
      </c>
      <c r="C314" s="1" t="s">
        <v>9</v>
      </c>
      <c r="D314" s="1" t="s">
        <v>9</v>
      </c>
      <c r="E314" s="1" t="s">
        <v>6</v>
      </c>
      <c r="F314" s="2">
        <v>50.5</v>
      </c>
      <c r="G314" s="4" t="s">
        <v>10</v>
      </c>
      <c r="H314" s="9">
        <v>313</v>
      </c>
      <c r="I31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314" t="str">
        <f>IF(Table1[[#This Row],[Nationality]]="Nigeria",Table1[[#This Row],[EMJM Scholarship]],"Not Applicable")</f>
        <v>Not Applicable</v>
      </c>
    </row>
    <row r="315" spans="1:10" ht="19.25" hidden="1" customHeight="1" x14ac:dyDescent="0.3">
      <c r="A315" s="8">
        <v>2521510</v>
      </c>
      <c r="B315" s="1" t="s">
        <v>18</v>
      </c>
      <c r="C315" s="1" t="s">
        <v>9</v>
      </c>
      <c r="D315" s="1" t="s">
        <v>9</v>
      </c>
      <c r="E315" s="1" t="s">
        <v>6</v>
      </c>
      <c r="F315" s="2">
        <v>50.4</v>
      </c>
      <c r="G315" s="4" t="s">
        <v>10</v>
      </c>
      <c r="H315" s="9">
        <v>314</v>
      </c>
      <c r="I31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315" t="str">
        <f>IF(Table1[[#This Row],[Nationality]]="Nigeria",Table1[[#This Row],[EMJM Scholarship]],"Not Applicable")</f>
        <v>Not Applicable</v>
      </c>
    </row>
    <row r="316" spans="1:10" ht="19.25" hidden="1" customHeight="1" x14ac:dyDescent="0.3">
      <c r="A316" s="8">
        <v>2517188</v>
      </c>
      <c r="B316" s="1" t="s">
        <v>45</v>
      </c>
      <c r="C316" s="1" t="s">
        <v>9</v>
      </c>
      <c r="D316" s="1" t="s">
        <v>9</v>
      </c>
      <c r="E316" s="1" t="s">
        <v>6</v>
      </c>
      <c r="F316" s="2">
        <v>50.3</v>
      </c>
      <c r="G316" s="4" t="s">
        <v>10</v>
      </c>
      <c r="H316" s="9">
        <v>315</v>
      </c>
      <c r="I31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316" t="str">
        <f>IF(Table1[[#This Row],[Nationality]]="Nigeria",Table1[[#This Row],[EMJM Scholarship]],"Not Applicable")</f>
        <v>Not Applicable</v>
      </c>
    </row>
    <row r="317" spans="1:10" ht="19.25" hidden="1" customHeight="1" x14ac:dyDescent="0.3">
      <c r="A317" s="8">
        <v>2511617</v>
      </c>
      <c r="B317" s="1" t="s">
        <v>79</v>
      </c>
      <c r="C317" s="1" t="s">
        <v>9</v>
      </c>
      <c r="D317" s="1" t="s">
        <v>9</v>
      </c>
      <c r="E317" s="1" t="s">
        <v>6</v>
      </c>
      <c r="F317" s="2">
        <v>50.25</v>
      </c>
      <c r="G317" s="4" t="s">
        <v>10</v>
      </c>
      <c r="H317" s="9">
        <v>316</v>
      </c>
      <c r="I31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317" t="str">
        <f>IF(Table1[[#This Row],[Nationality]]="Nigeria",Table1[[#This Row],[EMJM Scholarship]],"Not Applicable")</f>
        <v>Not Applicable</v>
      </c>
    </row>
    <row r="318" spans="1:10" ht="19.25" hidden="1" customHeight="1" x14ac:dyDescent="0.3">
      <c r="A318" s="8">
        <v>2489496</v>
      </c>
      <c r="B318" s="1" t="s">
        <v>78</v>
      </c>
      <c r="C318" s="1" t="s">
        <v>9</v>
      </c>
      <c r="D318" s="1" t="s">
        <v>9</v>
      </c>
      <c r="E318" s="1" t="s">
        <v>6</v>
      </c>
      <c r="F318" s="2">
        <v>50.2</v>
      </c>
      <c r="G318" s="4" t="s">
        <v>10</v>
      </c>
      <c r="H318" s="9">
        <v>317</v>
      </c>
      <c r="I31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318" t="str">
        <f>IF(Table1[[#This Row],[Nationality]]="Nigeria",Table1[[#This Row],[EMJM Scholarship]],"Not Applicable")</f>
        <v>Not Applicable</v>
      </c>
    </row>
    <row r="319" spans="1:10" ht="19.25" hidden="1" customHeight="1" x14ac:dyDescent="0.3">
      <c r="A319" s="8">
        <v>2521338</v>
      </c>
      <c r="B319" s="1" t="s">
        <v>78</v>
      </c>
      <c r="C319" s="1" t="s">
        <v>9</v>
      </c>
      <c r="D319" s="1" t="s">
        <v>9</v>
      </c>
      <c r="E319" s="1" t="s">
        <v>6</v>
      </c>
      <c r="F319" s="2">
        <v>50.1</v>
      </c>
      <c r="G319" s="4" t="s">
        <v>10</v>
      </c>
      <c r="H319" s="9">
        <v>318</v>
      </c>
      <c r="I31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319" t="str">
        <f>IF(Table1[[#This Row],[Nationality]]="Nigeria",Table1[[#This Row],[EMJM Scholarship]],"Not Applicable")</f>
        <v>Not Applicable</v>
      </c>
    </row>
    <row r="320" spans="1:10" ht="19.25" hidden="1" customHeight="1" x14ac:dyDescent="0.3">
      <c r="A320" s="8">
        <v>2511830</v>
      </c>
      <c r="B320" s="1" t="s">
        <v>79</v>
      </c>
      <c r="C320" s="1" t="s">
        <v>9</v>
      </c>
      <c r="D320" s="1" t="s">
        <v>9</v>
      </c>
      <c r="E320" s="1" t="s">
        <v>6</v>
      </c>
      <c r="F320" s="2">
        <v>50</v>
      </c>
      <c r="G320" s="4" t="s">
        <v>10</v>
      </c>
      <c r="H320" s="9">
        <v>319</v>
      </c>
      <c r="I32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Single Yes</v>
      </c>
      <c r="J320" t="str">
        <f>IF(Table1[[#This Row],[Nationality]]="Nigeria",Table1[[#This Row],[EMJM Scholarship]],"Not Applicable")</f>
        <v>Not Applicable</v>
      </c>
    </row>
    <row r="321" spans="1:10" ht="19.25" hidden="1" customHeight="1" x14ac:dyDescent="0.3">
      <c r="A321" s="8">
        <v>2410224</v>
      </c>
      <c r="B321" s="5" t="s">
        <v>80</v>
      </c>
      <c r="C321" s="1" t="s">
        <v>9</v>
      </c>
      <c r="D321" s="1" t="s">
        <v>9</v>
      </c>
      <c r="E321" s="1" t="s">
        <v>9</v>
      </c>
      <c r="F321" s="5"/>
      <c r="G321" s="5"/>
      <c r="H321" s="10"/>
      <c r="I32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21" t="str">
        <f>IF(Table1[[#This Row],[Nationality]]="Nigeria",Table1[[#This Row],[EMJM Scholarship]],"Not Applicable")</f>
        <v>Not Applicable</v>
      </c>
    </row>
    <row r="322" spans="1:10" ht="19.25" hidden="1" customHeight="1" x14ac:dyDescent="0.3">
      <c r="A322" s="8">
        <v>2414547</v>
      </c>
      <c r="B322" s="5" t="s">
        <v>80</v>
      </c>
      <c r="C322" s="1" t="s">
        <v>9</v>
      </c>
      <c r="D322" s="1" t="s">
        <v>9</v>
      </c>
      <c r="E322" s="1" t="s">
        <v>9</v>
      </c>
      <c r="F322" s="5"/>
      <c r="G322" s="5"/>
      <c r="H322" s="10"/>
      <c r="I32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22" t="str">
        <f>IF(Table1[[#This Row],[Nationality]]="Nigeria",Table1[[#This Row],[EMJM Scholarship]],"Not Applicable")</f>
        <v>Not Applicable</v>
      </c>
    </row>
    <row r="323" spans="1:10" ht="19.25" hidden="1" customHeight="1" x14ac:dyDescent="0.3">
      <c r="A323" s="8">
        <v>2414551</v>
      </c>
      <c r="B323" s="5" t="s">
        <v>80</v>
      </c>
      <c r="C323" s="1" t="s">
        <v>9</v>
      </c>
      <c r="D323" s="1" t="s">
        <v>9</v>
      </c>
      <c r="E323" s="1" t="s">
        <v>9</v>
      </c>
      <c r="F323" s="5"/>
      <c r="G323" s="5"/>
      <c r="H323" s="10"/>
      <c r="I32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23" t="str">
        <f>IF(Table1[[#This Row],[Nationality]]="Nigeria",Table1[[#This Row],[EMJM Scholarship]],"Not Applicable")</f>
        <v>Not Applicable</v>
      </c>
    </row>
    <row r="324" spans="1:10" ht="19.25" hidden="1" customHeight="1" x14ac:dyDescent="0.3">
      <c r="A324" s="8">
        <v>2414561</v>
      </c>
      <c r="B324" s="5" t="s">
        <v>80</v>
      </c>
      <c r="C324" s="1" t="s">
        <v>9</v>
      </c>
      <c r="D324" s="1" t="s">
        <v>9</v>
      </c>
      <c r="E324" s="1" t="s">
        <v>9</v>
      </c>
      <c r="F324" s="5"/>
      <c r="G324" s="5"/>
      <c r="H324" s="10"/>
      <c r="I32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24" t="str">
        <f>IF(Table1[[#This Row],[Nationality]]="Nigeria",Table1[[#This Row],[EMJM Scholarship]],"Not Applicable")</f>
        <v>Not Applicable</v>
      </c>
    </row>
    <row r="325" spans="1:10" ht="19.25" hidden="1" customHeight="1" x14ac:dyDescent="0.3">
      <c r="A325" s="8">
        <v>2414564</v>
      </c>
      <c r="B325" s="5" t="s">
        <v>80</v>
      </c>
      <c r="C325" s="1" t="s">
        <v>9</v>
      </c>
      <c r="D325" s="1" t="s">
        <v>9</v>
      </c>
      <c r="E325" s="1" t="s">
        <v>9</v>
      </c>
      <c r="F325" s="5"/>
      <c r="G325" s="5"/>
      <c r="H325" s="10"/>
      <c r="I32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25" t="str">
        <f>IF(Table1[[#This Row],[Nationality]]="Nigeria",Table1[[#This Row],[EMJM Scholarship]],"Not Applicable")</f>
        <v>Not Applicable</v>
      </c>
    </row>
    <row r="326" spans="1:10" ht="19.25" hidden="1" customHeight="1" x14ac:dyDescent="0.3">
      <c r="A326" s="8">
        <v>2414568</v>
      </c>
      <c r="B326" s="6" t="s">
        <v>80</v>
      </c>
      <c r="C326" s="1" t="s">
        <v>9</v>
      </c>
      <c r="D326" s="1" t="s">
        <v>9</v>
      </c>
      <c r="E326" s="1" t="s">
        <v>9</v>
      </c>
      <c r="F326" s="6"/>
      <c r="G326" s="6"/>
      <c r="H326" s="11"/>
      <c r="I32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26" t="str">
        <f>IF(Table1[[#This Row],[Nationality]]="Nigeria",Table1[[#This Row],[EMJM Scholarship]],"Not Applicable")</f>
        <v>Not Applicable</v>
      </c>
    </row>
    <row r="327" spans="1:10" ht="19.25" hidden="1" customHeight="1" x14ac:dyDescent="0.3">
      <c r="A327" s="8">
        <v>2414574</v>
      </c>
      <c r="B327" s="6" t="s">
        <v>80</v>
      </c>
      <c r="C327" s="1" t="s">
        <v>9</v>
      </c>
      <c r="D327" s="1" t="s">
        <v>9</v>
      </c>
      <c r="E327" s="1" t="s">
        <v>9</v>
      </c>
      <c r="F327" s="6"/>
      <c r="G327" s="6"/>
      <c r="H327" s="11"/>
      <c r="I32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27" t="str">
        <f>IF(Table1[[#This Row],[Nationality]]="Nigeria",Table1[[#This Row],[EMJM Scholarship]],"Not Applicable")</f>
        <v>Not Applicable</v>
      </c>
    </row>
    <row r="328" spans="1:10" ht="19.25" hidden="1" customHeight="1" x14ac:dyDescent="0.3">
      <c r="A328" s="8">
        <v>2414588</v>
      </c>
      <c r="B328" s="6" t="s">
        <v>80</v>
      </c>
      <c r="C328" s="1" t="s">
        <v>9</v>
      </c>
      <c r="D328" s="1" t="s">
        <v>9</v>
      </c>
      <c r="E328" s="1" t="s">
        <v>9</v>
      </c>
      <c r="F328" s="6"/>
      <c r="G328" s="6"/>
      <c r="H328" s="11"/>
      <c r="I32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28" t="str">
        <f>IF(Table1[[#This Row],[Nationality]]="Nigeria",Table1[[#This Row],[EMJM Scholarship]],"Not Applicable")</f>
        <v>Not Applicable</v>
      </c>
    </row>
    <row r="329" spans="1:10" ht="19.25" hidden="1" customHeight="1" x14ac:dyDescent="0.3">
      <c r="A329" s="8">
        <v>2414591</v>
      </c>
      <c r="B329" s="6" t="s">
        <v>80</v>
      </c>
      <c r="C329" s="1" t="s">
        <v>9</v>
      </c>
      <c r="D329" s="1" t="s">
        <v>9</v>
      </c>
      <c r="E329" s="1" t="s">
        <v>9</v>
      </c>
      <c r="F329" s="6"/>
      <c r="G329" s="6"/>
      <c r="H329" s="11"/>
      <c r="I32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29" t="str">
        <f>IF(Table1[[#This Row],[Nationality]]="Nigeria",Table1[[#This Row],[EMJM Scholarship]],"Not Applicable")</f>
        <v>Not Applicable</v>
      </c>
    </row>
    <row r="330" spans="1:10" ht="19.25" hidden="1" customHeight="1" x14ac:dyDescent="0.3">
      <c r="A330" s="8">
        <v>2414605</v>
      </c>
      <c r="B330" s="6" t="s">
        <v>80</v>
      </c>
      <c r="C330" s="1" t="s">
        <v>9</v>
      </c>
      <c r="D330" s="1" t="s">
        <v>9</v>
      </c>
      <c r="E330" s="1" t="s">
        <v>9</v>
      </c>
      <c r="F330" s="6"/>
      <c r="G330" s="6"/>
      <c r="H330" s="11"/>
      <c r="I33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30" t="str">
        <f>IF(Table1[[#This Row],[Nationality]]="Nigeria",Table1[[#This Row],[EMJM Scholarship]],"Not Applicable")</f>
        <v>Not Applicable</v>
      </c>
    </row>
    <row r="331" spans="1:10" ht="19.25" hidden="1" customHeight="1" x14ac:dyDescent="0.3">
      <c r="A331" s="8">
        <v>2414670</v>
      </c>
      <c r="B331" s="6" t="s">
        <v>80</v>
      </c>
      <c r="C331" s="1" t="s">
        <v>9</v>
      </c>
      <c r="D331" s="1" t="s">
        <v>9</v>
      </c>
      <c r="E331" s="1" t="s">
        <v>9</v>
      </c>
      <c r="F331" s="6"/>
      <c r="G331" s="6"/>
      <c r="H331" s="11"/>
      <c r="I33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31" t="str">
        <f>IF(Table1[[#This Row],[Nationality]]="Nigeria",Table1[[#This Row],[EMJM Scholarship]],"Not Applicable")</f>
        <v>Not Applicable</v>
      </c>
    </row>
    <row r="332" spans="1:10" ht="19.25" hidden="1" customHeight="1" x14ac:dyDescent="0.3">
      <c r="A332" s="8">
        <v>2414709</v>
      </c>
      <c r="B332" s="6" t="s">
        <v>80</v>
      </c>
      <c r="C332" s="1" t="s">
        <v>9</v>
      </c>
      <c r="D332" s="1" t="s">
        <v>9</v>
      </c>
      <c r="E332" s="1" t="s">
        <v>9</v>
      </c>
      <c r="F332" s="6"/>
      <c r="G332" s="6"/>
      <c r="H332" s="11"/>
      <c r="I33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32" t="str">
        <f>IF(Table1[[#This Row],[Nationality]]="Nigeria",Table1[[#This Row],[EMJM Scholarship]],"Not Applicable")</f>
        <v>Not Applicable</v>
      </c>
    </row>
    <row r="333" spans="1:10" ht="19.25" hidden="1" customHeight="1" x14ac:dyDescent="0.3">
      <c r="A333" s="8">
        <v>2414723</v>
      </c>
      <c r="B333" s="6" t="s">
        <v>80</v>
      </c>
      <c r="C333" s="1" t="s">
        <v>9</v>
      </c>
      <c r="D333" s="1" t="s">
        <v>9</v>
      </c>
      <c r="E333" s="1" t="s">
        <v>9</v>
      </c>
      <c r="F333" s="6"/>
      <c r="G333" s="6"/>
      <c r="H333" s="11"/>
      <c r="I33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33" t="str">
        <f>IF(Table1[[#This Row],[Nationality]]="Nigeria",Table1[[#This Row],[EMJM Scholarship]],"Not Applicable")</f>
        <v>Not Applicable</v>
      </c>
    </row>
    <row r="334" spans="1:10" ht="19.25" hidden="1" customHeight="1" x14ac:dyDescent="0.3">
      <c r="A334" s="8">
        <v>2414726</v>
      </c>
      <c r="B334" s="6" t="s">
        <v>80</v>
      </c>
      <c r="C334" s="1" t="s">
        <v>9</v>
      </c>
      <c r="D334" s="1" t="s">
        <v>9</v>
      </c>
      <c r="E334" s="1" t="s">
        <v>9</v>
      </c>
      <c r="F334" s="6"/>
      <c r="G334" s="6"/>
      <c r="H334" s="11"/>
      <c r="I33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34" t="str">
        <f>IF(Table1[[#This Row],[Nationality]]="Nigeria",Table1[[#This Row],[EMJM Scholarship]],"Not Applicable")</f>
        <v>Not Applicable</v>
      </c>
    </row>
    <row r="335" spans="1:10" ht="19.25" hidden="1" customHeight="1" x14ac:dyDescent="0.3">
      <c r="A335" s="8">
        <v>2414775</v>
      </c>
      <c r="B335" s="6" t="s">
        <v>80</v>
      </c>
      <c r="C335" s="1" t="s">
        <v>9</v>
      </c>
      <c r="D335" s="1" t="s">
        <v>9</v>
      </c>
      <c r="E335" s="1" t="s">
        <v>9</v>
      </c>
      <c r="F335" s="6"/>
      <c r="G335" s="6"/>
      <c r="H335" s="11"/>
      <c r="I33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35" t="str">
        <f>IF(Table1[[#This Row],[Nationality]]="Nigeria",Table1[[#This Row],[EMJM Scholarship]],"Not Applicable")</f>
        <v>Not Applicable</v>
      </c>
    </row>
    <row r="336" spans="1:10" ht="19.25" hidden="1" customHeight="1" x14ac:dyDescent="0.3">
      <c r="A336" s="8">
        <v>2414798</v>
      </c>
      <c r="B336" s="6" t="s">
        <v>80</v>
      </c>
      <c r="C336" s="1" t="s">
        <v>9</v>
      </c>
      <c r="D336" s="1" t="s">
        <v>9</v>
      </c>
      <c r="E336" s="1" t="s">
        <v>9</v>
      </c>
      <c r="F336" s="6"/>
      <c r="G336" s="6"/>
      <c r="H336" s="11"/>
      <c r="I33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36" t="str">
        <f>IF(Table1[[#This Row],[Nationality]]="Nigeria",Table1[[#This Row],[EMJM Scholarship]],"Not Applicable")</f>
        <v>Not Applicable</v>
      </c>
    </row>
    <row r="337" spans="1:10" ht="19.25" hidden="1" customHeight="1" x14ac:dyDescent="0.3">
      <c r="A337" s="8">
        <v>2414817</v>
      </c>
      <c r="B337" s="6" t="s">
        <v>80</v>
      </c>
      <c r="C337" s="1" t="s">
        <v>9</v>
      </c>
      <c r="D337" s="1" t="s">
        <v>9</v>
      </c>
      <c r="E337" s="1" t="s">
        <v>9</v>
      </c>
      <c r="F337" s="6"/>
      <c r="G337" s="6"/>
      <c r="H337" s="11"/>
      <c r="I33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37" t="str">
        <f>IF(Table1[[#This Row],[Nationality]]="Nigeria",Table1[[#This Row],[EMJM Scholarship]],"Not Applicable")</f>
        <v>Not Applicable</v>
      </c>
    </row>
    <row r="338" spans="1:10" ht="19.25" hidden="1" customHeight="1" x14ac:dyDescent="0.3">
      <c r="A338" s="8">
        <v>2414872</v>
      </c>
      <c r="B338" s="6" t="s">
        <v>80</v>
      </c>
      <c r="C338" s="1" t="s">
        <v>9</v>
      </c>
      <c r="D338" s="1" t="s">
        <v>9</v>
      </c>
      <c r="E338" s="1" t="s">
        <v>9</v>
      </c>
      <c r="F338" s="6"/>
      <c r="G338" s="6"/>
      <c r="H338" s="11"/>
      <c r="I33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38" t="str">
        <f>IF(Table1[[#This Row],[Nationality]]="Nigeria",Table1[[#This Row],[EMJM Scholarship]],"Not Applicable")</f>
        <v>Not Applicable</v>
      </c>
    </row>
    <row r="339" spans="1:10" ht="19.25" hidden="1" customHeight="1" x14ac:dyDescent="0.3">
      <c r="A339" s="8">
        <v>2414969</v>
      </c>
      <c r="B339" s="6" t="s">
        <v>80</v>
      </c>
      <c r="C339" s="1" t="s">
        <v>9</v>
      </c>
      <c r="D339" s="1" t="s">
        <v>9</v>
      </c>
      <c r="E339" s="1" t="s">
        <v>9</v>
      </c>
      <c r="F339" s="6"/>
      <c r="G339" s="6"/>
      <c r="H339" s="11"/>
      <c r="I33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39" t="str">
        <f>IF(Table1[[#This Row],[Nationality]]="Nigeria",Table1[[#This Row],[EMJM Scholarship]],"Not Applicable")</f>
        <v>Not Applicable</v>
      </c>
    </row>
    <row r="340" spans="1:10" ht="19.25" hidden="1" customHeight="1" x14ac:dyDescent="0.3">
      <c r="A340" s="8">
        <v>2415000</v>
      </c>
      <c r="B340" s="6" t="s">
        <v>80</v>
      </c>
      <c r="C340" s="1" t="s">
        <v>9</v>
      </c>
      <c r="D340" s="1" t="s">
        <v>9</v>
      </c>
      <c r="E340" s="1" t="s">
        <v>9</v>
      </c>
      <c r="F340" s="6"/>
      <c r="G340" s="6"/>
      <c r="H340" s="11"/>
      <c r="I34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40" t="str">
        <f>IF(Table1[[#This Row],[Nationality]]="Nigeria",Table1[[#This Row],[EMJM Scholarship]],"Not Applicable")</f>
        <v>Not Applicable</v>
      </c>
    </row>
    <row r="341" spans="1:10" ht="19.25" hidden="1" customHeight="1" x14ac:dyDescent="0.3">
      <c r="A341" s="8">
        <v>2415004</v>
      </c>
      <c r="B341" s="6" t="s">
        <v>80</v>
      </c>
      <c r="C341" s="1" t="s">
        <v>9</v>
      </c>
      <c r="D341" s="1" t="s">
        <v>9</v>
      </c>
      <c r="E341" s="1" t="s">
        <v>9</v>
      </c>
      <c r="F341" s="6"/>
      <c r="G341" s="6"/>
      <c r="H341" s="11"/>
      <c r="I34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41" t="str">
        <f>IF(Table1[[#This Row],[Nationality]]="Nigeria",Table1[[#This Row],[EMJM Scholarship]],"Not Applicable")</f>
        <v>Not Applicable</v>
      </c>
    </row>
    <row r="342" spans="1:10" ht="19.25" hidden="1" customHeight="1" x14ac:dyDescent="0.3">
      <c r="A342" s="8">
        <v>2415017</v>
      </c>
      <c r="B342" s="6" t="s">
        <v>80</v>
      </c>
      <c r="C342" s="1" t="s">
        <v>9</v>
      </c>
      <c r="D342" s="1" t="s">
        <v>9</v>
      </c>
      <c r="E342" s="1" t="s">
        <v>9</v>
      </c>
      <c r="F342" s="6"/>
      <c r="G342" s="6"/>
      <c r="H342" s="11"/>
      <c r="I34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42" t="str">
        <f>IF(Table1[[#This Row],[Nationality]]="Nigeria",Table1[[#This Row],[EMJM Scholarship]],"Not Applicable")</f>
        <v>Not Applicable</v>
      </c>
    </row>
    <row r="343" spans="1:10" ht="19.25" hidden="1" customHeight="1" x14ac:dyDescent="0.3">
      <c r="A343" s="8">
        <v>2415062</v>
      </c>
      <c r="B343" s="6" t="s">
        <v>80</v>
      </c>
      <c r="C343" s="1" t="s">
        <v>9</v>
      </c>
      <c r="D343" s="1" t="s">
        <v>9</v>
      </c>
      <c r="E343" s="1" t="s">
        <v>9</v>
      </c>
      <c r="F343" s="6"/>
      <c r="G343" s="6"/>
      <c r="H343" s="11"/>
      <c r="I34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43" t="str">
        <f>IF(Table1[[#This Row],[Nationality]]="Nigeria",Table1[[#This Row],[EMJM Scholarship]],"Not Applicable")</f>
        <v>Not Applicable</v>
      </c>
    </row>
    <row r="344" spans="1:10" ht="19.25" hidden="1" customHeight="1" x14ac:dyDescent="0.3">
      <c r="A344" s="8">
        <v>2415065</v>
      </c>
      <c r="B344" s="6" t="s">
        <v>80</v>
      </c>
      <c r="C344" s="1" t="s">
        <v>9</v>
      </c>
      <c r="D344" s="1" t="s">
        <v>9</v>
      </c>
      <c r="E344" s="1" t="s">
        <v>9</v>
      </c>
      <c r="F344" s="6"/>
      <c r="G344" s="6"/>
      <c r="H344" s="11"/>
      <c r="I34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44" t="str">
        <f>IF(Table1[[#This Row],[Nationality]]="Nigeria",Table1[[#This Row],[EMJM Scholarship]],"Not Applicable")</f>
        <v>Not Applicable</v>
      </c>
    </row>
    <row r="345" spans="1:10" ht="19.25" hidden="1" customHeight="1" x14ac:dyDescent="0.3">
      <c r="A345" s="8">
        <v>2415085</v>
      </c>
      <c r="B345" s="6" t="s">
        <v>80</v>
      </c>
      <c r="C345" s="1" t="s">
        <v>9</v>
      </c>
      <c r="D345" s="1" t="s">
        <v>9</v>
      </c>
      <c r="E345" s="1" t="s">
        <v>9</v>
      </c>
      <c r="F345" s="6"/>
      <c r="G345" s="6"/>
      <c r="H345" s="11"/>
      <c r="I34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45" t="str">
        <f>IF(Table1[[#This Row],[Nationality]]="Nigeria",Table1[[#This Row],[EMJM Scholarship]],"Not Applicable")</f>
        <v>Not Applicable</v>
      </c>
    </row>
    <row r="346" spans="1:10" ht="19.25" hidden="1" customHeight="1" x14ac:dyDescent="0.3">
      <c r="A346" s="8">
        <v>2415112</v>
      </c>
      <c r="B346" s="6" t="s">
        <v>80</v>
      </c>
      <c r="C346" s="1" t="s">
        <v>9</v>
      </c>
      <c r="D346" s="1" t="s">
        <v>9</v>
      </c>
      <c r="E346" s="1" t="s">
        <v>9</v>
      </c>
      <c r="F346" s="6"/>
      <c r="G346" s="6"/>
      <c r="H346" s="11"/>
      <c r="I34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46" t="str">
        <f>IF(Table1[[#This Row],[Nationality]]="Nigeria",Table1[[#This Row],[EMJM Scholarship]],"Not Applicable")</f>
        <v>Not Applicable</v>
      </c>
    </row>
    <row r="347" spans="1:10" ht="19.25" hidden="1" customHeight="1" x14ac:dyDescent="0.3">
      <c r="A347" s="8">
        <v>2415117</v>
      </c>
      <c r="B347" s="6" t="s">
        <v>80</v>
      </c>
      <c r="C347" s="1" t="s">
        <v>9</v>
      </c>
      <c r="D347" s="1" t="s">
        <v>9</v>
      </c>
      <c r="E347" s="1" t="s">
        <v>9</v>
      </c>
      <c r="F347" s="6"/>
      <c r="G347" s="6"/>
      <c r="H347" s="11"/>
      <c r="I34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47" t="str">
        <f>IF(Table1[[#This Row],[Nationality]]="Nigeria",Table1[[#This Row],[EMJM Scholarship]],"Not Applicable")</f>
        <v>Not Applicable</v>
      </c>
    </row>
    <row r="348" spans="1:10" ht="19.25" hidden="1" customHeight="1" x14ac:dyDescent="0.3">
      <c r="A348" s="8">
        <v>2415143</v>
      </c>
      <c r="B348" s="6" t="s">
        <v>80</v>
      </c>
      <c r="C348" s="1" t="s">
        <v>9</v>
      </c>
      <c r="D348" s="1" t="s">
        <v>9</v>
      </c>
      <c r="E348" s="1" t="s">
        <v>9</v>
      </c>
      <c r="F348" s="6"/>
      <c r="G348" s="6"/>
      <c r="H348" s="11"/>
      <c r="I34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48" t="str">
        <f>IF(Table1[[#This Row],[Nationality]]="Nigeria",Table1[[#This Row],[EMJM Scholarship]],"Not Applicable")</f>
        <v>Not Applicable</v>
      </c>
    </row>
    <row r="349" spans="1:10" ht="19.25" hidden="1" customHeight="1" x14ac:dyDescent="0.3">
      <c r="A349" s="8">
        <v>2415160</v>
      </c>
      <c r="B349" s="6" t="s">
        <v>80</v>
      </c>
      <c r="C349" s="1" t="s">
        <v>9</v>
      </c>
      <c r="D349" s="1" t="s">
        <v>9</v>
      </c>
      <c r="E349" s="1" t="s">
        <v>9</v>
      </c>
      <c r="F349" s="6"/>
      <c r="G349" s="6"/>
      <c r="H349" s="11"/>
      <c r="I34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49" t="str">
        <f>IF(Table1[[#This Row],[Nationality]]="Nigeria",Table1[[#This Row],[EMJM Scholarship]],"Not Applicable")</f>
        <v>Not Applicable</v>
      </c>
    </row>
    <row r="350" spans="1:10" ht="19.25" hidden="1" customHeight="1" x14ac:dyDescent="0.3">
      <c r="A350" s="8">
        <v>2415167</v>
      </c>
      <c r="B350" s="6" t="s">
        <v>80</v>
      </c>
      <c r="C350" s="1" t="s">
        <v>9</v>
      </c>
      <c r="D350" s="1" t="s">
        <v>9</v>
      </c>
      <c r="E350" s="1" t="s">
        <v>9</v>
      </c>
      <c r="F350" s="6"/>
      <c r="G350" s="6"/>
      <c r="H350" s="11"/>
      <c r="I35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50" t="str">
        <f>IF(Table1[[#This Row],[Nationality]]="Nigeria",Table1[[#This Row],[EMJM Scholarship]],"Not Applicable")</f>
        <v>Not Applicable</v>
      </c>
    </row>
    <row r="351" spans="1:10" ht="19.25" hidden="1" customHeight="1" x14ac:dyDescent="0.3">
      <c r="A351" s="8">
        <v>2415168</v>
      </c>
      <c r="B351" s="6" t="s">
        <v>80</v>
      </c>
      <c r="C351" s="1" t="s">
        <v>9</v>
      </c>
      <c r="D351" s="1" t="s">
        <v>9</v>
      </c>
      <c r="E351" s="1" t="s">
        <v>9</v>
      </c>
      <c r="F351" s="6"/>
      <c r="G351" s="6"/>
      <c r="H351" s="11"/>
      <c r="I35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51" t="str">
        <f>IF(Table1[[#This Row],[Nationality]]="Nigeria",Table1[[#This Row],[EMJM Scholarship]],"Not Applicable")</f>
        <v>Not Applicable</v>
      </c>
    </row>
    <row r="352" spans="1:10" ht="19.25" hidden="1" customHeight="1" x14ac:dyDescent="0.3">
      <c r="A352" s="8">
        <v>2415178</v>
      </c>
      <c r="B352" s="6" t="s">
        <v>80</v>
      </c>
      <c r="C352" s="1" t="s">
        <v>9</v>
      </c>
      <c r="D352" s="1" t="s">
        <v>9</v>
      </c>
      <c r="E352" s="1" t="s">
        <v>9</v>
      </c>
      <c r="F352" s="6"/>
      <c r="G352" s="6"/>
      <c r="H352" s="11"/>
      <c r="I35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52" t="str">
        <f>IF(Table1[[#This Row],[Nationality]]="Nigeria",Table1[[#This Row],[EMJM Scholarship]],"Not Applicable")</f>
        <v>Not Applicable</v>
      </c>
    </row>
    <row r="353" spans="1:10" ht="19.25" hidden="1" customHeight="1" x14ac:dyDescent="0.3">
      <c r="A353" s="8">
        <v>2415180</v>
      </c>
      <c r="B353" s="6" t="s">
        <v>80</v>
      </c>
      <c r="C353" s="1" t="s">
        <v>9</v>
      </c>
      <c r="D353" s="1" t="s">
        <v>9</v>
      </c>
      <c r="E353" s="1" t="s">
        <v>9</v>
      </c>
      <c r="F353" s="6"/>
      <c r="G353" s="6"/>
      <c r="H353" s="11"/>
      <c r="I35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53" t="str">
        <f>IF(Table1[[#This Row],[Nationality]]="Nigeria",Table1[[#This Row],[EMJM Scholarship]],"Not Applicable")</f>
        <v>Not Applicable</v>
      </c>
    </row>
    <row r="354" spans="1:10" ht="19.25" hidden="1" customHeight="1" x14ac:dyDescent="0.3">
      <c r="A354" s="8">
        <v>2415185</v>
      </c>
      <c r="B354" s="6" t="s">
        <v>80</v>
      </c>
      <c r="C354" s="1" t="s">
        <v>9</v>
      </c>
      <c r="D354" s="1" t="s">
        <v>9</v>
      </c>
      <c r="E354" s="1" t="s">
        <v>9</v>
      </c>
      <c r="F354" s="6"/>
      <c r="G354" s="6"/>
      <c r="H354" s="11"/>
      <c r="I35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54" t="str">
        <f>IF(Table1[[#This Row],[Nationality]]="Nigeria",Table1[[#This Row],[EMJM Scholarship]],"Not Applicable")</f>
        <v>Not Applicable</v>
      </c>
    </row>
    <row r="355" spans="1:10" ht="19.25" hidden="1" customHeight="1" x14ac:dyDescent="0.3">
      <c r="A355" s="8">
        <v>2415187</v>
      </c>
      <c r="B355" s="6" t="s">
        <v>80</v>
      </c>
      <c r="C355" s="1" t="s">
        <v>9</v>
      </c>
      <c r="D355" s="1" t="s">
        <v>9</v>
      </c>
      <c r="E355" s="1" t="s">
        <v>9</v>
      </c>
      <c r="F355" s="6"/>
      <c r="G355" s="6"/>
      <c r="H355" s="11"/>
      <c r="I35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55" t="str">
        <f>IF(Table1[[#This Row],[Nationality]]="Nigeria",Table1[[#This Row],[EMJM Scholarship]],"Not Applicable")</f>
        <v>Not Applicable</v>
      </c>
    </row>
    <row r="356" spans="1:10" ht="19.25" hidden="1" customHeight="1" x14ac:dyDescent="0.3">
      <c r="A356" s="8">
        <v>2415192</v>
      </c>
      <c r="B356" s="6" t="s">
        <v>80</v>
      </c>
      <c r="C356" s="1" t="s">
        <v>9</v>
      </c>
      <c r="D356" s="1" t="s">
        <v>9</v>
      </c>
      <c r="E356" s="1" t="s">
        <v>9</v>
      </c>
      <c r="F356" s="6"/>
      <c r="G356" s="6"/>
      <c r="H356" s="11"/>
      <c r="I35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56" t="str">
        <f>IF(Table1[[#This Row],[Nationality]]="Nigeria",Table1[[#This Row],[EMJM Scholarship]],"Not Applicable")</f>
        <v>Not Applicable</v>
      </c>
    </row>
    <row r="357" spans="1:10" ht="19.25" hidden="1" customHeight="1" x14ac:dyDescent="0.3">
      <c r="A357" s="8">
        <v>2415198</v>
      </c>
      <c r="B357" s="6" t="s">
        <v>80</v>
      </c>
      <c r="C357" s="1" t="s">
        <v>9</v>
      </c>
      <c r="D357" s="1" t="s">
        <v>9</v>
      </c>
      <c r="E357" s="1" t="s">
        <v>9</v>
      </c>
      <c r="F357" s="6"/>
      <c r="G357" s="6"/>
      <c r="H357" s="11"/>
      <c r="I35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57" t="str">
        <f>IF(Table1[[#This Row],[Nationality]]="Nigeria",Table1[[#This Row],[EMJM Scholarship]],"Not Applicable")</f>
        <v>Not Applicable</v>
      </c>
    </row>
    <row r="358" spans="1:10" ht="19.25" hidden="1" customHeight="1" x14ac:dyDescent="0.3">
      <c r="A358" s="8">
        <v>2415277</v>
      </c>
      <c r="B358" s="6" t="s">
        <v>80</v>
      </c>
      <c r="C358" s="1" t="s">
        <v>9</v>
      </c>
      <c r="D358" s="1" t="s">
        <v>9</v>
      </c>
      <c r="E358" s="1" t="s">
        <v>9</v>
      </c>
      <c r="F358" s="6"/>
      <c r="G358" s="6"/>
      <c r="H358" s="11"/>
      <c r="I35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58" t="str">
        <f>IF(Table1[[#This Row],[Nationality]]="Nigeria",Table1[[#This Row],[EMJM Scholarship]],"Not Applicable")</f>
        <v>Not Applicable</v>
      </c>
    </row>
    <row r="359" spans="1:10" ht="19.25" hidden="1" customHeight="1" x14ac:dyDescent="0.3">
      <c r="A359" s="8">
        <v>2415280</v>
      </c>
      <c r="B359" s="6" t="s">
        <v>80</v>
      </c>
      <c r="C359" s="1" t="s">
        <v>9</v>
      </c>
      <c r="D359" s="1" t="s">
        <v>9</v>
      </c>
      <c r="E359" s="1" t="s">
        <v>9</v>
      </c>
      <c r="F359" s="6"/>
      <c r="G359" s="6"/>
      <c r="H359" s="11"/>
      <c r="I35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59" t="str">
        <f>IF(Table1[[#This Row],[Nationality]]="Nigeria",Table1[[#This Row],[EMJM Scholarship]],"Not Applicable")</f>
        <v>Not Applicable</v>
      </c>
    </row>
    <row r="360" spans="1:10" ht="19.25" hidden="1" customHeight="1" x14ac:dyDescent="0.3">
      <c r="A360" s="8">
        <v>2415289</v>
      </c>
      <c r="B360" s="6" t="s">
        <v>80</v>
      </c>
      <c r="C360" s="1" t="s">
        <v>9</v>
      </c>
      <c r="D360" s="1" t="s">
        <v>9</v>
      </c>
      <c r="E360" s="1" t="s">
        <v>9</v>
      </c>
      <c r="F360" s="6"/>
      <c r="G360" s="6"/>
      <c r="H360" s="11"/>
      <c r="I36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60" t="str">
        <f>IF(Table1[[#This Row],[Nationality]]="Nigeria",Table1[[#This Row],[EMJM Scholarship]],"Not Applicable")</f>
        <v>Not Applicable</v>
      </c>
    </row>
    <row r="361" spans="1:10" ht="19.25" hidden="1" customHeight="1" x14ac:dyDescent="0.3">
      <c r="A361" s="8">
        <v>2415343</v>
      </c>
      <c r="B361" s="6" t="s">
        <v>80</v>
      </c>
      <c r="C361" s="1" t="s">
        <v>9</v>
      </c>
      <c r="D361" s="1" t="s">
        <v>9</v>
      </c>
      <c r="E361" s="1" t="s">
        <v>9</v>
      </c>
      <c r="F361" s="6"/>
      <c r="G361" s="6"/>
      <c r="H361" s="11"/>
      <c r="I36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61" t="str">
        <f>IF(Table1[[#This Row],[Nationality]]="Nigeria",Table1[[#This Row],[EMJM Scholarship]],"Not Applicable")</f>
        <v>Not Applicable</v>
      </c>
    </row>
    <row r="362" spans="1:10" ht="19.25" hidden="1" customHeight="1" x14ac:dyDescent="0.3">
      <c r="A362" s="8">
        <v>2415354</v>
      </c>
      <c r="B362" s="6" t="s">
        <v>80</v>
      </c>
      <c r="C362" s="1" t="s">
        <v>9</v>
      </c>
      <c r="D362" s="1" t="s">
        <v>9</v>
      </c>
      <c r="E362" s="1" t="s">
        <v>9</v>
      </c>
      <c r="F362" s="6"/>
      <c r="G362" s="6"/>
      <c r="H362" s="11"/>
      <c r="I36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62" t="str">
        <f>IF(Table1[[#This Row],[Nationality]]="Nigeria",Table1[[#This Row],[EMJM Scholarship]],"Not Applicable")</f>
        <v>Not Applicable</v>
      </c>
    </row>
    <row r="363" spans="1:10" ht="19.25" hidden="1" customHeight="1" x14ac:dyDescent="0.3">
      <c r="A363" s="8">
        <v>2415376</v>
      </c>
      <c r="B363" s="6" t="s">
        <v>80</v>
      </c>
      <c r="C363" s="1" t="s">
        <v>9</v>
      </c>
      <c r="D363" s="1" t="s">
        <v>9</v>
      </c>
      <c r="E363" s="1" t="s">
        <v>9</v>
      </c>
      <c r="F363" s="6"/>
      <c r="G363" s="6"/>
      <c r="H363" s="11"/>
      <c r="I36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63" t="str">
        <f>IF(Table1[[#This Row],[Nationality]]="Nigeria",Table1[[#This Row],[EMJM Scholarship]],"Not Applicable")</f>
        <v>Not Applicable</v>
      </c>
    </row>
    <row r="364" spans="1:10" ht="19.25" hidden="1" customHeight="1" x14ac:dyDescent="0.3">
      <c r="A364" s="8">
        <v>2415387</v>
      </c>
      <c r="B364" s="6" t="s">
        <v>80</v>
      </c>
      <c r="C364" s="1" t="s">
        <v>9</v>
      </c>
      <c r="D364" s="1" t="s">
        <v>9</v>
      </c>
      <c r="E364" s="1" t="s">
        <v>9</v>
      </c>
      <c r="F364" s="6"/>
      <c r="G364" s="6"/>
      <c r="H364" s="11"/>
      <c r="I36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64" t="str">
        <f>IF(Table1[[#This Row],[Nationality]]="Nigeria",Table1[[#This Row],[EMJM Scholarship]],"Not Applicable")</f>
        <v>Not Applicable</v>
      </c>
    </row>
    <row r="365" spans="1:10" ht="19.25" hidden="1" customHeight="1" x14ac:dyDescent="0.3">
      <c r="A365" s="8">
        <v>2415417</v>
      </c>
      <c r="B365" s="6" t="s">
        <v>80</v>
      </c>
      <c r="C365" s="1" t="s">
        <v>9</v>
      </c>
      <c r="D365" s="1" t="s">
        <v>9</v>
      </c>
      <c r="E365" s="1" t="s">
        <v>9</v>
      </c>
      <c r="F365" s="6"/>
      <c r="G365" s="6"/>
      <c r="H365" s="11"/>
      <c r="I36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65" t="str">
        <f>IF(Table1[[#This Row],[Nationality]]="Nigeria",Table1[[#This Row],[EMJM Scholarship]],"Not Applicable")</f>
        <v>Not Applicable</v>
      </c>
    </row>
    <row r="366" spans="1:10" ht="19.25" hidden="1" customHeight="1" x14ac:dyDescent="0.3">
      <c r="A366" s="8">
        <v>2415478</v>
      </c>
      <c r="B366" s="6" t="s">
        <v>80</v>
      </c>
      <c r="C366" s="1" t="s">
        <v>9</v>
      </c>
      <c r="D366" s="1" t="s">
        <v>9</v>
      </c>
      <c r="E366" s="1" t="s">
        <v>9</v>
      </c>
      <c r="F366" s="6"/>
      <c r="G366" s="6"/>
      <c r="H366" s="11"/>
      <c r="I36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66" t="str">
        <f>IF(Table1[[#This Row],[Nationality]]="Nigeria",Table1[[#This Row],[EMJM Scholarship]],"Not Applicable")</f>
        <v>Not Applicable</v>
      </c>
    </row>
    <row r="367" spans="1:10" ht="19.25" hidden="1" customHeight="1" x14ac:dyDescent="0.3">
      <c r="A367" s="8">
        <v>2415526</v>
      </c>
      <c r="B367" s="6" t="s">
        <v>80</v>
      </c>
      <c r="C367" s="1" t="s">
        <v>9</v>
      </c>
      <c r="D367" s="1" t="s">
        <v>9</v>
      </c>
      <c r="E367" s="1" t="s">
        <v>9</v>
      </c>
      <c r="F367" s="6"/>
      <c r="G367" s="6"/>
      <c r="H367" s="11"/>
      <c r="I36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67" t="str">
        <f>IF(Table1[[#This Row],[Nationality]]="Nigeria",Table1[[#This Row],[EMJM Scholarship]],"Not Applicable")</f>
        <v>Not Applicable</v>
      </c>
    </row>
    <row r="368" spans="1:10" ht="19.25" hidden="1" customHeight="1" x14ac:dyDescent="0.3">
      <c r="A368" s="8">
        <v>2415538</v>
      </c>
      <c r="B368" s="6" t="s">
        <v>80</v>
      </c>
      <c r="C368" s="1" t="s">
        <v>9</v>
      </c>
      <c r="D368" s="1" t="s">
        <v>9</v>
      </c>
      <c r="E368" s="1" t="s">
        <v>9</v>
      </c>
      <c r="F368" s="6"/>
      <c r="G368" s="6"/>
      <c r="H368" s="11"/>
      <c r="I36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68" t="str">
        <f>IF(Table1[[#This Row],[Nationality]]="Nigeria",Table1[[#This Row],[EMJM Scholarship]],"Not Applicable")</f>
        <v>Not Applicable</v>
      </c>
    </row>
    <row r="369" spans="1:10" ht="19.25" hidden="1" customHeight="1" x14ac:dyDescent="0.3">
      <c r="A369" s="8">
        <v>2415542</v>
      </c>
      <c r="B369" s="6" t="s">
        <v>80</v>
      </c>
      <c r="C369" s="1" t="s">
        <v>9</v>
      </c>
      <c r="D369" s="1" t="s">
        <v>9</v>
      </c>
      <c r="E369" s="1" t="s">
        <v>9</v>
      </c>
      <c r="F369" s="6"/>
      <c r="G369" s="6"/>
      <c r="H369" s="11"/>
      <c r="I36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69" t="str">
        <f>IF(Table1[[#This Row],[Nationality]]="Nigeria",Table1[[#This Row],[EMJM Scholarship]],"Not Applicable")</f>
        <v>Not Applicable</v>
      </c>
    </row>
    <row r="370" spans="1:10" ht="19.25" hidden="1" customHeight="1" x14ac:dyDescent="0.3">
      <c r="A370" s="8">
        <v>2415661</v>
      </c>
      <c r="B370" s="6" t="s">
        <v>80</v>
      </c>
      <c r="C370" s="1" t="s">
        <v>9</v>
      </c>
      <c r="D370" s="1" t="s">
        <v>9</v>
      </c>
      <c r="E370" s="1" t="s">
        <v>9</v>
      </c>
      <c r="F370" s="6"/>
      <c r="G370" s="6"/>
      <c r="H370" s="11"/>
      <c r="I37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70" t="str">
        <f>IF(Table1[[#This Row],[Nationality]]="Nigeria",Table1[[#This Row],[EMJM Scholarship]],"Not Applicable")</f>
        <v>Not Applicable</v>
      </c>
    </row>
    <row r="371" spans="1:10" ht="19.25" hidden="1" customHeight="1" x14ac:dyDescent="0.3">
      <c r="A371" s="8">
        <v>2415664</v>
      </c>
      <c r="B371" s="6" t="s">
        <v>80</v>
      </c>
      <c r="C371" s="1" t="s">
        <v>9</v>
      </c>
      <c r="D371" s="1" t="s">
        <v>9</v>
      </c>
      <c r="E371" s="1" t="s">
        <v>9</v>
      </c>
      <c r="F371" s="6"/>
      <c r="G371" s="6"/>
      <c r="H371" s="11"/>
      <c r="I37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71" t="str">
        <f>IF(Table1[[#This Row],[Nationality]]="Nigeria",Table1[[#This Row],[EMJM Scholarship]],"Not Applicable")</f>
        <v>Not Applicable</v>
      </c>
    </row>
    <row r="372" spans="1:10" ht="19.25" hidden="1" customHeight="1" x14ac:dyDescent="0.3">
      <c r="A372" s="8">
        <v>2415666</v>
      </c>
      <c r="B372" s="6" t="s">
        <v>80</v>
      </c>
      <c r="C372" s="1" t="s">
        <v>9</v>
      </c>
      <c r="D372" s="1" t="s">
        <v>9</v>
      </c>
      <c r="E372" s="1" t="s">
        <v>9</v>
      </c>
      <c r="F372" s="6"/>
      <c r="G372" s="6"/>
      <c r="H372" s="11"/>
      <c r="I37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72" t="str">
        <f>IF(Table1[[#This Row],[Nationality]]="Nigeria",Table1[[#This Row],[EMJM Scholarship]],"Not Applicable")</f>
        <v>Not Applicable</v>
      </c>
    </row>
    <row r="373" spans="1:10" ht="19.25" hidden="1" customHeight="1" x14ac:dyDescent="0.3">
      <c r="A373" s="8">
        <v>2415704</v>
      </c>
      <c r="B373" s="6" t="s">
        <v>80</v>
      </c>
      <c r="C373" s="1" t="s">
        <v>9</v>
      </c>
      <c r="D373" s="1" t="s">
        <v>9</v>
      </c>
      <c r="E373" s="1" t="s">
        <v>9</v>
      </c>
      <c r="F373" s="6"/>
      <c r="G373" s="6"/>
      <c r="H373" s="11"/>
      <c r="I37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73" t="str">
        <f>IF(Table1[[#This Row],[Nationality]]="Nigeria",Table1[[#This Row],[EMJM Scholarship]],"Not Applicable")</f>
        <v>Not Applicable</v>
      </c>
    </row>
    <row r="374" spans="1:10" ht="19.25" hidden="1" customHeight="1" x14ac:dyDescent="0.3">
      <c r="A374" s="8">
        <v>2415705</v>
      </c>
      <c r="B374" s="6" t="s">
        <v>80</v>
      </c>
      <c r="C374" s="1" t="s">
        <v>9</v>
      </c>
      <c r="D374" s="1" t="s">
        <v>9</v>
      </c>
      <c r="E374" s="1" t="s">
        <v>9</v>
      </c>
      <c r="F374" s="6"/>
      <c r="G374" s="6"/>
      <c r="H374" s="11"/>
      <c r="I37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74" t="str">
        <f>IF(Table1[[#This Row],[Nationality]]="Nigeria",Table1[[#This Row],[EMJM Scholarship]],"Not Applicable")</f>
        <v>Not Applicable</v>
      </c>
    </row>
    <row r="375" spans="1:10" ht="19.25" hidden="1" customHeight="1" x14ac:dyDescent="0.3">
      <c r="A375" s="8">
        <v>2415715</v>
      </c>
      <c r="B375" s="6" t="s">
        <v>80</v>
      </c>
      <c r="C375" s="1" t="s">
        <v>9</v>
      </c>
      <c r="D375" s="1" t="s">
        <v>9</v>
      </c>
      <c r="E375" s="1" t="s">
        <v>9</v>
      </c>
      <c r="F375" s="6"/>
      <c r="G375" s="6"/>
      <c r="H375" s="11"/>
      <c r="I37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75" t="str">
        <f>IF(Table1[[#This Row],[Nationality]]="Nigeria",Table1[[#This Row],[EMJM Scholarship]],"Not Applicable")</f>
        <v>Not Applicable</v>
      </c>
    </row>
    <row r="376" spans="1:10" ht="19.25" hidden="1" customHeight="1" x14ac:dyDescent="0.3">
      <c r="A376" s="8">
        <v>2415725</v>
      </c>
      <c r="B376" s="6" t="s">
        <v>80</v>
      </c>
      <c r="C376" s="1" t="s">
        <v>9</v>
      </c>
      <c r="D376" s="1" t="s">
        <v>9</v>
      </c>
      <c r="E376" s="1" t="s">
        <v>9</v>
      </c>
      <c r="F376" s="6"/>
      <c r="G376" s="6"/>
      <c r="H376" s="11"/>
      <c r="I37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76" t="str">
        <f>IF(Table1[[#This Row],[Nationality]]="Nigeria",Table1[[#This Row],[EMJM Scholarship]],"Not Applicable")</f>
        <v>Not Applicable</v>
      </c>
    </row>
    <row r="377" spans="1:10" ht="19.25" hidden="1" customHeight="1" x14ac:dyDescent="0.3">
      <c r="A377" s="8">
        <v>2415741</v>
      </c>
      <c r="B377" s="6" t="s">
        <v>80</v>
      </c>
      <c r="C377" s="1" t="s">
        <v>9</v>
      </c>
      <c r="D377" s="1" t="s">
        <v>9</v>
      </c>
      <c r="E377" s="1" t="s">
        <v>9</v>
      </c>
      <c r="F377" s="6"/>
      <c r="G377" s="6"/>
      <c r="H377" s="11"/>
      <c r="I37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77" t="str">
        <f>IF(Table1[[#This Row],[Nationality]]="Nigeria",Table1[[#This Row],[EMJM Scholarship]],"Not Applicable")</f>
        <v>Not Applicable</v>
      </c>
    </row>
    <row r="378" spans="1:10" ht="19.25" hidden="1" customHeight="1" x14ac:dyDescent="0.3">
      <c r="A378" s="8">
        <v>2415799</v>
      </c>
      <c r="B378" s="6" t="s">
        <v>80</v>
      </c>
      <c r="C378" s="1" t="s">
        <v>9</v>
      </c>
      <c r="D378" s="1" t="s">
        <v>9</v>
      </c>
      <c r="E378" s="1" t="s">
        <v>9</v>
      </c>
      <c r="F378" s="6"/>
      <c r="G378" s="6"/>
      <c r="H378" s="11"/>
      <c r="I37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78" t="str">
        <f>IF(Table1[[#This Row],[Nationality]]="Nigeria",Table1[[#This Row],[EMJM Scholarship]],"Not Applicable")</f>
        <v>Not Applicable</v>
      </c>
    </row>
    <row r="379" spans="1:10" ht="19.25" hidden="1" customHeight="1" x14ac:dyDescent="0.3">
      <c r="A379" s="8">
        <v>2415810</v>
      </c>
      <c r="B379" s="6" t="s">
        <v>80</v>
      </c>
      <c r="C379" s="1" t="s">
        <v>9</v>
      </c>
      <c r="D379" s="1" t="s">
        <v>9</v>
      </c>
      <c r="E379" s="1" t="s">
        <v>9</v>
      </c>
      <c r="F379" s="6"/>
      <c r="G379" s="6"/>
      <c r="H379" s="11"/>
      <c r="I37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79" t="str">
        <f>IF(Table1[[#This Row],[Nationality]]="Nigeria",Table1[[#This Row],[EMJM Scholarship]],"Not Applicable")</f>
        <v>Not Applicable</v>
      </c>
    </row>
    <row r="380" spans="1:10" ht="19.25" hidden="1" customHeight="1" x14ac:dyDescent="0.3">
      <c r="A380" s="8">
        <v>2415813</v>
      </c>
      <c r="B380" s="6" t="s">
        <v>80</v>
      </c>
      <c r="C380" s="1" t="s">
        <v>9</v>
      </c>
      <c r="D380" s="1" t="s">
        <v>9</v>
      </c>
      <c r="E380" s="1" t="s">
        <v>9</v>
      </c>
      <c r="F380" s="6"/>
      <c r="G380" s="6"/>
      <c r="H380" s="11"/>
      <c r="I38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80" t="str">
        <f>IF(Table1[[#This Row],[Nationality]]="Nigeria",Table1[[#This Row],[EMJM Scholarship]],"Not Applicable")</f>
        <v>Not Applicable</v>
      </c>
    </row>
    <row r="381" spans="1:10" ht="19.25" hidden="1" customHeight="1" x14ac:dyDescent="0.3">
      <c r="A381" s="8">
        <v>2415824</v>
      </c>
      <c r="B381" s="6" t="s">
        <v>80</v>
      </c>
      <c r="C381" s="1" t="s">
        <v>9</v>
      </c>
      <c r="D381" s="1" t="s">
        <v>9</v>
      </c>
      <c r="E381" s="1" t="s">
        <v>9</v>
      </c>
      <c r="F381" s="6"/>
      <c r="G381" s="6"/>
      <c r="H381" s="11"/>
      <c r="I38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81" t="str">
        <f>IF(Table1[[#This Row],[Nationality]]="Nigeria",Table1[[#This Row],[EMJM Scholarship]],"Not Applicable")</f>
        <v>Not Applicable</v>
      </c>
    </row>
    <row r="382" spans="1:10" ht="19.25" hidden="1" customHeight="1" x14ac:dyDescent="0.3">
      <c r="A382" s="8">
        <v>2415885</v>
      </c>
      <c r="B382" s="6" t="s">
        <v>80</v>
      </c>
      <c r="C382" s="1" t="s">
        <v>9</v>
      </c>
      <c r="D382" s="1" t="s">
        <v>9</v>
      </c>
      <c r="E382" s="1" t="s">
        <v>9</v>
      </c>
      <c r="F382" s="6"/>
      <c r="G382" s="6"/>
      <c r="H382" s="11"/>
      <c r="I38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82" t="str">
        <f>IF(Table1[[#This Row],[Nationality]]="Nigeria",Table1[[#This Row],[EMJM Scholarship]],"Not Applicable")</f>
        <v>Not Applicable</v>
      </c>
    </row>
    <row r="383" spans="1:10" ht="19.25" hidden="1" customHeight="1" x14ac:dyDescent="0.3">
      <c r="A383" s="8">
        <v>2415908</v>
      </c>
      <c r="B383" s="6" t="s">
        <v>80</v>
      </c>
      <c r="C383" s="1" t="s">
        <v>9</v>
      </c>
      <c r="D383" s="1" t="s">
        <v>9</v>
      </c>
      <c r="E383" s="1" t="s">
        <v>9</v>
      </c>
      <c r="F383" s="6"/>
      <c r="G383" s="6"/>
      <c r="H383" s="11"/>
      <c r="I38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83" t="str">
        <f>IF(Table1[[#This Row],[Nationality]]="Nigeria",Table1[[#This Row],[EMJM Scholarship]],"Not Applicable")</f>
        <v>Not Applicable</v>
      </c>
    </row>
    <row r="384" spans="1:10" ht="19.25" hidden="1" customHeight="1" x14ac:dyDescent="0.3">
      <c r="A384" s="8">
        <v>2415911</v>
      </c>
      <c r="B384" s="6" t="s">
        <v>80</v>
      </c>
      <c r="C384" s="1" t="s">
        <v>9</v>
      </c>
      <c r="D384" s="1" t="s">
        <v>9</v>
      </c>
      <c r="E384" s="1" t="s">
        <v>9</v>
      </c>
      <c r="F384" s="6"/>
      <c r="G384" s="6"/>
      <c r="H384" s="11"/>
      <c r="I38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84" t="str">
        <f>IF(Table1[[#This Row],[Nationality]]="Nigeria",Table1[[#This Row],[EMJM Scholarship]],"Not Applicable")</f>
        <v>Not Applicable</v>
      </c>
    </row>
    <row r="385" spans="1:10" ht="19.25" hidden="1" customHeight="1" x14ac:dyDescent="0.3">
      <c r="A385" s="8">
        <v>2415929</v>
      </c>
      <c r="B385" s="6" t="s">
        <v>80</v>
      </c>
      <c r="C385" s="1" t="s">
        <v>9</v>
      </c>
      <c r="D385" s="1" t="s">
        <v>9</v>
      </c>
      <c r="E385" s="1" t="s">
        <v>9</v>
      </c>
      <c r="F385" s="6"/>
      <c r="G385" s="6"/>
      <c r="H385" s="11"/>
      <c r="I38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85" t="str">
        <f>IF(Table1[[#This Row],[Nationality]]="Nigeria",Table1[[#This Row],[EMJM Scholarship]],"Not Applicable")</f>
        <v>Not Applicable</v>
      </c>
    </row>
    <row r="386" spans="1:10" ht="19.25" hidden="1" customHeight="1" x14ac:dyDescent="0.3">
      <c r="A386" s="8">
        <v>2415930</v>
      </c>
      <c r="B386" s="6" t="s">
        <v>80</v>
      </c>
      <c r="C386" s="1" t="s">
        <v>9</v>
      </c>
      <c r="D386" s="1" t="s">
        <v>9</v>
      </c>
      <c r="E386" s="1" t="s">
        <v>9</v>
      </c>
      <c r="F386" s="6"/>
      <c r="G386" s="6"/>
      <c r="H386" s="11"/>
      <c r="I38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86" t="str">
        <f>IF(Table1[[#This Row],[Nationality]]="Nigeria",Table1[[#This Row],[EMJM Scholarship]],"Not Applicable")</f>
        <v>Not Applicable</v>
      </c>
    </row>
    <row r="387" spans="1:10" ht="19.25" hidden="1" customHeight="1" x14ac:dyDescent="0.3">
      <c r="A387" s="8">
        <v>2415940</v>
      </c>
      <c r="B387" s="6" t="s">
        <v>80</v>
      </c>
      <c r="C387" s="1" t="s">
        <v>9</v>
      </c>
      <c r="D387" s="1" t="s">
        <v>9</v>
      </c>
      <c r="E387" s="1" t="s">
        <v>9</v>
      </c>
      <c r="F387" s="6"/>
      <c r="G387" s="6"/>
      <c r="H387" s="11"/>
      <c r="I38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87" t="str">
        <f>IF(Table1[[#This Row],[Nationality]]="Nigeria",Table1[[#This Row],[EMJM Scholarship]],"Not Applicable")</f>
        <v>Not Applicable</v>
      </c>
    </row>
    <row r="388" spans="1:10" ht="19.25" hidden="1" customHeight="1" x14ac:dyDescent="0.3">
      <c r="A388" s="8">
        <v>2415989</v>
      </c>
      <c r="B388" s="6" t="s">
        <v>80</v>
      </c>
      <c r="C388" s="1" t="s">
        <v>9</v>
      </c>
      <c r="D388" s="1" t="s">
        <v>9</v>
      </c>
      <c r="E388" s="1" t="s">
        <v>9</v>
      </c>
      <c r="F388" s="6"/>
      <c r="G388" s="6"/>
      <c r="H388" s="11"/>
      <c r="I38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88" t="str">
        <f>IF(Table1[[#This Row],[Nationality]]="Nigeria",Table1[[#This Row],[EMJM Scholarship]],"Not Applicable")</f>
        <v>Not Applicable</v>
      </c>
    </row>
    <row r="389" spans="1:10" ht="19.25" hidden="1" customHeight="1" x14ac:dyDescent="0.3">
      <c r="A389" s="8">
        <v>2415997</v>
      </c>
      <c r="B389" s="6" t="s">
        <v>80</v>
      </c>
      <c r="C389" s="1" t="s">
        <v>9</v>
      </c>
      <c r="D389" s="1" t="s">
        <v>9</v>
      </c>
      <c r="E389" s="1" t="s">
        <v>9</v>
      </c>
      <c r="F389" s="6"/>
      <c r="G389" s="6"/>
      <c r="H389" s="11"/>
      <c r="I38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89" t="str">
        <f>IF(Table1[[#This Row],[Nationality]]="Nigeria",Table1[[#This Row],[EMJM Scholarship]],"Not Applicable")</f>
        <v>Not Applicable</v>
      </c>
    </row>
    <row r="390" spans="1:10" ht="19.25" hidden="1" customHeight="1" x14ac:dyDescent="0.3">
      <c r="A390" s="8">
        <v>2416014</v>
      </c>
      <c r="B390" s="6" t="s">
        <v>80</v>
      </c>
      <c r="C390" s="1" t="s">
        <v>9</v>
      </c>
      <c r="D390" s="1" t="s">
        <v>9</v>
      </c>
      <c r="E390" s="1" t="s">
        <v>9</v>
      </c>
      <c r="F390" s="6"/>
      <c r="G390" s="6"/>
      <c r="H390" s="11"/>
      <c r="I39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90" t="str">
        <f>IF(Table1[[#This Row],[Nationality]]="Nigeria",Table1[[#This Row],[EMJM Scholarship]],"Not Applicable")</f>
        <v>Not Applicable</v>
      </c>
    </row>
    <row r="391" spans="1:10" ht="19.25" hidden="1" customHeight="1" x14ac:dyDescent="0.3">
      <c r="A391" s="8">
        <v>2416081</v>
      </c>
      <c r="B391" s="6" t="s">
        <v>80</v>
      </c>
      <c r="C391" s="1" t="s">
        <v>9</v>
      </c>
      <c r="D391" s="1" t="s">
        <v>9</v>
      </c>
      <c r="E391" s="1" t="s">
        <v>9</v>
      </c>
      <c r="F391" s="6"/>
      <c r="G391" s="6"/>
      <c r="H391" s="11"/>
      <c r="I39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91" t="str">
        <f>IF(Table1[[#This Row],[Nationality]]="Nigeria",Table1[[#This Row],[EMJM Scholarship]],"Not Applicable")</f>
        <v>Not Applicable</v>
      </c>
    </row>
    <row r="392" spans="1:10" ht="19.25" hidden="1" customHeight="1" x14ac:dyDescent="0.3">
      <c r="A392" s="8">
        <v>2416101</v>
      </c>
      <c r="B392" s="6" t="s">
        <v>80</v>
      </c>
      <c r="C392" s="1" t="s">
        <v>9</v>
      </c>
      <c r="D392" s="1" t="s">
        <v>9</v>
      </c>
      <c r="E392" s="1" t="s">
        <v>9</v>
      </c>
      <c r="F392" s="6"/>
      <c r="G392" s="6"/>
      <c r="H392" s="11"/>
      <c r="I39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92" t="str">
        <f>IF(Table1[[#This Row],[Nationality]]="Nigeria",Table1[[#This Row],[EMJM Scholarship]],"Not Applicable")</f>
        <v>Not Applicable</v>
      </c>
    </row>
    <row r="393" spans="1:10" ht="19.25" hidden="1" customHeight="1" x14ac:dyDescent="0.3">
      <c r="A393" s="8">
        <v>2416119</v>
      </c>
      <c r="B393" s="6" t="s">
        <v>80</v>
      </c>
      <c r="C393" s="1" t="s">
        <v>9</v>
      </c>
      <c r="D393" s="1" t="s">
        <v>9</v>
      </c>
      <c r="E393" s="1" t="s">
        <v>9</v>
      </c>
      <c r="F393" s="6"/>
      <c r="G393" s="6"/>
      <c r="H393" s="11"/>
      <c r="I39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93" t="str">
        <f>IF(Table1[[#This Row],[Nationality]]="Nigeria",Table1[[#This Row],[EMJM Scholarship]],"Not Applicable")</f>
        <v>Not Applicable</v>
      </c>
    </row>
    <row r="394" spans="1:10" ht="19.25" hidden="1" customHeight="1" x14ac:dyDescent="0.3">
      <c r="A394" s="8">
        <v>2416162</v>
      </c>
      <c r="B394" s="6" t="s">
        <v>80</v>
      </c>
      <c r="C394" s="1" t="s">
        <v>9</v>
      </c>
      <c r="D394" s="1" t="s">
        <v>9</v>
      </c>
      <c r="E394" s="1" t="s">
        <v>9</v>
      </c>
      <c r="F394" s="6"/>
      <c r="G394" s="6"/>
      <c r="H394" s="11"/>
      <c r="I39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94" t="str">
        <f>IF(Table1[[#This Row],[Nationality]]="Nigeria",Table1[[#This Row],[EMJM Scholarship]],"Not Applicable")</f>
        <v>Not Applicable</v>
      </c>
    </row>
    <row r="395" spans="1:10" ht="19.25" hidden="1" customHeight="1" x14ac:dyDescent="0.3">
      <c r="A395" s="8">
        <v>2416193</v>
      </c>
      <c r="B395" s="6" t="s">
        <v>80</v>
      </c>
      <c r="C395" s="1" t="s">
        <v>9</v>
      </c>
      <c r="D395" s="1" t="s">
        <v>9</v>
      </c>
      <c r="E395" s="1" t="s">
        <v>9</v>
      </c>
      <c r="F395" s="6"/>
      <c r="G395" s="6"/>
      <c r="H395" s="11"/>
      <c r="I39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95" t="str">
        <f>IF(Table1[[#This Row],[Nationality]]="Nigeria",Table1[[#This Row],[EMJM Scholarship]],"Not Applicable")</f>
        <v>Not Applicable</v>
      </c>
    </row>
    <row r="396" spans="1:10" ht="19.25" hidden="1" customHeight="1" x14ac:dyDescent="0.3">
      <c r="A396" s="8">
        <v>2416204</v>
      </c>
      <c r="B396" s="6" t="s">
        <v>80</v>
      </c>
      <c r="C396" s="1" t="s">
        <v>9</v>
      </c>
      <c r="D396" s="1" t="s">
        <v>9</v>
      </c>
      <c r="E396" s="1" t="s">
        <v>9</v>
      </c>
      <c r="F396" s="6"/>
      <c r="G396" s="6"/>
      <c r="H396" s="11"/>
      <c r="I39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96" t="str">
        <f>IF(Table1[[#This Row],[Nationality]]="Nigeria",Table1[[#This Row],[EMJM Scholarship]],"Not Applicable")</f>
        <v>Not Applicable</v>
      </c>
    </row>
    <row r="397" spans="1:10" ht="19.25" hidden="1" customHeight="1" x14ac:dyDescent="0.3">
      <c r="A397" s="8">
        <v>2416213</v>
      </c>
      <c r="B397" s="6" t="s">
        <v>80</v>
      </c>
      <c r="C397" s="1" t="s">
        <v>9</v>
      </c>
      <c r="D397" s="1" t="s">
        <v>9</v>
      </c>
      <c r="E397" s="1" t="s">
        <v>9</v>
      </c>
      <c r="F397" s="6"/>
      <c r="G397" s="6"/>
      <c r="H397" s="11"/>
      <c r="I39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97" t="str">
        <f>IF(Table1[[#This Row],[Nationality]]="Nigeria",Table1[[#This Row],[EMJM Scholarship]],"Not Applicable")</f>
        <v>Not Applicable</v>
      </c>
    </row>
    <row r="398" spans="1:10" ht="19.25" hidden="1" customHeight="1" x14ac:dyDescent="0.3">
      <c r="A398" s="8">
        <v>2416215</v>
      </c>
      <c r="B398" s="6" t="s">
        <v>80</v>
      </c>
      <c r="C398" s="1" t="s">
        <v>9</v>
      </c>
      <c r="D398" s="1" t="s">
        <v>9</v>
      </c>
      <c r="E398" s="1" t="s">
        <v>9</v>
      </c>
      <c r="F398" s="6"/>
      <c r="G398" s="6"/>
      <c r="H398" s="11"/>
      <c r="I39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98" t="str">
        <f>IF(Table1[[#This Row],[Nationality]]="Nigeria",Table1[[#This Row],[EMJM Scholarship]],"Not Applicable")</f>
        <v>Not Applicable</v>
      </c>
    </row>
    <row r="399" spans="1:10" ht="19.25" hidden="1" customHeight="1" x14ac:dyDescent="0.3">
      <c r="A399" s="8">
        <v>2416236</v>
      </c>
      <c r="B399" s="6" t="s">
        <v>80</v>
      </c>
      <c r="C399" s="1" t="s">
        <v>9</v>
      </c>
      <c r="D399" s="1" t="s">
        <v>9</v>
      </c>
      <c r="E399" s="1" t="s">
        <v>9</v>
      </c>
      <c r="F399" s="6"/>
      <c r="G399" s="6"/>
      <c r="H399" s="11"/>
      <c r="I39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399" t="str">
        <f>IF(Table1[[#This Row],[Nationality]]="Nigeria",Table1[[#This Row],[EMJM Scholarship]],"Not Applicable")</f>
        <v>Not Applicable</v>
      </c>
    </row>
    <row r="400" spans="1:10" ht="19.25" hidden="1" customHeight="1" x14ac:dyDescent="0.3">
      <c r="A400" s="8">
        <v>2416442</v>
      </c>
      <c r="B400" s="6" t="s">
        <v>80</v>
      </c>
      <c r="C400" s="1" t="s">
        <v>9</v>
      </c>
      <c r="D400" s="1" t="s">
        <v>9</v>
      </c>
      <c r="E400" s="1" t="s">
        <v>9</v>
      </c>
      <c r="F400" s="6"/>
      <c r="G400" s="6"/>
      <c r="H400" s="11"/>
      <c r="I40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00" t="str">
        <f>IF(Table1[[#This Row],[Nationality]]="Nigeria",Table1[[#This Row],[EMJM Scholarship]],"Not Applicable")</f>
        <v>Not Applicable</v>
      </c>
    </row>
    <row r="401" spans="1:10" ht="19.25" hidden="1" customHeight="1" x14ac:dyDescent="0.3">
      <c r="A401" s="8">
        <v>2416455</v>
      </c>
      <c r="B401" s="6" t="s">
        <v>80</v>
      </c>
      <c r="C401" s="1" t="s">
        <v>9</v>
      </c>
      <c r="D401" s="1" t="s">
        <v>9</v>
      </c>
      <c r="E401" s="1" t="s">
        <v>9</v>
      </c>
      <c r="F401" s="6"/>
      <c r="G401" s="6"/>
      <c r="H401" s="11"/>
      <c r="I40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01" t="str">
        <f>IF(Table1[[#This Row],[Nationality]]="Nigeria",Table1[[#This Row],[EMJM Scholarship]],"Not Applicable")</f>
        <v>Not Applicable</v>
      </c>
    </row>
    <row r="402" spans="1:10" ht="19.25" hidden="1" customHeight="1" x14ac:dyDescent="0.3">
      <c r="A402" s="8">
        <v>2416474</v>
      </c>
      <c r="B402" s="6" t="s">
        <v>80</v>
      </c>
      <c r="C402" s="1" t="s">
        <v>9</v>
      </c>
      <c r="D402" s="1" t="s">
        <v>9</v>
      </c>
      <c r="E402" s="1" t="s">
        <v>9</v>
      </c>
      <c r="F402" s="6"/>
      <c r="G402" s="6"/>
      <c r="H402" s="11"/>
      <c r="I40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02" t="str">
        <f>IF(Table1[[#This Row],[Nationality]]="Nigeria",Table1[[#This Row],[EMJM Scholarship]],"Not Applicable")</f>
        <v>Not Applicable</v>
      </c>
    </row>
    <row r="403" spans="1:10" ht="19.25" hidden="1" customHeight="1" x14ac:dyDescent="0.3">
      <c r="A403" s="8">
        <v>2416479</v>
      </c>
      <c r="B403" s="6" t="s">
        <v>80</v>
      </c>
      <c r="C403" s="1" t="s">
        <v>9</v>
      </c>
      <c r="D403" s="1" t="s">
        <v>9</v>
      </c>
      <c r="E403" s="1" t="s">
        <v>9</v>
      </c>
      <c r="F403" s="6"/>
      <c r="G403" s="6"/>
      <c r="H403" s="11"/>
      <c r="I40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03" t="str">
        <f>IF(Table1[[#This Row],[Nationality]]="Nigeria",Table1[[#This Row],[EMJM Scholarship]],"Not Applicable")</f>
        <v>Not Applicable</v>
      </c>
    </row>
    <row r="404" spans="1:10" ht="19.25" hidden="1" customHeight="1" x14ac:dyDescent="0.3">
      <c r="A404" s="8">
        <v>2416812</v>
      </c>
      <c r="B404" s="6" t="s">
        <v>80</v>
      </c>
      <c r="C404" s="1" t="s">
        <v>9</v>
      </c>
      <c r="D404" s="1" t="s">
        <v>9</v>
      </c>
      <c r="E404" s="1" t="s">
        <v>9</v>
      </c>
      <c r="F404" s="6"/>
      <c r="G404" s="6"/>
      <c r="H404" s="11"/>
      <c r="I40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04" t="str">
        <f>IF(Table1[[#This Row],[Nationality]]="Nigeria",Table1[[#This Row],[EMJM Scholarship]],"Not Applicable")</f>
        <v>Not Applicable</v>
      </c>
    </row>
    <row r="405" spans="1:10" ht="19.25" hidden="1" customHeight="1" x14ac:dyDescent="0.3">
      <c r="A405" s="8">
        <v>2416937</v>
      </c>
      <c r="B405" s="6" t="s">
        <v>80</v>
      </c>
      <c r="C405" s="1" t="s">
        <v>9</v>
      </c>
      <c r="D405" s="1" t="s">
        <v>9</v>
      </c>
      <c r="E405" s="1" t="s">
        <v>9</v>
      </c>
      <c r="F405" s="6"/>
      <c r="G405" s="6"/>
      <c r="H405" s="11"/>
      <c r="I40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05" t="str">
        <f>IF(Table1[[#This Row],[Nationality]]="Nigeria",Table1[[#This Row],[EMJM Scholarship]],"Not Applicable")</f>
        <v>Not Applicable</v>
      </c>
    </row>
    <row r="406" spans="1:10" ht="19.25" hidden="1" customHeight="1" x14ac:dyDescent="0.3">
      <c r="A406" s="8">
        <v>2417051</v>
      </c>
      <c r="B406" s="6" t="s">
        <v>80</v>
      </c>
      <c r="C406" s="1" t="s">
        <v>9</v>
      </c>
      <c r="D406" s="1" t="s">
        <v>9</v>
      </c>
      <c r="E406" s="1" t="s">
        <v>9</v>
      </c>
      <c r="F406" s="6"/>
      <c r="G406" s="6"/>
      <c r="H406" s="11"/>
      <c r="I40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06" t="str">
        <f>IF(Table1[[#This Row],[Nationality]]="Nigeria",Table1[[#This Row],[EMJM Scholarship]],"Not Applicable")</f>
        <v>Not Applicable</v>
      </c>
    </row>
    <row r="407" spans="1:10" ht="19.25" hidden="1" customHeight="1" x14ac:dyDescent="0.3">
      <c r="A407" s="8">
        <v>2417139</v>
      </c>
      <c r="B407" s="6" t="s">
        <v>80</v>
      </c>
      <c r="C407" s="1" t="s">
        <v>9</v>
      </c>
      <c r="D407" s="1" t="s">
        <v>9</v>
      </c>
      <c r="E407" s="1" t="s">
        <v>9</v>
      </c>
      <c r="F407" s="6"/>
      <c r="G407" s="6"/>
      <c r="H407" s="11"/>
      <c r="I40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07" t="str">
        <f>IF(Table1[[#This Row],[Nationality]]="Nigeria",Table1[[#This Row],[EMJM Scholarship]],"Not Applicable")</f>
        <v>Not Applicable</v>
      </c>
    </row>
    <row r="408" spans="1:10" ht="19.25" hidden="1" customHeight="1" x14ac:dyDescent="0.3">
      <c r="A408" s="8">
        <v>2417143</v>
      </c>
      <c r="B408" s="6" t="s">
        <v>80</v>
      </c>
      <c r="C408" s="1" t="s">
        <v>9</v>
      </c>
      <c r="D408" s="1" t="s">
        <v>9</v>
      </c>
      <c r="E408" s="1" t="s">
        <v>9</v>
      </c>
      <c r="F408" s="6"/>
      <c r="G408" s="6"/>
      <c r="H408" s="11"/>
      <c r="I40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08" t="str">
        <f>IF(Table1[[#This Row],[Nationality]]="Nigeria",Table1[[#This Row],[EMJM Scholarship]],"Not Applicable")</f>
        <v>Not Applicable</v>
      </c>
    </row>
    <row r="409" spans="1:10" ht="19.25" hidden="1" customHeight="1" x14ac:dyDescent="0.3">
      <c r="A409" s="8">
        <v>2417166</v>
      </c>
      <c r="B409" s="6" t="s">
        <v>80</v>
      </c>
      <c r="C409" s="1" t="s">
        <v>9</v>
      </c>
      <c r="D409" s="1" t="s">
        <v>9</v>
      </c>
      <c r="E409" s="1" t="s">
        <v>9</v>
      </c>
      <c r="F409" s="6"/>
      <c r="G409" s="6"/>
      <c r="H409" s="11"/>
      <c r="I40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09" t="str">
        <f>IF(Table1[[#This Row],[Nationality]]="Nigeria",Table1[[#This Row],[EMJM Scholarship]],"Not Applicable")</f>
        <v>Not Applicable</v>
      </c>
    </row>
    <row r="410" spans="1:10" ht="19.25" hidden="1" customHeight="1" x14ac:dyDescent="0.3">
      <c r="A410" s="8">
        <v>2417242</v>
      </c>
      <c r="B410" s="6" t="s">
        <v>80</v>
      </c>
      <c r="C410" s="1" t="s">
        <v>9</v>
      </c>
      <c r="D410" s="1" t="s">
        <v>9</v>
      </c>
      <c r="E410" s="1" t="s">
        <v>9</v>
      </c>
      <c r="F410" s="6"/>
      <c r="G410" s="6"/>
      <c r="H410" s="11"/>
      <c r="I41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10" t="str">
        <f>IF(Table1[[#This Row],[Nationality]]="Nigeria",Table1[[#This Row],[EMJM Scholarship]],"Not Applicable")</f>
        <v>Not Applicable</v>
      </c>
    </row>
    <row r="411" spans="1:10" ht="19.25" hidden="1" customHeight="1" x14ac:dyDescent="0.3">
      <c r="A411" s="8">
        <v>2417263</v>
      </c>
      <c r="B411" s="6" t="s">
        <v>80</v>
      </c>
      <c r="C411" s="1" t="s">
        <v>9</v>
      </c>
      <c r="D411" s="1" t="s">
        <v>9</v>
      </c>
      <c r="E411" s="1" t="s">
        <v>9</v>
      </c>
      <c r="F411" s="6"/>
      <c r="G411" s="6"/>
      <c r="H411" s="11"/>
      <c r="I41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11" t="str">
        <f>IF(Table1[[#This Row],[Nationality]]="Nigeria",Table1[[#This Row],[EMJM Scholarship]],"Not Applicable")</f>
        <v>Not Applicable</v>
      </c>
    </row>
    <row r="412" spans="1:10" ht="19.25" hidden="1" customHeight="1" x14ac:dyDescent="0.3">
      <c r="A412" s="8">
        <v>2417307</v>
      </c>
      <c r="B412" s="6" t="s">
        <v>80</v>
      </c>
      <c r="C412" s="1" t="s">
        <v>9</v>
      </c>
      <c r="D412" s="1" t="s">
        <v>9</v>
      </c>
      <c r="E412" s="1" t="s">
        <v>9</v>
      </c>
      <c r="F412" s="6"/>
      <c r="G412" s="6"/>
      <c r="H412" s="11"/>
      <c r="I41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12" t="str">
        <f>IF(Table1[[#This Row],[Nationality]]="Nigeria",Table1[[#This Row],[EMJM Scholarship]],"Not Applicable")</f>
        <v>Not Applicable</v>
      </c>
    </row>
    <row r="413" spans="1:10" ht="19.25" hidden="1" customHeight="1" x14ac:dyDescent="0.3">
      <c r="A413" s="8">
        <v>2417389</v>
      </c>
      <c r="B413" s="6" t="s">
        <v>80</v>
      </c>
      <c r="C413" s="1" t="s">
        <v>9</v>
      </c>
      <c r="D413" s="1" t="s">
        <v>9</v>
      </c>
      <c r="E413" s="1" t="s">
        <v>9</v>
      </c>
      <c r="F413" s="6"/>
      <c r="G413" s="6"/>
      <c r="H413" s="11"/>
      <c r="I41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13" t="str">
        <f>IF(Table1[[#This Row],[Nationality]]="Nigeria",Table1[[#This Row],[EMJM Scholarship]],"Not Applicable")</f>
        <v>Not Applicable</v>
      </c>
    </row>
    <row r="414" spans="1:10" ht="19.25" hidden="1" customHeight="1" x14ac:dyDescent="0.3">
      <c r="A414" s="8">
        <v>2417398</v>
      </c>
      <c r="B414" s="6" t="s">
        <v>80</v>
      </c>
      <c r="C414" s="1" t="s">
        <v>9</v>
      </c>
      <c r="D414" s="1" t="s">
        <v>9</v>
      </c>
      <c r="E414" s="1" t="s">
        <v>9</v>
      </c>
      <c r="F414" s="6"/>
      <c r="G414" s="6"/>
      <c r="H414" s="11"/>
      <c r="I41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14" t="str">
        <f>IF(Table1[[#This Row],[Nationality]]="Nigeria",Table1[[#This Row],[EMJM Scholarship]],"Not Applicable")</f>
        <v>Not Applicable</v>
      </c>
    </row>
    <row r="415" spans="1:10" ht="19.25" hidden="1" customHeight="1" x14ac:dyDescent="0.3">
      <c r="A415" s="8">
        <v>2417458</v>
      </c>
      <c r="B415" s="6" t="s">
        <v>80</v>
      </c>
      <c r="C415" s="1" t="s">
        <v>9</v>
      </c>
      <c r="D415" s="1" t="s">
        <v>9</v>
      </c>
      <c r="E415" s="1" t="s">
        <v>9</v>
      </c>
      <c r="F415" s="6"/>
      <c r="G415" s="6"/>
      <c r="H415" s="11"/>
      <c r="I41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15" t="str">
        <f>IF(Table1[[#This Row],[Nationality]]="Nigeria",Table1[[#This Row],[EMJM Scholarship]],"Not Applicable")</f>
        <v>Not Applicable</v>
      </c>
    </row>
    <row r="416" spans="1:10" ht="19.25" hidden="1" customHeight="1" x14ac:dyDescent="0.3">
      <c r="A416" s="8">
        <v>2417462</v>
      </c>
      <c r="B416" s="6" t="s">
        <v>80</v>
      </c>
      <c r="C416" s="1" t="s">
        <v>9</v>
      </c>
      <c r="D416" s="1" t="s">
        <v>9</v>
      </c>
      <c r="E416" s="1" t="s">
        <v>9</v>
      </c>
      <c r="F416" s="6"/>
      <c r="G416" s="6"/>
      <c r="H416" s="11"/>
      <c r="I41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16" t="str">
        <f>IF(Table1[[#This Row],[Nationality]]="Nigeria",Table1[[#This Row],[EMJM Scholarship]],"Not Applicable")</f>
        <v>Not Applicable</v>
      </c>
    </row>
    <row r="417" spans="1:10" ht="19.25" hidden="1" customHeight="1" x14ac:dyDescent="0.3">
      <c r="A417" s="8">
        <v>2417496</v>
      </c>
      <c r="B417" s="6" t="s">
        <v>80</v>
      </c>
      <c r="C417" s="1" t="s">
        <v>9</v>
      </c>
      <c r="D417" s="1" t="s">
        <v>9</v>
      </c>
      <c r="E417" s="1" t="s">
        <v>9</v>
      </c>
      <c r="F417" s="6"/>
      <c r="G417" s="6"/>
      <c r="H417" s="11"/>
      <c r="I41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17" t="str">
        <f>IF(Table1[[#This Row],[Nationality]]="Nigeria",Table1[[#This Row],[EMJM Scholarship]],"Not Applicable")</f>
        <v>Not Applicable</v>
      </c>
    </row>
    <row r="418" spans="1:10" ht="19.25" hidden="1" customHeight="1" x14ac:dyDescent="0.3">
      <c r="A418" s="8">
        <v>2417507</v>
      </c>
      <c r="B418" s="6" t="s">
        <v>80</v>
      </c>
      <c r="C418" s="1" t="s">
        <v>9</v>
      </c>
      <c r="D418" s="1" t="s">
        <v>9</v>
      </c>
      <c r="E418" s="1" t="s">
        <v>9</v>
      </c>
      <c r="F418" s="6"/>
      <c r="G418" s="6"/>
      <c r="H418" s="11"/>
      <c r="I41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18" t="str">
        <f>IF(Table1[[#This Row],[Nationality]]="Nigeria",Table1[[#This Row],[EMJM Scholarship]],"Not Applicable")</f>
        <v>Not Applicable</v>
      </c>
    </row>
    <row r="419" spans="1:10" ht="19.25" hidden="1" customHeight="1" x14ac:dyDescent="0.3">
      <c r="A419" s="8">
        <v>2417508</v>
      </c>
      <c r="B419" s="6" t="s">
        <v>80</v>
      </c>
      <c r="C419" s="1" t="s">
        <v>9</v>
      </c>
      <c r="D419" s="1" t="s">
        <v>9</v>
      </c>
      <c r="E419" s="1" t="s">
        <v>9</v>
      </c>
      <c r="F419" s="6"/>
      <c r="G419" s="6"/>
      <c r="H419" s="11"/>
      <c r="I41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19" t="str">
        <f>IF(Table1[[#This Row],[Nationality]]="Nigeria",Table1[[#This Row],[EMJM Scholarship]],"Not Applicable")</f>
        <v>Not Applicable</v>
      </c>
    </row>
    <row r="420" spans="1:10" ht="19.25" hidden="1" customHeight="1" x14ac:dyDescent="0.3">
      <c r="A420" s="8">
        <v>2417509</v>
      </c>
      <c r="B420" s="6" t="s">
        <v>80</v>
      </c>
      <c r="C420" s="1" t="s">
        <v>9</v>
      </c>
      <c r="D420" s="1" t="s">
        <v>9</v>
      </c>
      <c r="E420" s="1" t="s">
        <v>9</v>
      </c>
      <c r="F420" s="6"/>
      <c r="G420" s="6"/>
      <c r="H420" s="11"/>
      <c r="I42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20" t="str">
        <f>IF(Table1[[#This Row],[Nationality]]="Nigeria",Table1[[#This Row],[EMJM Scholarship]],"Not Applicable")</f>
        <v>Not Applicable</v>
      </c>
    </row>
    <row r="421" spans="1:10" ht="19.25" hidden="1" customHeight="1" x14ac:dyDescent="0.3">
      <c r="A421" s="8">
        <v>2417561</v>
      </c>
      <c r="B421" s="6" t="s">
        <v>80</v>
      </c>
      <c r="C421" s="1" t="s">
        <v>9</v>
      </c>
      <c r="D421" s="1" t="s">
        <v>9</v>
      </c>
      <c r="E421" s="1" t="s">
        <v>9</v>
      </c>
      <c r="F421" s="6"/>
      <c r="G421" s="6"/>
      <c r="H421" s="11"/>
      <c r="I42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21" t="str">
        <f>IF(Table1[[#This Row],[Nationality]]="Nigeria",Table1[[#This Row],[EMJM Scholarship]],"Not Applicable")</f>
        <v>Not Applicable</v>
      </c>
    </row>
    <row r="422" spans="1:10" ht="19.25" hidden="1" customHeight="1" x14ac:dyDescent="0.3">
      <c r="A422" s="8">
        <v>2417626</v>
      </c>
      <c r="B422" s="6" t="s">
        <v>80</v>
      </c>
      <c r="C422" s="1" t="s">
        <v>9</v>
      </c>
      <c r="D422" s="1" t="s">
        <v>9</v>
      </c>
      <c r="E422" s="1" t="s">
        <v>9</v>
      </c>
      <c r="F422" s="6"/>
      <c r="G422" s="6"/>
      <c r="H422" s="11"/>
      <c r="I42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22" t="str">
        <f>IF(Table1[[#This Row],[Nationality]]="Nigeria",Table1[[#This Row],[EMJM Scholarship]],"Not Applicable")</f>
        <v>Not Applicable</v>
      </c>
    </row>
    <row r="423" spans="1:10" ht="19.25" hidden="1" customHeight="1" x14ac:dyDescent="0.3">
      <c r="A423" s="8">
        <v>2417791</v>
      </c>
      <c r="B423" s="6" t="s">
        <v>80</v>
      </c>
      <c r="C423" s="1" t="s">
        <v>9</v>
      </c>
      <c r="D423" s="1" t="s">
        <v>9</v>
      </c>
      <c r="E423" s="1" t="s">
        <v>9</v>
      </c>
      <c r="F423" s="6"/>
      <c r="G423" s="6"/>
      <c r="H423" s="11"/>
      <c r="I42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23" t="str">
        <f>IF(Table1[[#This Row],[Nationality]]="Nigeria",Table1[[#This Row],[EMJM Scholarship]],"Not Applicable")</f>
        <v>Not Applicable</v>
      </c>
    </row>
    <row r="424" spans="1:10" ht="19.25" hidden="1" customHeight="1" x14ac:dyDescent="0.3">
      <c r="A424" s="8">
        <v>2417853</v>
      </c>
      <c r="B424" s="6" t="s">
        <v>80</v>
      </c>
      <c r="C424" s="1" t="s">
        <v>9</v>
      </c>
      <c r="D424" s="1" t="s">
        <v>9</v>
      </c>
      <c r="E424" s="1" t="s">
        <v>9</v>
      </c>
      <c r="F424" s="6"/>
      <c r="G424" s="6"/>
      <c r="H424" s="11"/>
      <c r="I42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24" t="str">
        <f>IF(Table1[[#This Row],[Nationality]]="Nigeria",Table1[[#This Row],[EMJM Scholarship]],"Not Applicable")</f>
        <v>Not Applicable</v>
      </c>
    </row>
    <row r="425" spans="1:10" ht="19.25" hidden="1" customHeight="1" x14ac:dyDescent="0.3">
      <c r="A425" s="8">
        <v>2417904</v>
      </c>
      <c r="B425" s="6" t="s">
        <v>80</v>
      </c>
      <c r="C425" s="1" t="s">
        <v>9</v>
      </c>
      <c r="D425" s="1" t="s">
        <v>9</v>
      </c>
      <c r="E425" s="1" t="s">
        <v>9</v>
      </c>
      <c r="F425" s="6"/>
      <c r="G425" s="6"/>
      <c r="H425" s="11"/>
      <c r="I42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25" t="str">
        <f>IF(Table1[[#This Row],[Nationality]]="Nigeria",Table1[[#This Row],[EMJM Scholarship]],"Not Applicable")</f>
        <v>Not Applicable</v>
      </c>
    </row>
    <row r="426" spans="1:10" ht="19.25" hidden="1" customHeight="1" x14ac:dyDescent="0.3">
      <c r="A426" s="8">
        <v>2418085</v>
      </c>
      <c r="B426" s="6" t="s">
        <v>80</v>
      </c>
      <c r="C426" s="1" t="s">
        <v>9</v>
      </c>
      <c r="D426" s="1" t="s">
        <v>9</v>
      </c>
      <c r="E426" s="1" t="s">
        <v>9</v>
      </c>
      <c r="F426" s="6"/>
      <c r="G426" s="6"/>
      <c r="H426" s="11"/>
      <c r="I42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26" t="str">
        <f>IF(Table1[[#This Row],[Nationality]]="Nigeria",Table1[[#This Row],[EMJM Scholarship]],"Not Applicable")</f>
        <v>Not Applicable</v>
      </c>
    </row>
    <row r="427" spans="1:10" ht="19.25" hidden="1" customHeight="1" x14ac:dyDescent="0.3">
      <c r="A427" s="8">
        <v>2418090</v>
      </c>
      <c r="B427" s="6" t="s">
        <v>80</v>
      </c>
      <c r="C427" s="1" t="s">
        <v>9</v>
      </c>
      <c r="D427" s="1" t="s">
        <v>9</v>
      </c>
      <c r="E427" s="1" t="s">
        <v>9</v>
      </c>
      <c r="F427" s="6"/>
      <c r="G427" s="6"/>
      <c r="H427" s="11"/>
      <c r="I42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27" t="str">
        <f>IF(Table1[[#This Row],[Nationality]]="Nigeria",Table1[[#This Row],[EMJM Scholarship]],"Not Applicable")</f>
        <v>Not Applicable</v>
      </c>
    </row>
    <row r="428" spans="1:10" ht="19.25" hidden="1" customHeight="1" x14ac:dyDescent="0.3">
      <c r="A428" s="8">
        <v>2418175</v>
      </c>
      <c r="B428" s="6" t="s">
        <v>80</v>
      </c>
      <c r="C428" s="1" t="s">
        <v>9</v>
      </c>
      <c r="D428" s="1" t="s">
        <v>9</v>
      </c>
      <c r="E428" s="1" t="s">
        <v>9</v>
      </c>
      <c r="F428" s="6"/>
      <c r="G428" s="6"/>
      <c r="H428" s="11"/>
      <c r="I42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28" t="str">
        <f>IF(Table1[[#This Row],[Nationality]]="Nigeria",Table1[[#This Row],[EMJM Scholarship]],"Not Applicable")</f>
        <v>Not Applicable</v>
      </c>
    </row>
    <row r="429" spans="1:10" ht="19.25" hidden="1" customHeight="1" x14ac:dyDescent="0.3">
      <c r="A429" s="8">
        <v>2418277</v>
      </c>
      <c r="B429" s="6" t="s">
        <v>80</v>
      </c>
      <c r="C429" s="1" t="s">
        <v>9</v>
      </c>
      <c r="D429" s="1" t="s">
        <v>9</v>
      </c>
      <c r="E429" s="1" t="s">
        <v>9</v>
      </c>
      <c r="F429" s="6"/>
      <c r="G429" s="6"/>
      <c r="H429" s="11"/>
      <c r="I42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29" t="str">
        <f>IF(Table1[[#This Row],[Nationality]]="Nigeria",Table1[[#This Row],[EMJM Scholarship]],"Not Applicable")</f>
        <v>Not Applicable</v>
      </c>
    </row>
    <row r="430" spans="1:10" ht="19.25" hidden="1" customHeight="1" x14ac:dyDescent="0.3">
      <c r="A430" s="8">
        <v>2418381</v>
      </c>
      <c r="B430" s="6" t="s">
        <v>80</v>
      </c>
      <c r="C430" s="1" t="s">
        <v>9</v>
      </c>
      <c r="D430" s="1" t="s">
        <v>9</v>
      </c>
      <c r="E430" s="1" t="s">
        <v>9</v>
      </c>
      <c r="F430" s="6"/>
      <c r="G430" s="6"/>
      <c r="H430" s="11"/>
      <c r="I43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30" t="str">
        <f>IF(Table1[[#This Row],[Nationality]]="Nigeria",Table1[[#This Row],[EMJM Scholarship]],"Not Applicable")</f>
        <v>Not Applicable</v>
      </c>
    </row>
    <row r="431" spans="1:10" ht="19.25" hidden="1" customHeight="1" x14ac:dyDescent="0.3">
      <c r="A431" s="8">
        <v>2418465</v>
      </c>
      <c r="B431" s="6" t="s">
        <v>80</v>
      </c>
      <c r="C431" s="1" t="s">
        <v>9</v>
      </c>
      <c r="D431" s="1" t="s">
        <v>9</v>
      </c>
      <c r="E431" s="1" t="s">
        <v>9</v>
      </c>
      <c r="F431" s="6"/>
      <c r="G431" s="6"/>
      <c r="H431" s="11"/>
      <c r="I43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31" t="str">
        <f>IF(Table1[[#This Row],[Nationality]]="Nigeria",Table1[[#This Row],[EMJM Scholarship]],"Not Applicable")</f>
        <v>Not Applicable</v>
      </c>
    </row>
    <row r="432" spans="1:10" ht="19.25" hidden="1" customHeight="1" x14ac:dyDescent="0.3">
      <c r="A432" s="8">
        <v>2418488</v>
      </c>
      <c r="B432" s="6" t="s">
        <v>80</v>
      </c>
      <c r="C432" s="1" t="s">
        <v>9</v>
      </c>
      <c r="D432" s="1" t="s">
        <v>9</v>
      </c>
      <c r="E432" s="1" t="s">
        <v>9</v>
      </c>
      <c r="F432" s="6"/>
      <c r="G432" s="6"/>
      <c r="H432" s="11"/>
      <c r="I43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32" t="str">
        <f>IF(Table1[[#This Row],[Nationality]]="Nigeria",Table1[[#This Row],[EMJM Scholarship]],"Not Applicable")</f>
        <v>Not Applicable</v>
      </c>
    </row>
    <row r="433" spans="1:10" ht="19.25" hidden="1" customHeight="1" x14ac:dyDescent="0.3">
      <c r="A433" s="8">
        <v>2418508</v>
      </c>
      <c r="B433" s="6" t="s">
        <v>80</v>
      </c>
      <c r="C433" s="1" t="s">
        <v>9</v>
      </c>
      <c r="D433" s="1" t="s">
        <v>9</v>
      </c>
      <c r="E433" s="1" t="s">
        <v>9</v>
      </c>
      <c r="F433" s="6"/>
      <c r="G433" s="6"/>
      <c r="H433" s="11"/>
      <c r="I43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33" t="str">
        <f>IF(Table1[[#This Row],[Nationality]]="Nigeria",Table1[[#This Row],[EMJM Scholarship]],"Not Applicable")</f>
        <v>Not Applicable</v>
      </c>
    </row>
    <row r="434" spans="1:10" ht="19.25" hidden="1" customHeight="1" x14ac:dyDescent="0.3">
      <c r="A434" s="8">
        <v>2418575</v>
      </c>
      <c r="B434" s="6" t="s">
        <v>80</v>
      </c>
      <c r="C434" s="1" t="s">
        <v>9</v>
      </c>
      <c r="D434" s="1" t="s">
        <v>9</v>
      </c>
      <c r="E434" s="1" t="s">
        <v>9</v>
      </c>
      <c r="F434" s="6"/>
      <c r="G434" s="6"/>
      <c r="H434" s="11"/>
      <c r="I43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34" t="str">
        <f>IF(Table1[[#This Row],[Nationality]]="Nigeria",Table1[[#This Row],[EMJM Scholarship]],"Not Applicable")</f>
        <v>Not Applicable</v>
      </c>
    </row>
    <row r="435" spans="1:10" ht="19.25" hidden="1" customHeight="1" x14ac:dyDescent="0.3">
      <c r="A435" s="8">
        <v>2418647</v>
      </c>
      <c r="B435" s="6" t="s">
        <v>80</v>
      </c>
      <c r="C435" s="1" t="s">
        <v>9</v>
      </c>
      <c r="D435" s="1" t="s">
        <v>9</v>
      </c>
      <c r="E435" s="1" t="s">
        <v>9</v>
      </c>
      <c r="F435" s="6"/>
      <c r="G435" s="6"/>
      <c r="H435" s="11"/>
      <c r="I43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35" t="str">
        <f>IF(Table1[[#This Row],[Nationality]]="Nigeria",Table1[[#This Row],[EMJM Scholarship]],"Not Applicable")</f>
        <v>Not Applicable</v>
      </c>
    </row>
    <row r="436" spans="1:10" ht="19.25" hidden="1" customHeight="1" x14ac:dyDescent="0.3">
      <c r="A436" s="8">
        <v>2418672</v>
      </c>
      <c r="B436" s="6" t="s">
        <v>80</v>
      </c>
      <c r="C436" s="1" t="s">
        <v>9</v>
      </c>
      <c r="D436" s="1" t="s">
        <v>9</v>
      </c>
      <c r="E436" s="1" t="s">
        <v>9</v>
      </c>
      <c r="F436" s="6"/>
      <c r="G436" s="6"/>
      <c r="H436" s="11"/>
      <c r="I43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36" t="str">
        <f>IF(Table1[[#This Row],[Nationality]]="Nigeria",Table1[[#This Row],[EMJM Scholarship]],"Not Applicable")</f>
        <v>Not Applicable</v>
      </c>
    </row>
    <row r="437" spans="1:10" ht="19.25" hidden="1" customHeight="1" x14ac:dyDescent="0.3">
      <c r="A437" s="8">
        <v>2418681</v>
      </c>
      <c r="B437" s="6" t="s">
        <v>80</v>
      </c>
      <c r="C437" s="1" t="s">
        <v>9</v>
      </c>
      <c r="D437" s="1" t="s">
        <v>9</v>
      </c>
      <c r="E437" s="1" t="s">
        <v>9</v>
      </c>
      <c r="F437" s="6"/>
      <c r="G437" s="6"/>
      <c r="H437" s="11"/>
      <c r="I43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37" t="str">
        <f>IF(Table1[[#This Row],[Nationality]]="Nigeria",Table1[[#This Row],[EMJM Scholarship]],"Not Applicable")</f>
        <v>Not Applicable</v>
      </c>
    </row>
    <row r="438" spans="1:10" ht="19.25" hidden="1" customHeight="1" x14ac:dyDescent="0.3">
      <c r="A438" s="8">
        <v>2418706</v>
      </c>
      <c r="B438" s="6" t="s">
        <v>80</v>
      </c>
      <c r="C438" s="1" t="s">
        <v>9</v>
      </c>
      <c r="D438" s="1" t="s">
        <v>9</v>
      </c>
      <c r="E438" s="1" t="s">
        <v>9</v>
      </c>
      <c r="F438" s="6"/>
      <c r="G438" s="6"/>
      <c r="H438" s="11"/>
      <c r="I43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38" t="str">
        <f>IF(Table1[[#This Row],[Nationality]]="Nigeria",Table1[[#This Row],[EMJM Scholarship]],"Not Applicable")</f>
        <v>Not Applicable</v>
      </c>
    </row>
    <row r="439" spans="1:10" ht="19.25" hidden="1" customHeight="1" x14ac:dyDescent="0.3">
      <c r="A439" s="8">
        <v>2418726</v>
      </c>
      <c r="B439" s="6" t="s">
        <v>80</v>
      </c>
      <c r="C439" s="1" t="s">
        <v>9</v>
      </c>
      <c r="D439" s="1" t="s">
        <v>9</v>
      </c>
      <c r="E439" s="1" t="s">
        <v>9</v>
      </c>
      <c r="F439" s="6"/>
      <c r="G439" s="6"/>
      <c r="H439" s="11"/>
      <c r="I43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39" t="str">
        <f>IF(Table1[[#This Row],[Nationality]]="Nigeria",Table1[[#This Row],[EMJM Scholarship]],"Not Applicable")</f>
        <v>Not Applicable</v>
      </c>
    </row>
    <row r="440" spans="1:10" ht="19.25" hidden="1" customHeight="1" x14ac:dyDescent="0.3">
      <c r="A440" s="8">
        <v>2418765</v>
      </c>
      <c r="B440" s="6" t="s">
        <v>80</v>
      </c>
      <c r="C440" s="1" t="s">
        <v>9</v>
      </c>
      <c r="D440" s="1" t="s">
        <v>9</v>
      </c>
      <c r="E440" s="1" t="s">
        <v>9</v>
      </c>
      <c r="F440" s="6"/>
      <c r="G440" s="6"/>
      <c r="H440" s="11"/>
      <c r="I44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40" t="str">
        <f>IF(Table1[[#This Row],[Nationality]]="Nigeria",Table1[[#This Row],[EMJM Scholarship]],"Not Applicable")</f>
        <v>Not Applicable</v>
      </c>
    </row>
    <row r="441" spans="1:10" ht="19.25" hidden="1" customHeight="1" x14ac:dyDescent="0.3">
      <c r="A441" s="8">
        <v>2418789</v>
      </c>
      <c r="B441" s="6" t="s">
        <v>80</v>
      </c>
      <c r="C441" s="1" t="s">
        <v>9</v>
      </c>
      <c r="D441" s="1" t="s">
        <v>9</v>
      </c>
      <c r="E441" s="1" t="s">
        <v>9</v>
      </c>
      <c r="F441" s="6"/>
      <c r="G441" s="6"/>
      <c r="H441" s="11"/>
      <c r="I44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41" t="str">
        <f>IF(Table1[[#This Row],[Nationality]]="Nigeria",Table1[[#This Row],[EMJM Scholarship]],"Not Applicable")</f>
        <v>Not Applicable</v>
      </c>
    </row>
    <row r="442" spans="1:10" ht="19.25" hidden="1" customHeight="1" x14ac:dyDescent="0.3">
      <c r="A442" s="8">
        <v>2418874</v>
      </c>
      <c r="B442" s="6" t="s">
        <v>80</v>
      </c>
      <c r="C442" s="1" t="s">
        <v>9</v>
      </c>
      <c r="D442" s="1" t="s">
        <v>9</v>
      </c>
      <c r="E442" s="1" t="s">
        <v>9</v>
      </c>
      <c r="F442" s="6"/>
      <c r="G442" s="6"/>
      <c r="H442" s="11"/>
      <c r="I44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42" t="str">
        <f>IF(Table1[[#This Row],[Nationality]]="Nigeria",Table1[[#This Row],[EMJM Scholarship]],"Not Applicable")</f>
        <v>Not Applicable</v>
      </c>
    </row>
    <row r="443" spans="1:10" ht="19.25" hidden="1" customHeight="1" x14ac:dyDescent="0.3">
      <c r="A443" s="8">
        <v>2418925</v>
      </c>
      <c r="B443" s="6" t="s">
        <v>80</v>
      </c>
      <c r="C443" s="1" t="s">
        <v>9</v>
      </c>
      <c r="D443" s="1" t="s">
        <v>9</v>
      </c>
      <c r="E443" s="1" t="s">
        <v>9</v>
      </c>
      <c r="F443" s="6"/>
      <c r="G443" s="6"/>
      <c r="H443" s="11"/>
      <c r="I44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43" t="str">
        <f>IF(Table1[[#This Row],[Nationality]]="Nigeria",Table1[[#This Row],[EMJM Scholarship]],"Not Applicable")</f>
        <v>Not Applicable</v>
      </c>
    </row>
    <row r="444" spans="1:10" ht="19.25" hidden="1" customHeight="1" x14ac:dyDescent="0.3">
      <c r="A444" s="8">
        <v>2418995</v>
      </c>
      <c r="B444" s="6" t="s">
        <v>80</v>
      </c>
      <c r="C444" s="1" t="s">
        <v>9</v>
      </c>
      <c r="D444" s="1" t="s">
        <v>9</v>
      </c>
      <c r="E444" s="1" t="s">
        <v>9</v>
      </c>
      <c r="F444" s="6"/>
      <c r="G444" s="6"/>
      <c r="H444" s="11"/>
      <c r="I44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44" t="str">
        <f>IF(Table1[[#This Row],[Nationality]]="Nigeria",Table1[[#This Row],[EMJM Scholarship]],"Not Applicable")</f>
        <v>Not Applicable</v>
      </c>
    </row>
    <row r="445" spans="1:10" ht="19.25" hidden="1" customHeight="1" x14ac:dyDescent="0.3">
      <c r="A445" s="8">
        <v>2419014</v>
      </c>
      <c r="B445" s="6" t="s">
        <v>80</v>
      </c>
      <c r="C445" s="1" t="s">
        <v>9</v>
      </c>
      <c r="D445" s="1" t="s">
        <v>9</v>
      </c>
      <c r="E445" s="1" t="s">
        <v>9</v>
      </c>
      <c r="F445" s="6"/>
      <c r="G445" s="6"/>
      <c r="H445" s="11"/>
      <c r="I44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45" t="str">
        <f>IF(Table1[[#This Row],[Nationality]]="Nigeria",Table1[[#This Row],[EMJM Scholarship]],"Not Applicable")</f>
        <v>Not Applicable</v>
      </c>
    </row>
    <row r="446" spans="1:10" ht="19.25" hidden="1" customHeight="1" x14ac:dyDescent="0.3">
      <c r="A446" s="8">
        <v>2419288</v>
      </c>
      <c r="B446" s="6" t="s">
        <v>80</v>
      </c>
      <c r="C446" s="1" t="s">
        <v>9</v>
      </c>
      <c r="D446" s="1" t="s">
        <v>9</v>
      </c>
      <c r="E446" s="1" t="s">
        <v>9</v>
      </c>
      <c r="F446" s="6"/>
      <c r="G446" s="6"/>
      <c r="H446" s="11"/>
      <c r="I44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46" t="str">
        <f>IF(Table1[[#This Row],[Nationality]]="Nigeria",Table1[[#This Row],[EMJM Scholarship]],"Not Applicable")</f>
        <v>Not Applicable</v>
      </c>
    </row>
    <row r="447" spans="1:10" ht="19.25" hidden="1" customHeight="1" x14ac:dyDescent="0.3">
      <c r="A447" s="8">
        <v>2419307</v>
      </c>
      <c r="B447" s="6" t="s">
        <v>80</v>
      </c>
      <c r="C447" s="1" t="s">
        <v>9</v>
      </c>
      <c r="D447" s="1" t="s">
        <v>9</v>
      </c>
      <c r="E447" s="1" t="s">
        <v>9</v>
      </c>
      <c r="F447" s="6"/>
      <c r="G447" s="6"/>
      <c r="H447" s="11"/>
      <c r="I44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47" t="str">
        <f>IF(Table1[[#This Row],[Nationality]]="Nigeria",Table1[[#This Row],[EMJM Scholarship]],"Not Applicable")</f>
        <v>Not Applicable</v>
      </c>
    </row>
    <row r="448" spans="1:10" ht="19.25" hidden="1" customHeight="1" x14ac:dyDescent="0.3">
      <c r="A448" s="8">
        <v>2419319</v>
      </c>
      <c r="B448" s="6" t="s">
        <v>80</v>
      </c>
      <c r="C448" s="1" t="s">
        <v>9</v>
      </c>
      <c r="D448" s="1" t="s">
        <v>9</v>
      </c>
      <c r="E448" s="1" t="s">
        <v>9</v>
      </c>
      <c r="F448" s="6"/>
      <c r="G448" s="6"/>
      <c r="H448" s="11"/>
      <c r="I44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48" t="str">
        <f>IF(Table1[[#This Row],[Nationality]]="Nigeria",Table1[[#This Row],[EMJM Scholarship]],"Not Applicable")</f>
        <v>Not Applicable</v>
      </c>
    </row>
    <row r="449" spans="1:10" ht="19.25" hidden="1" customHeight="1" x14ac:dyDescent="0.3">
      <c r="A449" s="8">
        <v>2419522</v>
      </c>
      <c r="B449" s="6" t="s">
        <v>80</v>
      </c>
      <c r="C449" s="1" t="s">
        <v>9</v>
      </c>
      <c r="D449" s="1" t="s">
        <v>9</v>
      </c>
      <c r="E449" s="1" t="s">
        <v>9</v>
      </c>
      <c r="F449" s="6"/>
      <c r="G449" s="6"/>
      <c r="H449" s="11"/>
      <c r="I44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49" t="str">
        <f>IF(Table1[[#This Row],[Nationality]]="Nigeria",Table1[[#This Row],[EMJM Scholarship]],"Not Applicable")</f>
        <v>Not Applicable</v>
      </c>
    </row>
    <row r="450" spans="1:10" ht="19.25" hidden="1" customHeight="1" x14ac:dyDescent="0.3">
      <c r="A450" s="8">
        <v>2419607</v>
      </c>
      <c r="B450" s="6" t="s">
        <v>80</v>
      </c>
      <c r="C450" s="1" t="s">
        <v>9</v>
      </c>
      <c r="D450" s="1" t="s">
        <v>9</v>
      </c>
      <c r="E450" s="1" t="s">
        <v>9</v>
      </c>
      <c r="F450" s="6"/>
      <c r="G450" s="6"/>
      <c r="H450" s="11"/>
      <c r="I45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50" t="str">
        <f>IF(Table1[[#This Row],[Nationality]]="Nigeria",Table1[[#This Row],[EMJM Scholarship]],"Not Applicable")</f>
        <v>Not Applicable</v>
      </c>
    </row>
    <row r="451" spans="1:10" ht="19.25" hidden="1" customHeight="1" x14ac:dyDescent="0.3">
      <c r="A451" s="8">
        <v>2419661</v>
      </c>
      <c r="B451" s="6" t="s">
        <v>80</v>
      </c>
      <c r="C451" s="1" t="s">
        <v>9</v>
      </c>
      <c r="D451" s="1" t="s">
        <v>9</v>
      </c>
      <c r="E451" s="1" t="s">
        <v>9</v>
      </c>
      <c r="F451" s="6"/>
      <c r="G451" s="6"/>
      <c r="H451" s="11"/>
      <c r="I45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51" t="str">
        <f>IF(Table1[[#This Row],[Nationality]]="Nigeria",Table1[[#This Row],[EMJM Scholarship]],"Not Applicable")</f>
        <v>Not Applicable</v>
      </c>
    </row>
    <row r="452" spans="1:10" ht="19.25" hidden="1" customHeight="1" x14ac:dyDescent="0.3">
      <c r="A452" s="8">
        <v>2419689</v>
      </c>
      <c r="B452" s="6" t="s">
        <v>80</v>
      </c>
      <c r="C452" s="1" t="s">
        <v>9</v>
      </c>
      <c r="D452" s="1" t="s">
        <v>9</v>
      </c>
      <c r="E452" s="1" t="s">
        <v>9</v>
      </c>
      <c r="F452" s="6"/>
      <c r="G452" s="6"/>
      <c r="H452" s="11"/>
      <c r="I45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52" t="str">
        <f>IF(Table1[[#This Row],[Nationality]]="Nigeria",Table1[[#This Row],[EMJM Scholarship]],"Not Applicable")</f>
        <v>Not Applicable</v>
      </c>
    </row>
    <row r="453" spans="1:10" ht="19.25" hidden="1" customHeight="1" x14ac:dyDescent="0.3">
      <c r="A453" s="8">
        <v>2419804</v>
      </c>
      <c r="B453" s="6" t="s">
        <v>80</v>
      </c>
      <c r="C453" s="1" t="s">
        <v>9</v>
      </c>
      <c r="D453" s="1" t="s">
        <v>9</v>
      </c>
      <c r="E453" s="1" t="s">
        <v>9</v>
      </c>
      <c r="F453" s="6"/>
      <c r="G453" s="6"/>
      <c r="H453" s="11"/>
      <c r="I45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53" t="str">
        <f>IF(Table1[[#This Row],[Nationality]]="Nigeria",Table1[[#This Row],[EMJM Scholarship]],"Not Applicable")</f>
        <v>Not Applicable</v>
      </c>
    </row>
    <row r="454" spans="1:10" ht="19.25" hidden="1" customHeight="1" x14ac:dyDescent="0.3">
      <c r="A454" s="8">
        <v>2419826</v>
      </c>
      <c r="B454" s="6" t="s">
        <v>80</v>
      </c>
      <c r="C454" s="1" t="s">
        <v>9</v>
      </c>
      <c r="D454" s="1" t="s">
        <v>9</v>
      </c>
      <c r="E454" s="1" t="s">
        <v>9</v>
      </c>
      <c r="F454" s="6"/>
      <c r="G454" s="6"/>
      <c r="H454" s="11"/>
      <c r="I45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54" t="str">
        <f>IF(Table1[[#This Row],[Nationality]]="Nigeria",Table1[[#This Row],[EMJM Scholarship]],"Not Applicable")</f>
        <v>Not Applicable</v>
      </c>
    </row>
    <row r="455" spans="1:10" ht="19.25" hidden="1" customHeight="1" x14ac:dyDescent="0.3">
      <c r="A455" s="8">
        <v>2419830</v>
      </c>
      <c r="B455" s="6" t="s">
        <v>80</v>
      </c>
      <c r="C455" s="1" t="s">
        <v>9</v>
      </c>
      <c r="D455" s="1" t="s">
        <v>9</v>
      </c>
      <c r="E455" s="1" t="s">
        <v>9</v>
      </c>
      <c r="F455" s="6"/>
      <c r="G455" s="6"/>
      <c r="H455" s="11"/>
      <c r="I45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55" t="str">
        <f>IF(Table1[[#This Row],[Nationality]]="Nigeria",Table1[[#This Row],[EMJM Scholarship]],"Not Applicable")</f>
        <v>Not Applicable</v>
      </c>
    </row>
    <row r="456" spans="1:10" ht="19.25" hidden="1" customHeight="1" x14ac:dyDescent="0.3">
      <c r="A456" s="8">
        <v>2419841</v>
      </c>
      <c r="B456" s="6" t="s">
        <v>80</v>
      </c>
      <c r="C456" s="1" t="s">
        <v>9</v>
      </c>
      <c r="D456" s="1" t="s">
        <v>9</v>
      </c>
      <c r="E456" s="1" t="s">
        <v>9</v>
      </c>
      <c r="F456" s="6"/>
      <c r="G456" s="6"/>
      <c r="H456" s="11"/>
      <c r="I45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56" t="str">
        <f>IF(Table1[[#This Row],[Nationality]]="Nigeria",Table1[[#This Row],[EMJM Scholarship]],"Not Applicable")</f>
        <v>Not Applicable</v>
      </c>
    </row>
    <row r="457" spans="1:10" ht="19.25" hidden="1" customHeight="1" x14ac:dyDescent="0.3">
      <c r="A457" s="8">
        <v>2419849</v>
      </c>
      <c r="B457" s="6" t="s">
        <v>80</v>
      </c>
      <c r="C457" s="1" t="s">
        <v>9</v>
      </c>
      <c r="D457" s="1" t="s">
        <v>9</v>
      </c>
      <c r="E457" s="1" t="s">
        <v>9</v>
      </c>
      <c r="F457" s="6"/>
      <c r="G457" s="6"/>
      <c r="H457" s="11"/>
      <c r="I45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57" t="str">
        <f>IF(Table1[[#This Row],[Nationality]]="Nigeria",Table1[[#This Row],[EMJM Scholarship]],"Not Applicable")</f>
        <v>Not Applicable</v>
      </c>
    </row>
    <row r="458" spans="1:10" ht="19.25" hidden="1" customHeight="1" x14ac:dyDescent="0.3">
      <c r="A458" s="8">
        <v>2419857</v>
      </c>
      <c r="B458" s="6" t="s">
        <v>80</v>
      </c>
      <c r="C458" s="1" t="s">
        <v>9</v>
      </c>
      <c r="D458" s="1" t="s">
        <v>9</v>
      </c>
      <c r="E458" s="1" t="s">
        <v>9</v>
      </c>
      <c r="F458" s="6"/>
      <c r="G458" s="6"/>
      <c r="H458" s="11"/>
      <c r="I45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58" t="str">
        <f>IF(Table1[[#This Row],[Nationality]]="Nigeria",Table1[[#This Row],[EMJM Scholarship]],"Not Applicable")</f>
        <v>Not Applicable</v>
      </c>
    </row>
    <row r="459" spans="1:10" ht="19.25" hidden="1" customHeight="1" x14ac:dyDescent="0.3">
      <c r="A459" s="8">
        <v>2420072</v>
      </c>
      <c r="B459" s="6" t="s">
        <v>80</v>
      </c>
      <c r="C459" s="1" t="s">
        <v>9</v>
      </c>
      <c r="D459" s="1" t="s">
        <v>9</v>
      </c>
      <c r="E459" s="1" t="s">
        <v>9</v>
      </c>
      <c r="F459" s="6"/>
      <c r="G459" s="6"/>
      <c r="H459" s="11"/>
      <c r="I45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59" t="str">
        <f>IF(Table1[[#This Row],[Nationality]]="Nigeria",Table1[[#This Row],[EMJM Scholarship]],"Not Applicable")</f>
        <v>Not Applicable</v>
      </c>
    </row>
    <row r="460" spans="1:10" ht="19.25" hidden="1" customHeight="1" x14ac:dyDescent="0.3">
      <c r="A460" s="8">
        <v>2420395</v>
      </c>
      <c r="B460" s="6" t="s">
        <v>80</v>
      </c>
      <c r="C460" s="1" t="s">
        <v>9</v>
      </c>
      <c r="D460" s="1" t="s">
        <v>9</v>
      </c>
      <c r="E460" s="1" t="s">
        <v>9</v>
      </c>
      <c r="F460" s="6"/>
      <c r="G460" s="6"/>
      <c r="H460" s="11"/>
      <c r="I46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60" t="str">
        <f>IF(Table1[[#This Row],[Nationality]]="Nigeria",Table1[[#This Row],[EMJM Scholarship]],"Not Applicable")</f>
        <v>Not Applicable</v>
      </c>
    </row>
    <row r="461" spans="1:10" ht="19.25" hidden="1" customHeight="1" x14ac:dyDescent="0.3">
      <c r="A461" s="8">
        <v>2420561</v>
      </c>
      <c r="B461" s="6" t="s">
        <v>80</v>
      </c>
      <c r="C461" s="1" t="s">
        <v>9</v>
      </c>
      <c r="D461" s="1" t="s">
        <v>9</v>
      </c>
      <c r="E461" s="1" t="s">
        <v>9</v>
      </c>
      <c r="F461" s="6"/>
      <c r="G461" s="6"/>
      <c r="H461" s="11"/>
      <c r="I46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61" t="str">
        <f>IF(Table1[[#This Row],[Nationality]]="Nigeria",Table1[[#This Row],[EMJM Scholarship]],"Not Applicable")</f>
        <v>Not Applicable</v>
      </c>
    </row>
    <row r="462" spans="1:10" ht="19.25" hidden="1" customHeight="1" x14ac:dyDescent="0.3">
      <c r="A462" s="8">
        <v>2420642</v>
      </c>
      <c r="B462" s="6" t="s">
        <v>80</v>
      </c>
      <c r="C462" s="1" t="s">
        <v>9</v>
      </c>
      <c r="D462" s="1" t="s">
        <v>9</v>
      </c>
      <c r="E462" s="1" t="s">
        <v>9</v>
      </c>
      <c r="F462" s="6"/>
      <c r="G462" s="6"/>
      <c r="H462" s="11"/>
      <c r="I46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62" t="str">
        <f>IF(Table1[[#This Row],[Nationality]]="Nigeria",Table1[[#This Row],[EMJM Scholarship]],"Not Applicable")</f>
        <v>Not Applicable</v>
      </c>
    </row>
    <row r="463" spans="1:10" ht="19.25" hidden="1" customHeight="1" x14ac:dyDescent="0.3">
      <c r="A463" s="8">
        <v>2420643</v>
      </c>
      <c r="B463" s="6" t="s">
        <v>80</v>
      </c>
      <c r="C463" s="1" t="s">
        <v>9</v>
      </c>
      <c r="D463" s="1" t="s">
        <v>9</v>
      </c>
      <c r="E463" s="1" t="s">
        <v>9</v>
      </c>
      <c r="F463" s="6"/>
      <c r="G463" s="6"/>
      <c r="H463" s="11"/>
      <c r="I46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63" t="str">
        <f>IF(Table1[[#This Row],[Nationality]]="Nigeria",Table1[[#This Row],[EMJM Scholarship]],"Not Applicable")</f>
        <v>Not Applicable</v>
      </c>
    </row>
    <row r="464" spans="1:10" ht="19.25" hidden="1" customHeight="1" x14ac:dyDescent="0.3">
      <c r="A464" s="8">
        <v>2420770</v>
      </c>
      <c r="B464" s="6" t="s">
        <v>80</v>
      </c>
      <c r="C464" s="1" t="s">
        <v>9</v>
      </c>
      <c r="D464" s="1" t="s">
        <v>9</v>
      </c>
      <c r="E464" s="1" t="s">
        <v>9</v>
      </c>
      <c r="F464" s="6"/>
      <c r="G464" s="6"/>
      <c r="H464" s="11"/>
      <c r="I46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64" t="str">
        <f>IF(Table1[[#This Row],[Nationality]]="Nigeria",Table1[[#This Row],[EMJM Scholarship]],"Not Applicable")</f>
        <v>Not Applicable</v>
      </c>
    </row>
    <row r="465" spans="1:10" ht="19.25" hidden="1" customHeight="1" x14ac:dyDescent="0.3">
      <c r="A465" s="8">
        <v>2420783</v>
      </c>
      <c r="B465" s="6" t="s">
        <v>80</v>
      </c>
      <c r="C465" s="1" t="s">
        <v>9</v>
      </c>
      <c r="D465" s="1" t="s">
        <v>9</v>
      </c>
      <c r="E465" s="1" t="s">
        <v>9</v>
      </c>
      <c r="F465" s="6"/>
      <c r="G465" s="6"/>
      <c r="H465" s="11"/>
      <c r="I46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65" t="str">
        <f>IF(Table1[[#This Row],[Nationality]]="Nigeria",Table1[[#This Row],[EMJM Scholarship]],"Not Applicable")</f>
        <v>Not Applicable</v>
      </c>
    </row>
    <row r="466" spans="1:10" ht="19.25" hidden="1" customHeight="1" x14ac:dyDescent="0.3">
      <c r="A466" s="8">
        <v>2420812</v>
      </c>
      <c r="B466" s="6" t="s">
        <v>80</v>
      </c>
      <c r="C466" s="1" t="s">
        <v>9</v>
      </c>
      <c r="D466" s="1" t="s">
        <v>9</v>
      </c>
      <c r="E466" s="1" t="s">
        <v>9</v>
      </c>
      <c r="F466" s="6"/>
      <c r="G466" s="6"/>
      <c r="H466" s="11"/>
      <c r="I46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66" t="str">
        <f>IF(Table1[[#This Row],[Nationality]]="Nigeria",Table1[[#This Row],[EMJM Scholarship]],"Not Applicable")</f>
        <v>Not Applicable</v>
      </c>
    </row>
    <row r="467" spans="1:10" ht="19.25" hidden="1" customHeight="1" x14ac:dyDescent="0.3">
      <c r="A467" s="8">
        <v>2420876</v>
      </c>
      <c r="B467" s="6" t="s">
        <v>80</v>
      </c>
      <c r="C467" s="1" t="s">
        <v>9</v>
      </c>
      <c r="D467" s="1" t="s">
        <v>9</v>
      </c>
      <c r="E467" s="1" t="s">
        <v>9</v>
      </c>
      <c r="F467" s="6"/>
      <c r="G467" s="6"/>
      <c r="H467" s="11"/>
      <c r="I46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67" t="str">
        <f>IF(Table1[[#This Row],[Nationality]]="Nigeria",Table1[[#This Row],[EMJM Scholarship]],"Not Applicable")</f>
        <v>Not Applicable</v>
      </c>
    </row>
    <row r="468" spans="1:10" ht="19.25" hidden="1" customHeight="1" x14ac:dyDescent="0.3">
      <c r="A468" s="8">
        <v>2420885</v>
      </c>
      <c r="B468" s="6" t="s">
        <v>80</v>
      </c>
      <c r="C468" s="1" t="s">
        <v>9</v>
      </c>
      <c r="D468" s="1" t="s">
        <v>9</v>
      </c>
      <c r="E468" s="1" t="s">
        <v>9</v>
      </c>
      <c r="F468" s="6"/>
      <c r="G468" s="6"/>
      <c r="H468" s="11"/>
      <c r="I46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68" t="str">
        <f>IF(Table1[[#This Row],[Nationality]]="Nigeria",Table1[[#This Row],[EMJM Scholarship]],"Not Applicable")</f>
        <v>Not Applicable</v>
      </c>
    </row>
    <row r="469" spans="1:10" ht="19.25" hidden="1" customHeight="1" x14ac:dyDescent="0.3">
      <c r="A469" s="8">
        <v>2420903</v>
      </c>
      <c r="B469" s="6" t="s">
        <v>80</v>
      </c>
      <c r="C469" s="1" t="s">
        <v>9</v>
      </c>
      <c r="D469" s="1" t="s">
        <v>9</v>
      </c>
      <c r="E469" s="1" t="s">
        <v>9</v>
      </c>
      <c r="F469" s="6"/>
      <c r="G469" s="6"/>
      <c r="H469" s="11"/>
      <c r="I46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69" t="str">
        <f>IF(Table1[[#This Row],[Nationality]]="Nigeria",Table1[[#This Row],[EMJM Scholarship]],"Not Applicable")</f>
        <v>Not Applicable</v>
      </c>
    </row>
    <row r="470" spans="1:10" ht="19.25" hidden="1" customHeight="1" x14ac:dyDescent="0.3">
      <c r="A470" s="8">
        <v>2420904</v>
      </c>
      <c r="B470" s="6" t="s">
        <v>80</v>
      </c>
      <c r="C470" s="1" t="s">
        <v>9</v>
      </c>
      <c r="D470" s="1" t="s">
        <v>9</v>
      </c>
      <c r="E470" s="1" t="s">
        <v>9</v>
      </c>
      <c r="F470" s="6"/>
      <c r="G470" s="6"/>
      <c r="H470" s="11"/>
      <c r="I47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70" t="str">
        <f>IF(Table1[[#This Row],[Nationality]]="Nigeria",Table1[[#This Row],[EMJM Scholarship]],"Not Applicable")</f>
        <v>Not Applicable</v>
      </c>
    </row>
    <row r="471" spans="1:10" ht="19.25" hidden="1" customHeight="1" x14ac:dyDescent="0.3">
      <c r="A471" s="8">
        <v>2420941</v>
      </c>
      <c r="B471" s="6" t="s">
        <v>80</v>
      </c>
      <c r="C471" s="1" t="s">
        <v>9</v>
      </c>
      <c r="D471" s="1" t="s">
        <v>9</v>
      </c>
      <c r="E471" s="1" t="s">
        <v>9</v>
      </c>
      <c r="F471" s="6"/>
      <c r="G471" s="6"/>
      <c r="H471" s="11"/>
      <c r="I47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71" t="str">
        <f>IF(Table1[[#This Row],[Nationality]]="Nigeria",Table1[[#This Row],[EMJM Scholarship]],"Not Applicable")</f>
        <v>Not Applicable</v>
      </c>
    </row>
    <row r="472" spans="1:10" ht="19.25" hidden="1" customHeight="1" x14ac:dyDescent="0.3">
      <c r="A472" s="8">
        <v>2421051</v>
      </c>
      <c r="B472" s="6" t="s">
        <v>80</v>
      </c>
      <c r="C472" s="1" t="s">
        <v>9</v>
      </c>
      <c r="D472" s="1" t="s">
        <v>9</v>
      </c>
      <c r="E472" s="1" t="s">
        <v>9</v>
      </c>
      <c r="F472" s="6"/>
      <c r="G472" s="6"/>
      <c r="H472" s="11"/>
      <c r="I47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72" t="str">
        <f>IF(Table1[[#This Row],[Nationality]]="Nigeria",Table1[[#This Row],[EMJM Scholarship]],"Not Applicable")</f>
        <v>Not Applicable</v>
      </c>
    </row>
    <row r="473" spans="1:10" ht="19.25" hidden="1" customHeight="1" x14ac:dyDescent="0.3">
      <c r="A473" s="8">
        <v>2421101</v>
      </c>
      <c r="B473" s="6" t="s">
        <v>80</v>
      </c>
      <c r="C473" s="1" t="s">
        <v>9</v>
      </c>
      <c r="D473" s="1" t="s">
        <v>9</v>
      </c>
      <c r="E473" s="1" t="s">
        <v>9</v>
      </c>
      <c r="F473" s="6"/>
      <c r="G473" s="6"/>
      <c r="H473" s="11"/>
      <c r="I47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73" t="str">
        <f>IF(Table1[[#This Row],[Nationality]]="Nigeria",Table1[[#This Row],[EMJM Scholarship]],"Not Applicable")</f>
        <v>Not Applicable</v>
      </c>
    </row>
    <row r="474" spans="1:10" ht="19.25" hidden="1" customHeight="1" x14ac:dyDescent="0.3">
      <c r="A474" s="8">
        <v>2421149</v>
      </c>
      <c r="B474" s="6" t="s">
        <v>80</v>
      </c>
      <c r="C474" s="1" t="s">
        <v>9</v>
      </c>
      <c r="D474" s="1" t="s">
        <v>9</v>
      </c>
      <c r="E474" s="1" t="s">
        <v>9</v>
      </c>
      <c r="F474" s="6"/>
      <c r="G474" s="6"/>
      <c r="H474" s="11"/>
      <c r="I47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74" t="str">
        <f>IF(Table1[[#This Row],[Nationality]]="Nigeria",Table1[[#This Row],[EMJM Scholarship]],"Not Applicable")</f>
        <v>Not Applicable</v>
      </c>
    </row>
    <row r="475" spans="1:10" ht="19.25" hidden="1" customHeight="1" x14ac:dyDescent="0.3">
      <c r="A475" s="8">
        <v>2421153</v>
      </c>
      <c r="B475" s="6" t="s">
        <v>80</v>
      </c>
      <c r="C475" s="1" t="s">
        <v>9</v>
      </c>
      <c r="D475" s="1" t="s">
        <v>9</v>
      </c>
      <c r="E475" s="1" t="s">
        <v>9</v>
      </c>
      <c r="F475" s="6"/>
      <c r="G475" s="6"/>
      <c r="H475" s="11"/>
      <c r="I47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75" t="str">
        <f>IF(Table1[[#This Row],[Nationality]]="Nigeria",Table1[[#This Row],[EMJM Scholarship]],"Not Applicable")</f>
        <v>Not Applicable</v>
      </c>
    </row>
    <row r="476" spans="1:10" ht="19.25" hidden="1" customHeight="1" x14ac:dyDescent="0.3">
      <c r="A476" s="8">
        <v>2421302</v>
      </c>
      <c r="B476" s="6" t="s">
        <v>80</v>
      </c>
      <c r="C476" s="1" t="s">
        <v>9</v>
      </c>
      <c r="D476" s="1" t="s">
        <v>9</v>
      </c>
      <c r="E476" s="1" t="s">
        <v>9</v>
      </c>
      <c r="F476" s="6"/>
      <c r="G476" s="6"/>
      <c r="H476" s="11"/>
      <c r="I47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76" t="str">
        <f>IF(Table1[[#This Row],[Nationality]]="Nigeria",Table1[[#This Row],[EMJM Scholarship]],"Not Applicable")</f>
        <v>Not Applicable</v>
      </c>
    </row>
    <row r="477" spans="1:10" ht="19.25" hidden="1" customHeight="1" x14ac:dyDescent="0.3">
      <c r="A477" s="8">
        <v>2421317</v>
      </c>
      <c r="B477" s="6" t="s">
        <v>80</v>
      </c>
      <c r="C477" s="1" t="s">
        <v>9</v>
      </c>
      <c r="D477" s="1" t="s">
        <v>9</v>
      </c>
      <c r="E477" s="1" t="s">
        <v>9</v>
      </c>
      <c r="F477" s="6"/>
      <c r="G477" s="6"/>
      <c r="H477" s="11"/>
      <c r="I47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77" t="str">
        <f>IF(Table1[[#This Row],[Nationality]]="Nigeria",Table1[[#This Row],[EMJM Scholarship]],"Not Applicable")</f>
        <v>Not Applicable</v>
      </c>
    </row>
    <row r="478" spans="1:10" ht="19.25" hidden="1" customHeight="1" x14ac:dyDescent="0.3">
      <c r="A478" s="8">
        <v>2421365</v>
      </c>
      <c r="B478" s="6" t="s">
        <v>80</v>
      </c>
      <c r="C478" s="1" t="s">
        <v>9</v>
      </c>
      <c r="D478" s="1" t="s">
        <v>9</v>
      </c>
      <c r="E478" s="1" t="s">
        <v>9</v>
      </c>
      <c r="F478" s="6"/>
      <c r="G478" s="6"/>
      <c r="H478" s="11"/>
      <c r="I47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78" t="str">
        <f>IF(Table1[[#This Row],[Nationality]]="Nigeria",Table1[[#This Row],[EMJM Scholarship]],"Not Applicable")</f>
        <v>Not Applicable</v>
      </c>
    </row>
    <row r="479" spans="1:10" ht="19.25" hidden="1" customHeight="1" x14ac:dyDescent="0.3">
      <c r="A479" s="8">
        <v>2421486</v>
      </c>
      <c r="B479" s="6" t="s">
        <v>80</v>
      </c>
      <c r="C479" s="1" t="s">
        <v>9</v>
      </c>
      <c r="D479" s="1" t="s">
        <v>9</v>
      </c>
      <c r="E479" s="1" t="s">
        <v>9</v>
      </c>
      <c r="F479" s="6"/>
      <c r="G479" s="6"/>
      <c r="H479" s="11"/>
      <c r="I47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79" t="str">
        <f>IF(Table1[[#This Row],[Nationality]]="Nigeria",Table1[[#This Row],[EMJM Scholarship]],"Not Applicable")</f>
        <v>Not Applicable</v>
      </c>
    </row>
    <row r="480" spans="1:10" ht="19.25" hidden="1" customHeight="1" x14ac:dyDescent="0.3">
      <c r="A480" s="8">
        <v>2421663</v>
      </c>
      <c r="B480" s="6" t="s">
        <v>80</v>
      </c>
      <c r="C480" s="1" t="s">
        <v>9</v>
      </c>
      <c r="D480" s="1" t="s">
        <v>9</v>
      </c>
      <c r="E480" s="1" t="s">
        <v>9</v>
      </c>
      <c r="F480" s="6"/>
      <c r="G480" s="6"/>
      <c r="H480" s="11"/>
      <c r="I48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80" t="str">
        <f>IF(Table1[[#This Row],[Nationality]]="Nigeria",Table1[[#This Row],[EMJM Scholarship]],"Not Applicable")</f>
        <v>Not Applicable</v>
      </c>
    </row>
    <row r="481" spans="1:10" ht="19.25" hidden="1" customHeight="1" x14ac:dyDescent="0.3">
      <c r="A481" s="8">
        <v>2421682</v>
      </c>
      <c r="B481" s="6" t="s">
        <v>80</v>
      </c>
      <c r="C481" s="1" t="s">
        <v>9</v>
      </c>
      <c r="D481" s="1" t="s">
        <v>9</v>
      </c>
      <c r="E481" s="1" t="s">
        <v>9</v>
      </c>
      <c r="F481" s="6"/>
      <c r="G481" s="6"/>
      <c r="H481" s="11"/>
      <c r="I48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81" t="str">
        <f>IF(Table1[[#This Row],[Nationality]]="Nigeria",Table1[[#This Row],[EMJM Scholarship]],"Not Applicable")</f>
        <v>Not Applicable</v>
      </c>
    </row>
    <row r="482" spans="1:10" ht="19.25" hidden="1" customHeight="1" x14ac:dyDescent="0.3">
      <c r="A482" s="8">
        <v>2421763</v>
      </c>
      <c r="B482" s="6" t="s">
        <v>80</v>
      </c>
      <c r="C482" s="1" t="s">
        <v>9</v>
      </c>
      <c r="D482" s="1" t="s">
        <v>9</v>
      </c>
      <c r="E482" s="1" t="s">
        <v>9</v>
      </c>
      <c r="F482" s="6"/>
      <c r="G482" s="6"/>
      <c r="H482" s="11"/>
      <c r="I48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82" t="str">
        <f>IF(Table1[[#This Row],[Nationality]]="Nigeria",Table1[[#This Row],[EMJM Scholarship]],"Not Applicable")</f>
        <v>Not Applicable</v>
      </c>
    </row>
    <row r="483" spans="1:10" ht="19.25" hidden="1" customHeight="1" x14ac:dyDescent="0.3">
      <c r="A483" s="8">
        <v>2421771</v>
      </c>
      <c r="B483" s="6" t="s">
        <v>80</v>
      </c>
      <c r="C483" s="1" t="s">
        <v>9</v>
      </c>
      <c r="D483" s="1" t="s">
        <v>9</v>
      </c>
      <c r="E483" s="1" t="s">
        <v>9</v>
      </c>
      <c r="F483" s="6"/>
      <c r="G483" s="6"/>
      <c r="H483" s="11"/>
      <c r="I48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83" t="str">
        <f>IF(Table1[[#This Row],[Nationality]]="Nigeria",Table1[[#This Row],[EMJM Scholarship]],"Not Applicable")</f>
        <v>Not Applicable</v>
      </c>
    </row>
    <row r="484" spans="1:10" ht="19.25" hidden="1" customHeight="1" x14ac:dyDescent="0.3">
      <c r="A484" s="8">
        <v>2421793</v>
      </c>
      <c r="B484" s="6" t="s">
        <v>80</v>
      </c>
      <c r="C484" s="1" t="s">
        <v>9</v>
      </c>
      <c r="D484" s="1" t="s">
        <v>9</v>
      </c>
      <c r="E484" s="1" t="s">
        <v>9</v>
      </c>
      <c r="F484" s="6"/>
      <c r="G484" s="6"/>
      <c r="H484" s="11"/>
      <c r="I48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84" t="str">
        <f>IF(Table1[[#This Row],[Nationality]]="Nigeria",Table1[[#This Row],[EMJM Scholarship]],"Not Applicable")</f>
        <v>Not Applicable</v>
      </c>
    </row>
    <row r="485" spans="1:10" ht="19.25" hidden="1" customHeight="1" x14ac:dyDescent="0.3">
      <c r="A485" s="8">
        <v>2421836</v>
      </c>
      <c r="B485" s="6" t="s">
        <v>80</v>
      </c>
      <c r="C485" s="1" t="s">
        <v>9</v>
      </c>
      <c r="D485" s="1" t="s">
        <v>9</v>
      </c>
      <c r="E485" s="1" t="s">
        <v>9</v>
      </c>
      <c r="F485" s="6"/>
      <c r="G485" s="6"/>
      <c r="H485" s="11"/>
      <c r="I48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85" t="str">
        <f>IF(Table1[[#This Row],[Nationality]]="Nigeria",Table1[[#This Row],[EMJM Scholarship]],"Not Applicable")</f>
        <v>Not Applicable</v>
      </c>
    </row>
    <row r="486" spans="1:10" ht="19.25" hidden="1" customHeight="1" x14ac:dyDescent="0.3">
      <c r="A486" s="8">
        <v>2421847</v>
      </c>
      <c r="B486" s="6" t="s">
        <v>80</v>
      </c>
      <c r="C486" s="1" t="s">
        <v>9</v>
      </c>
      <c r="D486" s="1" t="s">
        <v>9</v>
      </c>
      <c r="E486" s="1" t="s">
        <v>9</v>
      </c>
      <c r="F486" s="6"/>
      <c r="G486" s="6"/>
      <c r="H486" s="11"/>
      <c r="I48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86" t="str">
        <f>IF(Table1[[#This Row],[Nationality]]="Nigeria",Table1[[#This Row],[EMJM Scholarship]],"Not Applicable")</f>
        <v>Not Applicable</v>
      </c>
    </row>
    <row r="487" spans="1:10" ht="19.25" hidden="1" customHeight="1" x14ac:dyDescent="0.3">
      <c r="A487" s="8">
        <v>2421848</v>
      </c>
      <c r="B487" s="6" t="s">
        <v>80</v>
      </c>
      <c r="C487" s="1" t="s">
        <v>9</v>
      </c>
      <c r="D487" s="1" t="s">
        <v>9</v>
      </c>
      <c r="E487" s="1" t="s">
        <v>9</v>
      </c>
      <c r="F487" s="6"/>
      <c r="G487" s="6"/>
      <c r="H487" s="11"/>
      <c r="I48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87" t="str">
        <f>IF(Table1[[#This Row],[Nationality]]="Nigeria",Table1[[#This Row],[EMJM Scholarship]],"Not Applicable")</f>
        <v>Not Applicable</v>
      </c>
    </row>
    <row r="488" spans="1:10" ht="19.25" hidden="1" customHeight="1" x14ac:dyDescent="0.3">
      <c r="A488" s="8">
        <v>2421852</v>
      </c>
      <c r="B488" s="6" t="s">
        <v>80</v>
      </c>
      <c r="C488" s="1" t="s">
        <v>9</v>
      </c>
      <c r="D488" s="1" t="s">
        <v>9</v>
      </c>
      <c r="E488" s="1" t="s">
        <v>9</v>
      </c>
      <c r="F488" s="6"/>
      <c r="G488" s="6"/>
      <c r="H488" s="11"/>
      <c r="I48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88" t="str">
        <f>IF(Table1[[#This Row],[Nationality]]="Nigeria",Table1[[#This Row],[EMJM Scholarship]],"Not Applicable")</f>
        <v>Not Applicable</v>
      </c>
    </row>
    <row r="489" spans="1:10" ht="19.25" hidden="1" customHeight="1" x14ac:dyDescent="0.3">
      <c r="A489" s="8">
        <v>2421855</v>
      </c>
      <c r="B489" s="6" t="s">
        <v>80</v>
      </c>
      <c r="C489" s="1" t="s">
        <v>9</v>
      </c>
      <c r="D489" s="1" t="s">
        <v>9</v>
      </c>
      <c r="E489" s="1" t="s">
        <v>9</v>
      </c>
      <c r="F489" s="6"/>
      <c r="G489" s="6"/>
      <c r="H489" s="11"/>
      <c r="I48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89" t="str">
        <f>IF(Table1[[#This Row],[Nationality]]="Nigeria",Table1[[#This Row],[EMJM Scholarship]],"Not Applicable")</f>
        <v>Not Applicable</v>
      </c>
    </row>
    <row r="490" spans="1:10" ht="19.25" hidden="1" customHeight="1" x14ac:dyDescent="0.3">
      <c r="A490" s="8">
        <v>2421861</v>
      </c>
      <c r="B490" s="6" t="s">
        <v>80</v>
      </c>
      <c r="C490" s="1" t="s">
        <v>9</v>
      </c>
      <c r="D490" s="1" t="s">
        <v>9</v>
      </c>
      <c r="E490" s="1" t="s">
        <v>9</v>
      </c>
      <c r="F490" s="6"/>
      <c r="G490" s="6"/>
      <c r="H490" s="11"/>
      <c r="I49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90" t="str">
        <f>IF(Table1[[#This Row],[Nationality]]="Nigeria",Table1[[#This Row],[EMJM Scholarship]],"Not Applicable")</f>
        <v>Not Applicable</v>
      </c>
    </row>
    <row r="491" spans="1:10" ht="19.25" hidden="1" customHeight="1" x14ac:dyDescent="0.3">
      <c r="A491" s="8">
        <v>2421863</v>
      </c>
      <c r="B491" s="6" t="s">
        <v>80</v>
      </c>
      <c r="C491" s="1" t="s">
        <v>9</v>
      </c>
      <c r="D491" s="1" t="s">
        <v>9</v>
      </c>
      <c r="E491" s="1" t="s">
        <v>9</v>
      </c>
      <c r="F491" s="6"/>
      <c r="G491" s="6"/>
      <c r="H491" s="11"/>
      <c r="I49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91" t="str">
        <f>IF(Table1[[#This Row],[Nationality]]="Nigeria",Table1[[#This Row],[EMJM Scholarship]],"Not Applicable")</f>
        <v>Not Applicable</v>
      </c>
    </row>
    <row r="492" spans="1:10" ht="19.25" hidden="1" customHeight="1" x14ac:dyDescent="0.3">
      <c r="A492" s="8">
        <v>2421866</v>
      </c>
      <c r="B492" s="6" t="s">
        <v>80</v>
      </c>
      <c r="C492" s="1" t="s">
        <v>9</v>
      </c>
      <c r="D492" s="1" t="s">
        <v>9</v>
      </c>
      <c r="E492" s="1" t="s">
        <v>9</v>
      </c>
      <c r="F492" s="6"/>
      <c r="G492" s="6"/>
      <c r="H492" s="11"/>
      <c r="I49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92" t="str">
        <f>IF(Table1[[#This Row],[Nationality]]="Nigeria",Table1[[#This Row],[EMJM Scholarship]],"Not Applicable")</f>
        <v>Not Applicable</v>
      </c>
    </row>
    <row r="493" spans="1:10" ht="19.25" hidden="1" customHeight="1" x14ac:dyDescent="0.3">
      <c r="A493" s="8">
        <v>2421879</v>
      </c>
      <c r="B493" s="6" t="s">
        <v>80</v>
      </c>
      <c r="C493" s="1" t="s">
        <v>9</v>
      </c>
      <c r="D493" s="1" t="s">
        <v>9</v>
      </c>
      <c r="E493" s="1" t="s">
        <v>9</v>
      </c>
      <c r="F493" s="6"/>
      <c r="G493" s="6"/>
      <c r="H493" s="11"/>
      <c r="I49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93" t="str">
        <f>IF(Table1[[#This Row],[Nationality]]="Nigeria",Table1[[#This Row],[EMJM Scholarship]],"Not Applicable")</f>
        <v>Not Applicable</v>
      </c>
    </row>
    <row r="494" spans="1:10" ht="19.25" hidden="1" customHeight="1" x14ac:dyDescent="0.3">
      <c r="A494" s="8">
        <v>2421896</v>
      </c>
      <c r="B494" s="6" t="s">
        <v>80</v>
      </c>
      <c r="C494" s="1" t="s">
        <v>9</v>
      </c>
      <c r="D494" s="1" t="s">
        <v>9</v>
      </c>
      <c r="E494" s="1" t="s">
        <v>9</v>
      </c>
      <c r="F494" s="6"/>
      <c r="G494" s="6"/>
      <c r="H494" s="11"/>
      <c r="I49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94" t="str">
        <f>IF(Table1[[#This Row],[Nationality]]="Nigeria",Table1[[#This Row],[EMJM Scholarship]],"Not Applicable")</f>
        <v>Not Applicable</v>
      </c>
    </row>
    <row r="495" spans="1:10" ht="19.25" hidden="1" customHeight="1" x14ac:dyDescent="0.3">
      <c r="A495" s="8">
        <v>2421913</v>
      </c>
      <c r="B495" s="6" t="s">
        <v>80</v>
      </c>
      <c r="C495" s="1" t="s">
        <v>9</v>
      </c>
      <c r="D495" s="1" t="s">
        <v>9</v>
      </c>
      <c r="E495" s="1" t="s">
        <v>9</v>
      </c>
      <c r="F495" s="6"/>
      <c r="G495" s="6"/>
      <c r="H495" s="11"/>
      <c r="I49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95" t="str">
        <f>IF(Table1[[#This Row],[Nationality]]="Nigeria",Table1[[#This Row],[EMJM Scholarship]],"Not Applicable")</f>
        <v>Not Applicable</v>
      </c>
    </row>
    <row r="496" spans="1:10" ht="19.25" hidden="1" customHeight="1" x14ac:dyDescent="0.3">
      <c r="A496" s="8">
        <v>2421929</v>
      </c>
      <c r="B496" s="6" t="s">
        <v>80</v>
      </c>
      <c r="C496" s="1" t="s">
        <v>9</v>
      </c>
      <c r="D496" s="1" t="s">
        <v>9</v>
      </c>
      <c r="E496" s="1" t="s">
        <v>9</v>
      </c>
      <c r="F496" s="6"/>
      <c r="G496" s="6"/>
      <c r="H496" s="11"/>
      <c r="I49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96" t="str">
        <f>IF(Table1[[#This Row],[Nationality]]="Nigeria",Table1[[#This Row],[EMJM Scholarship]],"Not Applicable")</f>
        <v>Not Applicable</v>
      </c>
    </row>
    <row r="497" spans="1:10" ht="19.25" hidden="1" customHeight="1" x14ac:dyDescent="0.3">
      <c r="A497" s="8">
        <v>2421979</v>
      </c>
      <c r="B497" s="6" t="s">
        <v>80</v>
      </c>
      <c r="C497" s="1" t="s">
        <v>9</v>
      </c>
      <c r="D497" s="1" t="s">
        <v>9</v>
      </c>
      <c r="E497" s="1" t="s">
        <v>9</v>
      </c>
      <c r="F497" s="6"/>
      <c r="G497" s="6"/>
      <c r="H497" s="11"/>
      <c r="I49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97" t="str">
        <f>IF(Table1[[#This Row],[Nationality]]="Nigeria",Table1[[#This Row],[EMJM Scholarship]],"Not Applicable")</f>
        <v>Not Applicable</v>
      </c>
    </row>
    <row r="498" spans="1:10" ht="19.25" hidden="1" customHeight="1" x14ac:dyDescent="0.3">
      <c r="A498" s="8">
        <v>2421981</v>
      </c>
      <c r="B498" s="6" t="s">
        <v>80</v>
      </c>
      <c r="C498" s="1" t="s">
        <v>9</v>
      </c>
      <c r="D498" s="1" t="s">
        <v>9</v>
      </c>
      <c r="E498" s="1" t="s">
        <v>9</v>
      </c>
      <c r="F498" s="6"/>
      <c r="G498" s="6"/>
      <c r="H498" s="11"/>
      <c r="I49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98" t="str">
        <f>IF(Table1[[#This Row],[Nationality]]="Nigeria",Table1[[#This Row],[EMJM Scholarship]],"Not Applicable")</f>
        <v>Not Applicable</v>
      </c>
    </row>
    <row r="499" spans="1:10" ht="19.25" hidden="1" customHeight="1" x14ac:dyDescent="0.3">
      <c r="A499" s="8">
        <v>2422008</v>
      </c>
      <c r="B499" s="6" t="s">
        <v>80</v>
      </c>
      <c r="C499" s="1" t="s">
        <v>9</v>
      </c>
      <c r="D499" s="1" t="s">
        <v>9</v>
      </c>
      <c r="E499" s="1" t="s">
        <v>9</v>
      </c>
      <c r="F499" s="6"/>
      <c r="G499" s="6"/>
      <c r="H499" s="11"/>
      <c r="I49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499" t="str">
        <f>IF(Table1[[#This Row],[Nationality]]="Nigeria",Table1[[#This Row],[EMJM Scholarship]],"Not Applicable")</f>
        <v>Not Applicable</v>
      </c>
    </row>
    <row r="500" spans="1:10" ht="19.25" hidden="1" customHeight="1" x14ac:dyDescent="0.3">
      <c r="A500" s="8">
        <v>2422025</v>
      </c>
      <c r="B500" s="6" t="s">
        <v>80</v>
      </c>
      <c r="C500" s="1" t="s">
        <v>9</v>
      </c>
      <c r="D500" s="1" t="s">
        <v>9</v>
      </c>
      <c r="E500" s="1" t="s">
        <v>9</v>
      </c>
      <c r="F500" s="6"/>
      <c r="G500" s="6"/>
      <c r="H500" s="11"/>
      <c r="I50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00" t="str">
        <f>IF(Table1[[#This Row],[Nationality]]="Nigeria",Table1[[#This Row],[EMJM Scholarship]],"Not Applicable")</f>
        <v>Not Applicable</v>
      </c>
    </row>
    <row r="501" spans="1:10" ht="19.25" hidden="1" customHeight="1" x14ac:dyDescent="0.3">
      <c r="A501" s="8">
        <v>2422174</v>
      </c>
      <c r="B501" s="6" t="s">
        <v>80</v>
      </c>
      <c r="C501" s="1" t="s">
        <v>9</v>
      </c>
      <c r="D501" s="1" t="s">
        <v>9</v>
      </c>
      <c r="E501" s="1" t="s">
        <v>9</v>
      </c>
      <c r="F501" s="6"/>
      <c r="G501" s="6"/>
      <c r="H501" s="11"/>
      <c r="I50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01" t="str">
        <f>IF(Table1[[#This Row],[Nationality]]="Nigeria",Table1[[#This Row],[EMJM Scholarship]],"Not Applicable")</f>
        <v>Not Applicable</v>
      </c>
    </row>
    <row r="502" spans="1:10" ht="19.25" hidden="1" customHeight="1" x14ac:dyDescent="0.3">
      <c r="A502" s="8">
        <v>2422219</v>
      </c>
      <c r="B502" s="6" t="s">
        <v>80</v>
      </c>
      <c r="C502" s="1" t="s">
        <v>9</v>
      </c>
      <c r="D502" s="1" t="s">
        <v>9</v>
      </c>
      <c r="E502" s="1" t="s">
        <v>9</v>
      </c>
      <c r="F502" s="6"/>
      <c r="G502" s="6"/>
      <c r="H502" s="11"/>
      <c r="I50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02" t="str">
        <f>IF(Table1[[#This Row],[Nationality]]="Nigeria",Table1[[#This Row],[EMJM Scholarship]],"Not Applicable")</f>
        <v>Not Applicable</v>
      </c>
    </row>
    <row r="503" spans="1:10" ht="19.25" hidden="1" customHeight="1" x14ac:dyDescent="0.3">
      <c r="A503" s="8">
        <v>2422239</v>
      </c>
      <c r="B503" s="6" t="s">
        <v>80</v>
      </c>
      <c r="C503" s="1" t="s">
        <v>9</v>
      </c>
      <c r="D503" s="1" t="s">
        <v>9</v>
      </c>
      <c r="E503" s="1" t="s">
        <v>9</v>
      </c>
      <c r="F503" s="6"/>
      <c r="G503" s="6"/>
      <c r="H503" s="11"/>
      <c r="I50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03" t="str">
        <f>IF(Table1[[#This Row],[Nationality]]="Nigeria",Table1[[#This Row],[EMJM Scholarship]],"Not Applicable")</f>
        <v>Not Applicable</v>
      </c>
    </row>
    <row r="504" spans="1:10" ht="19.25" hidden="1" customHeight="1" x14ac:dyDescent="0.3">
      <c r="A504" s="8">
        <v>2422271</v>
      </c>
      <c r="B504" s="6" t="s">
        <v>80</v>
      </c>
      <c r="C504" s="1" t="s">
        <v>9</v>
      </c>
      <c r="D504" s="1" t="s">
        <v>9</v>
      </c>
      <c r="E504" s="1" t="s">
        <v>9</v>
      </c>
      <c r="F504" s="6"/>
      <c r="G504" s="6"/>
      <c r="H504" s="11"/>
      <c r="I50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04" t="str">
        <f>IF(Table1[[#This Row],[Nationality]]="Nigeria",Table1[[#This Row],[EMJM Scholarship]],"Not Applicable")</f>
        <v>Not Applicable</v>
      </c>
    </row>
    <row r="505" spans="1:10" ht="19.25" hidden="1" customHeight="1" x14ac:dyDescent="0.3">
      <c r="A505" s="8">
        <v>2422351</v>
      </c>
      <c r="B505" s="6" t="s">
        <v>80</v>
      </c>
      <c r="C505" s="1" t="s">
        <v>9</v>
      </c>
      <c r="D505" s="1" t="s">
        <v>9</v>
      </c>
      <c r="E505" s="1" t="s">
        <v>9</v>
      </c>
      <c r="F505" s="6"/>
      <c r="G505" s="6"/>
      <c r="H505" s="11"/>
      <c r="I50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05" t="str">
        <f>IF(Table1[[#This Row],[Nationality]]="Nigeria",Table1[[#This Row],[EMJM Scholarship]],"Not Applicable")</f>
        <v>Not Applicable</v>
      </c>
    </row>
    <row r="506" spans="1:10" ht="19.25" hidden="1" customHeight="1" x14ac:dyDescent="0.3">
      <c r="A506" s="8">
        <v>2422358</v>
      </c>
      <c r="B506" s="6" t="s">
        <v>80</v>
      </c>
      <c r="C506" s="1" t="s">
        <v>9</v>
      </c>
      <c r="D506" s="1" t="s">
        <v>9</v>
      </c>
      <c r="E506" s="1" t="s">
        <v>9</v>
      </c>
      <c r="F506" s="6"/>
      <c r="G506" s="6"/>
      <c r="H506" s="11"/>
      <c r="I50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06" t="str">
        <f>IF(Table1[[#This Row],[Nationality]]="Nigeria",Table1[[#This Row],[EMJM Scholarship]],"Not Applicable")</f>
        <v>Not Applicable</v>
      </c>
    </row>
    <row r="507" spans="1:10" ht="19.25" hidden="1" customHeight="1" x14ac:dyDescent="0.3">
      <c r="A507" s="8">
        <v>2422386</v>
      </c>
      <c r="B507" s="6" t="s">
        <v>80</v>
      </c>
      <c r="C507" s="1" t="s">
        <v>9</v>
      </c>
      <c r="D507" s="1" t="s">
        <v>9</v>
      </c>
      <c r="E507" s="1" t="s">
        <v>9</v>
      </c>
      <c r="F507" s="6"/>
      <c r="G507" s="6"/>
      <c r="H507" s="11"/>
      <c r="I50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07" t="str">
        <f>IF(Table1[[#This Row],[Nationality]]="Nigeria",Table1[[#This Row],[EMJM Scholarship]],"Not Applicable")</f>
        <v>Not Applicable</v>
      </c>
    </row>
    <row r="508" spans="1:10" ht="19.25" hidden="1" customHeight="1" x14ac:dyDescent="0.3">
      <c r="A508" s="8">
        <v>2422398</v>
      </c>
      <c r="B508" s="6" t="s">
        <v>80</v>
      </c>
      <c r="C508" s="1" t="s">
        <v>9</v>
      </c>
      <c r="D508" s="1" t="s">
        <v>9</v>
      </c>
      <c r="E508" s="1" t="s">
        <v>9</v>
      </c>
      <c r="F508" s="6"/>
      <c r="G508" s="6"/>
      <c r="H508" s="11"/>
      <c r="I50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08" t="str">
        <f>IF(Table1[[#This Row],[Nationality]]="Nigeria",Table1[[#This Row],[EMJM Scholarship]],"Not Applicable")</f>
        <v>Not Applicable</v>
      </c>
    </row>
    <row r="509" spans="1:10" ht="19.25" hidden="1" customHeight="1" x14ac:dyDescent="0.3">
      <c r="A509" s="8">
        <v>2422399</v>
      </c>
      <c r="B509" s="6" t="s">
        <v>80</v>
      </c>
      <c r="C509" s="1" t="s">
        <v>9</v>
      </c>
      <c r="D509" s="1" t="s">
        <v>9</v>
      </c>
      <c r="E509" s="1" t="s">
        <v>9</v>
      </c>
      <c r="F509" s="6"/>
      <c r="G509" s="6"/>
      <c r="H509" s="11"/>
      <c r="I50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09" t="str">
        <f>IF(Table1[[#This Row],[Nationality]]="Nigeria",Table1[[#This Row],[EMJM Scholarship]],"Not Applicable")</f>
        <v>Not Applicable</v>
      </c>
    </row>
    <row r="510" spans="1:10" ht="19.25" hidden="1" customHeight="1" x14ac:dyDescent="0.3">
      <c r="A510" s="8">
        <v>2422404</v>
      </c>
      <c r="B510" s="6" t="s">
        <v>80</v>
      </c>
      <c r="C510" s="1" t="s">
        <v>9</v>
      </c>
      <c r="D510" s="1" t="s">
        <v>9</v>
      </c>
      <c r="E510" s="1" t="s">
        <v>9</v>
      </c>
      <c r="F510" s="6"/>
      <c r="G510" s="6"/>
      <c r="H510" s="11"/>
      <c r="I51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10" t="str">
        <f>IF(Table1[[#This Row],[Nationality]]="Nigeria",Table1[[#This Row],[EMJM Scholarship]],"Not Applicable")</f>
        <v>Not Applicable</v>
      </c>
    </row>
    <row r="511" spans="1:10" ht="19.25" hidden="1" customHeight="1" x14ac:dyDescent="0.3">
      <c r="A511" s="8">
        <v>2422431</v>
      </c>
      <c r="B511" s="6" t="s">
        <v>80</v>
      </c>
      <c r="C511" s="1" t="s">
        <v>9</v>
      </c>
      <c r="D511" s="1" t="s">
        <v>9</v>
      </c>
      <c r="E511" s="1" t="s">
        <v>9</v>
      </c>
      <c r="F511" s="6"/>
      <c r="G511" s="6"/>
      <c r="H511" s="11"/>
      <c r="I51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11" t="str">
        <f>IF(Table1[[#This Row],[Nationality]]="Nigeria",Table1[[#This Row],[EMJM Scholarship]],"Not Applicable")</f>
        <v>Not Applicable</v>
      </c>
    </row>
    <row r="512" spans="1:10" ht="19.25" hidden="1" customHeight="1" x14ac:dyDescent="0.3">
      <c r="A512" s="8">
        <v>2422447</v>
      </c>
      <c r="B512" s="6" t="s">
        <v>80</v>
      </c>
      <c r="C512" s="1" t="s">
        <v>9</v>
      </c>
      <c r="D512" s="1" t="s">
        <v>9</v>
      </c>
      <c r="E512" s="1" t="s">
        <v>9</v>
      </c>
      <c r="F512" s="6"/>
      <c r="G512" s="6"/>
      <c r="H512" s="11"/>
      <c r="I51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12" t="str">
        <f>IF(Table1[[#This Row],[Nationality]]="Nigeria",Table1[[#This Row],[EMJM Scholarship]],"Not Applicable")</f>
        <v>Not Applicable</v>
      </c>
    </row>
    <row r="513" spans="1:10" ht="19.25" hidden="1" customHeight="1" x14ac:dyDescent="0.3">
      <c r="A513" s="8">
        <v>2422478</v>
      </c>
      <c r="B513" s="6" t="s">
        <v>80</v>
      </c>
      <c r="C513" s="1" t="s">
        <v>9</v>
      </c>
      <c r="D513" s="1" t="s">
        <v>9</v>
      </c>
      <c r="E513" s="1" t="s">
        <v>9</v>
      </c>
      <c r="F513" s="6"/>
      <c r="G513" s="6"/>
      <c r="H513" s="11"/>
      <c r="I51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13" t="str">
        <f>IF(Table1[[#This Row],[Nationality]]="Nigeria",Table1[[#This Row],[EMJM Scholarship]],"Not Applicable")</f>
        <v>Not Applicable</v>
      </c>
    </row>
    <row r="514" spans="1:10" ht="19.25" hidden="1" customHeight="1" x14ac:dyDescent="0.3">
      <c r="A514" s="8">
        <v>2422524</v>
      </c>
      <c r="B514" s="6" t="s">
        <v>80</v>
      </c>
      <c r="C514" s="1" t="s">
        <v>9</v>
      </c>
      <c r="D514" s="1" t="s">
        <v>9</v>
      </c>
      <c r="E514" s="1" t="s">
        <v>9</v>
      </c>
      <c r="F514" s="6"/>
      <c r="G514" s="6"/>
      <c r="H514" s="11"/>
      <c r="I51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14" t="str">
        <f>IF(Table1[[#This Row],[Nationality]]="Nigeria",Table1[[#This Row],[EMJM Scholarship]],"Not Applicable")</f>
        <v>Not Applicable</v>
      </c>
    </row>
    <row r="515" spans="1:10" ht="19.25" hidden="1" customHeight="1" x14ac:dyDescent="0.3">
      <c r="A515" s="8">
        <v>2422576</v>
      </c>
      <c r="B515" s="6" t="s">
        <v>80</v>
      </c>
      <c r="C515" s="1" t="s">
        <v>9</v>
      </c>
      <c r="D515" s="1" t="s">
        <v>9</v>
      </c>
      <c r="E515" s="1" t="s">
        <v>9</v>
      </c>
      <c r="F515" s="6"/>
      <c r="G515" s="6"/>
      <c r="H515" s="11"/>
      <c r="I51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15" t="str">
        <f>IF(Table1[[#This Row],[Nationality]]="Nigeria",Table1[[#This Row],[EMJM Scholarship]],"Not Applicable")</f>
        <v>Not Applicable</v>
      </c>
    </row>
    <row r="516" spans="1:10" ht="19.25" hidden="1" customHeight="1" x14ac:dyDescent="0.3">
      <c r="A516" s="8">
        <v>2422613</v>
      </c>
      <c r="B516" s="6" t="s">
        <v>80</v>
      </c>
      <c r="C516" s="1" t="s">
        <v>9</v>
      </c>
      <c r="D516" s="1" t="s">
        <v>9</v>
      </c>
      <c r="E516" s="1" t="s">
        <v>9</v>
      </c>
      <c r="F516" s="6"/>
      <c r="G516" s="6"/>
      <c r="H516" s="11"/>
      <c r="I51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16" t="str">
        <f>IF(Table1[[#This Row],[Nationality]]="Nigeria",Table1[[#This Row],[EMJM Scholarship]],"Not Applicable")</f>
        <v>Not Applicable</v>
      </c>
    </row>
    <row r="517" spans="1:10" ht="19.25" hidden="1" customHeight="1" x14ac:dyDescent="0.3">
      <c r="A517" s="8">
        <v>2422626</v>
      </c>
      <c r="B517" s="6" t="s">
        <v>80</v>
      </c>
      <c r="C517" s="1" t="s">
        <v>9</v>
      </c>
      <c r="D517" s="1" t="s">
        <v>9</v>
      </c>
      <c r="E517" s="1" t="s">
        <v>9</v>
      </c>
      <c r="F517" s="6"/>
      <c r="G517" s="6"/>
      <c r="H517" s="11"/>
      <c r="I51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17" t="str">
        <f>IF(Table1[[#This Row],[Nationality]]="Nigeria",Table1[[#This Row],[EMJM Scholarship]],"Not Applicable")</f>
        <v>Not Applicable</v>
      </c>
    </row>
    <row r="518" spans="1:10" ht="19.25" hidden="1" customHeight="1" x14ac:dyDescent="0.3">
      <c r="A518" s="8">
        <v>2422689</v>
      </c>
      <c r="B518" s="6" t="s">
        <v>80</v>
      </c>
      <c r="C518" s="1" t="s">
        <v>9</v>
      </c>
      <c r="D518" s="1" t="s">
        <v>9</v>
      </c>
      <c r="E518" s="1" t="s">
        <v>9</v>
      </c>
      <c r="F518" s="6"/>
      <c r="G518" s="6"/>
      <c r="H518" s="11"/>
      <c r="I51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18" t="str">
        <f>IF(Table1[[#This Row],[Nationality]]="Nigeria",Table1[[#This Row],[EMJM Scholarship]],"Not Applicable")</f>
        <v>Not Applicable</v>
      </c>
    </row>
    <row r="519" spans="1:10" ht="19.25" hidden="1" customHeight="1" x14ac:dyDescent="0.3">
      <c r="A519" s="8">
        <v>2422752</v>
      </c>
      <c r="B519" s="6" t="s">
        <v>80</v>
      </c>
      <c r="C519" s="1" t="s">
        <v>9</v>
      </c>
      <c r="D519" s="1" t="s">
        <v>9</v>
      </c>
      <c r="E519" s="1" t="s">
        <v>9</v>
      </c>
      <c r="F519" s="6"/>
      <c r="G519" s="6"/>
      <c r="H519" s="11"/>
      <c r="I51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19" t="str">
        <f>IF(Table1[[#This Row],[Nationality]]="Nigeria",Table1[[#This Row],[EMJM Scholarship]],"Not Applicable")</f>
        <v>Not Applicable</v>
      </c>
    </row>
    <row r="520" spans="1:10" ht="19.25" hidden="1" customHeight="1" x14ac:dyDescent="0.3">
      <c r="A520" s="8">
        <v>2422766</v>
      </c>
      <c r="B520" s="6" t="s">
        <v>80</v>
      </c>
      <c r="C520" s="1" t="s">
        <v>9</v>
      </c>
      <c r="D520" s="1" t="s">
        <v>9</v>
      </c>
      <c r="E520" s="1" t="s">
        <v>9</v>
      </c>
      <c r="F520" s="6"/>
      <c r="G520" s="6"/>
      <c r="H520" s="11"/>
      <c r="I52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20" t="str">
        <f>IF(Table1[[#This Row],[Nationality]]="Nigeria",Table1[[#This Row],[EMJM Scholarship]],"Not Applicable")</f>
        <v>Not Applicable</v>
      </c>
    </row>
    <row r="521" spans="1:10" ht="19.25" hidden="1" customHeight="1" x14ac:dyDescent="0.3">
      <c r="A521" s="8">
        <v>2422843</v>
      </c>
      <c r="B521" s="6" t="s">
        <v>80</v>
      </c>
      <c r="C521" s="1" t="s">
        <v>9</v>
      </c>
      <c r="D521" s="1" t="s">
        <v>9</v>
      </c>
      <c r="E521" s="1" t="s">
        <v>9</v>
      </c>
      <c r="F521" s="6"/>
      <c r="G521" s="6"/>
      <c r="H521" s="11"/>
      <c r="I52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21" t="str">
        <f>IF(Table1[[#This Row],[Nationality]]="Nigeria",Table1[[#This Row],[EMJM Scholarship]],"Not Applicable")</f>
        <v>Not Applicable</v>
      </c>
    </row>
    <row r="522" spans="1:10" ht="19.25" hidden="1" customHeight="1" x14ac:dyDescent="0.3">
      <c r="A522" s="8">
        <v>2422863</v>
      </c>
      <c r="B522" s="6" t="s">
        <v>80</v>
      </c>
      <c r="C522" s="1" t="s">
        <v>9</v>
      </c>
      <c r="D522" s="1" t="s">
        <v>9</v>
      </c>
      <c r="E522" s="1" t="s">
        <v>9</v>
      </c>
      <c r="F522" s="6"/>
      <c r="G522" s="6"/>
      <c r="H522" s="11"/>
      <c r="I52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22" t="str">
        <f>IF(Table1[[#This Row],[Nationality]]="Nigeria",Table1[[#This Row],[EMJM Scholarship]],"Not Applicable")</f>
        <v>Not Applicable</v>
      </c>
    </row>
    <row r="523" spans="1:10" ht="19.25" hidden="1" customHeight="1" x14ac:dyDescent="0.3">
      <c r="A523" s="8">
        <v>2422909</v>
      </c>
      <c r="B523" s="6" t="s">
        <v>80</v>
      </c>
      <c r="C523" s="1" t="s">
        <v>9</v>
      </c>
      <c r="D523" s="1" t="s">
        <v>9</v>
      </c>
      <c r="E523" s="1" t="s">
        <v>9</v>
      </c>
      <c r="F523" s="6"/>
      <c r="G523" s="6"/>
      <c r="H523" s="11"/>
      <c r="I52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23" t="str">
        <f>IF(Table1[[#This Row],[Nationality]]="Nigeria",Table1[[#This Row],[EMJM Scholarship]],"Not Applicable")</f>
        <v>Not Applicable</v>
      </c>
    </row>
    <row r="524" spans="1:10" ht="19.25" hidden="1" customHeight="1" x14ac:dyDescent="0.3">
      <c r="A524" s="8">
        <v>2422950</v>
      </c>
      <c r="B524" s="6" t="s">
        <v>80</v>
      </c>
      <c r="C524" s="1" t="s">
        <v>9</v>
      </c>
      <c r="D524" s="1" t="s">
        <v>9</v>
      </c>
      <c r="E524" s="1" t="s">
        <v>9</v>
      </c>
      <c r="F524" s="6"/>
      <c r="G524" s="6"/>
      <c r="H524" s="11"/>
      <c r="I52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24" t="str">
        <f>IF(Table1[[#This Row],[Nationality]]="Nigeria",Table1[[#This Row],[EMJM Scholarship]],"Not Applicable")</f>
        <v>Not Applicable</v>
      </c>
    </row>
    <row r="525" spans="1:10" ht="19.25" hidden="1" customHeight="1" x14ac:dyDescent="0.3">
      <c r="A525" s="8">
        <v>2422958</v>
      </c>
      <c r="B525" s="6" t="s">
        <v>80</v>
      </c>
      <c r="C525" s="1" t="s">
        <v>9</v>
      </c>
      <c r="D525" s="1" t="s">
        <v>9</v>
      </c>
      <c r="E525" s="1" t="s">
        <v>9</v>
      </c>
      <c r="F525" s="6"/>
      <c r="G525" s="6"/>
      <c r="H525" s="11"/>
      <c r="I52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25" t="str">
        <f>IF(Table1[[#This Row],[Nationality]]="Nigeria",Table1[[#This Row],[EMJM Scholarship]],"Not Applicable")</f>
        <v>Not Applicable</v>
      </c>
    </row>
    <row r="526" spans="1:10" ht="19.25" hidden="1" customHeight="1" x14ac:dyDescent="0.3">
      <c r="A526" s="8">
        <v>2422963</v>
      </c>
      <c r="B526" s="6" t="s">
        <v>80</v>
      </c>
      <c r="C526" s="1" t="s">
        <v>9</v>
      </c>
      <c r="D526" s="1" t="s">
        <v>9</v>
      </c>
      <c r="E526" s="1" t="s">
        <v>9</v>
      </c>
      <c r="F526" s="6"/>
      <c r="G526" s="6"/>
      <c r="H526" s="11"/>
      <c r="I52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26" t="str">
        <f>IF(Table1[[#This Row],[Nationality]]="Nigeria",Table1[[#This Row],[EMJM Scholarship]],"Not Applicable")</f>
        <v>Not Applicable</v>
      </c>
    </row>
    <row r="527" spans="1:10" ht="19.25" hidden="1" customHeight="1" x14ac:dyDescent="0.3">
      <c r="A527" s="8">
        <v>2422965</v>
      </c>
      <c r="B527" s="6" t="s">
        <v>80</v>
      </c>
      <c r="C527" s="1" t="s">
        <v>9</v>
      </c>
      <c r="D527" s="1" t="s">
        <v>9</v>
      </c>
      <c r="E527" s="1" t="s">
        <v>9</v>
      </c>
      <c r="F527" s="6"/>
      <c r="G527" s="6"/>
      <c r="H527" s="11"/>
      <c r="I52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27" t="str">
        <f>IF(Table1[[#This Row],[Nationality]]="Nigeria",Table1[[#This Row],[EMJM Scholarship]],"Not Applicable")</f>
        <v>Not Applicable</v>
      </c>
    </row>
    <row r="528" spans="1:10" ht="19.25" hidden="1" customHeight="1" x14ac:dyDescent="0.3">
      <c r="A528" s="8">
        <v>2423454</v>
      </c>
      <c r="B528" s="6" t="s">
        <v>80</v>
      </c>
      <c r="C528" s="1" t="s">
        <v>9</v>
      </c>
      <c r="D528" s="1" t="s">
        <v>9</v>
      </c>
      <c r="E528" s="1" t="s">
        <v>9</v>
      </c>
      <c r="F528" s="6"/>
      <c r="G528" s="6"/>
      <c r="H528" s="11"/>
      <c r="I52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28" t="str">
        <f>IF(Table1[[#This Row],[Nationality]]="Nigeria",Table1[[#This Row],[EMJM Scholarship]],"Not Applicable")</f>
        <v>Not Applicable</v>
      </c>
    </row>
    <row r="529" spans="1:10" ht="19.25" hidden="1" customHeight="1" x14ac:dyDescent="0.3">
      <c r="A529" s="8">
        <v>2423640</v>
      </c>
      <c r="B529" s="6" t="s">
        <v>80</v>
      </c>
      <c r="C529" s="1" t="s">
        <v>9</v>
      </c>
      <c r="D529" s="1" t="s">
        <v>9</v>
      </c>
      <c r="E529" s="1" t="s">
        <v>9</v>
      </c>
      <c r="F529" s="6"/>
      <c r="G529" s="6"/>
      <c r="H529" s="11"/>
      <c r="I52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29" t="str">
        <f>IF(Table1[[#This Row],[Nationality]]="Nigeria",Table1[[#This Row],[EMJM Scholarship]],"Not Applicable")</f>
        <v>Not Applicable</v>
      </c>
    </row>
    <row r="530" spans="1:10" ht="19.25" hidden="1" customHeight="1" x14ac:dyDescent="0.3">
      <c r="A530" s="8">
        <v>2423656</v>
      </c>
      <c r="B530" s="6" t="s">
        <v>80</v>
      </c>
      <c r="C530" s="1" t="s">
        <v>9</v>
      </c>
      <c r="D530" s="1" t="s">
        <v>9</v>
      </c>
      <c r="E530" s="1" t="s">
        <v>9</v>
      </c>
      <c r="F530" s="6"/>
      <c r="G530" s="6"/>
      <c r="H530" s="11"/>
      <c r="I53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30" t="str">
        <f>IF(Table1[[#This Row],[Nationality]]="Nigeria",Table1[[#This Row],[EMJM Scholarship]],"Not Applicable")</f>
        <v>Not Applicable</v>
      </c>
    </row>
    <row r="531" spans="1:10" ht="19.25" hidden="1" customHeight="1" x14ac:dyDescent="0.3">
      <c r="A531" s="8">
        <v>2423680</v>
      </c>
      <c r="B531" s="6" t="s">
        <v>80</v>
      </c>
      <c r="C531" s="1" t="s">
        <v>9</v>
      </c>
      <c r="D531" s="1" t="s">
        <v>9</v>
      </c>
      <c r="E531" s="1" t="s">
        <v>9</v>
      </c>
      <c r="F531" s="6"/>
      <c r="G531" s="6"/>
      <c r="H531" s="11"/>
      <c r="I53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31" t="str">
        <f>IF(Table1[[#This Row],[Nationality]]="Nigeria",Table1[[#This Row],[EMJM Scholarship]],"Not Applicable")</f>
        <v>Not Applicable</v>
      </c>
    </row>
    <row r="532" spans="1:10" ht="19.25" hidden="1" customHeight="1" x14ac:dyDescent="0.3">
      <c r="A532" s="8">
        <v>2424081</v>
      </c>
      <c r="B532" s="6" t="s">
        <v>80</v>
      </c>
      <c r="C532" s="1" t="s">
        <v>9</v>
      </c>
      <c r="D532" s="1" t="s">
        <v>9</v>
      </c>
      <c r="E532" s="1" t="s">
        <v>9</v>
      </c>
      <c r="F532" s="6"/>
      <c r="G532" s="6"/>
      <c r="H532" s="11"/>
      <c r="I53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32" t="str">
        <f>IF(Table1[[#This Row],[Nationality]]="Nigeria",Table1[[#This Row],[EMJM Scholarship]],"Not Applicable")</f>
        <v>Not Applicable</v>
      </c>
    </row>
    <row r="533" spans="1:10" ht="19.25" hidden="1" customHeight="1" x14ac:dyDescent="0.3">
      <c r="A533" s="8">
        <v>2424286</v>
      </c>
      <c r="B533" s="6" t="s">
        <v>80</v>
      </c>
      <c r="C533" s="1" t="s">
        <v>9</v>
      </c>
      <c r="D533" s="1" t="s">
        <v>9</v>
      </c>
      <c r="E533" s="1" t="s">
        <v>9</v>
      </c>
      <c r="F533" s="6"/>
      <c r="G533" s="6"/>
      <c r="H533" s="11"/>
      <c r="I53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33" t="str">
        <f>IF(Table1[[#This Row],[Nationality]]="Nigeria",Table1[[#This Row],[EMJM Scholarship]],"Not Applicable")</f>
        <v>Not Applicable</v>
      </c>
    </row>
    <row r="534" spans="1:10" ht="19.25" hidden="1" customHeight="1" x14ac:dyDescent="0.3">
      <c r="A534" s="8">
        <v>2424315</v>
      </c>
      <c r="B534" s="6" t="s">
        <v>80</v>
      </c>
      <c r="C534" s="1" t="s">
        <v>9</v>
      </c>
      <c r="D534" s="1" t="s">
        <v>9</v>
      </c>
      <c r="E534" s="1" t="s">
        <v>9</v>
      </c>
      <c r="F534" s="6"/>
      <c r="G534" s="6"/>
      <c r="H534" s="11"/>
      <c r="I53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34" t="str">
        <f>IF(Table1[[#This Row],[Nationality]]="Nigeria",Table1[[#This Row],[EMJM Scholarship]],"Not Applicable")</f>
        <v>Not Applicable</v>
      </c>
    </row>
    <row r="535" spans="1:10" ht="19.25" hidden="1" customHeight="1" x14ac:dyDescent="0.3">
      <c r="A535" s="8">
        <v>2424539</v>
      </c>
      <c r="B535" s="6" t="s">
        <v>80</v>
      </c>
      <c r="C535" s="1" t="s">
        <v>9</v>
      </c>
      <c r="D535" s="1" t="s">
        <v>9</v>
      </c>
      <c r="E535" s="1" t="s">
        <v>9</v>
      </c>
      <c r="F535" s="6"/>
      <c r="G535" s="6"/>
      <c r="H535" s="11"/>
      <c r="I53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35" t="str">
        <f>IF(Table1[[#This Row],[Nationality]]="Nigeria",Table1[[#This Row],[EMJM Scholarship]],"Not Applicable")</f>
        <v>Not Applicable</v>
      </c>
    </row>
    <row r="536" spans="1:10" ht="19.25" hidden="1" customHeight="1" x14ac:dyDescent="0.3">
      <c r="A536" s="8">
        <v>2424580</v>
      </c>
      <c r="B536" s="6" t="s">
        <v>80</v>
      </c>
      <c r="C536" s="1" t="s">
        <v>9</v>
      </c>
      <c r="D536" s="1" t="s">
        <v>9</v>
      </c>
      <c r="E536" s="1" t="s">
        <v>9</v>
      </c>
      <c r="F536" s="6"/>
      <c r="G536" s="6"/>
      <c r="H536" s="11"/>
      <c r="I53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36" t="str">
        <f>IF(Table1[[#This Row],[Nationality]]="Nigeria",Table1[[#This Row],[EMJM Scholarship]],"Not Applicable")</f>
        <v>Not Applicable</v>
      </c>
    </row>
    <row r="537" spans="1:10" ht="19.25" hidden="1" customHeight="1" x14ac:dyDescent="0.3">
      <c r="A537" s="8">
        <v>2424658</v>
      </c>
      <c r="B537" s="6" t="s">
        <v>80</v>
      </c>
      <c r="C537" s="1" t="s">
        <v>9</v>
      </c>
      <c r="D537" s="1" t="s">
        <v>9</v>
      </c>
      <c r="E537" s="1" t="s">
        <v>9</v>
      </c>
      <c r="F537" s="6"/>
      <c r="G537" s="6"/>
      <c r="H537" s="11"/>
      <c r="I53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37" t="str">
        <f>IF(Table1[[#This Row],[Nationality]]="Nigeria",Table1[[#This Row],[EMJM Scholarship]],"Not Applicable")</f>
        <v>Not Applicable</v>
      </c>
    </row>
    <row r="538" spans="1:10" ht="19.25" hidden="1" customHeight="1" x14ac:dyDescent="0.3">
      <c r="A538" s="8">
        <v>2424801</v>
      </c>
      <c r="B538" s="6" t="s">
        <v>80</v>
      </c>
      <c r="C538" s="1" t="s">
        <v>9</v>
      </c>
      <c r="D538" s="1" t="s">
        <v>9</v>
      </c>
      <c r="E538" s="1" t="s">
        <v>9</v>
      </c>
      <c r="F538" s="6"/>
      <c r="G538" s="6"/>
      <c r="H538" s="11"/>
      <c r="I53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38" t="str">
        <f>IF(Table1[[#This Row],[Nationality]]="Nigeria",Table1[[#This Row],[EMJM Scholarship]],"Not Applicable")</f>
        <v>Not Applicable</v>
      </c>
    </row>
    <row r="539" spans="1:10" ht="19.25" hidden="1" customHeight="1" x14ac:dyDescent="0.3">
      <c r="A539" s="8">
        <v>2424918</v>
      </c>
      <c r="B539" s="6" t="s">
        <v>80</v>
      </c>
      <c r="C539" s="1" t="s">
        <v>9</v>
      </c>
      <c r="D539" s="1" t="s">
        <v>9</v>
      </c>
      <c r="E539" s="1" t="s">
        <v>9</v>
      </c>
      <c r="F539" s="6"/>
      <c r="G539" s="6"/>
      <c r="H539" s="11"/>
      <c r="I53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39" t="str">
        <f>IF(Table1[[#This Row],[Nationality]]="Nigeria",Table1[[#This Row],[EMJM Scholarship]],"Not Applicable")</f>
        <v>Not Applicable</v>
      </c>
    </row>
    <row r="540" spans="1:10" ht="19.25" hidden="1" customHeight="1" x14ac:dyDescent="0.3">
      <c r="A540" s="8">
        <v>2425431</v>
      </c>
      <c r="B540" s="6" t="s">
        <v>80</v>
      </c>
      <c r="C540" s="1" t="s">
        <v>9</v>
      </c>
      <c r="D540" s="1" t="s">
        <v>9</v>
      </c>
      <c r="E540" s="1" t="s">
        <v>9</v>
      </c>
      <c r="F540" s="6"/>
      <c r="G540" s="6"/>
      <c r="H540" s="11"/>
      <c r="I54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40" t="str">
        <f>IF(Table1[[#This Row],[Nationality]]="Nigeria",Table1[[#This Row],[EMJM Scholarship]],"Not Applicable")</f>
        <v>Not Applicable</v>
      </c>
    </row>
    <row r="541" spans="1:10" ht="19.25" hidden="1" customHeight="1" x14ac:dyDescent="0.3">
      <c r="A541" s="8">
        <v>2425486</v>
      </c>
      <c r="B541" s="6" t="s">
        <v>80</v>
      </c>
      <c r="C541" s="1" t="s">
        <v>9</v>
      </c>
      <c r="D541" s="1" t="s">
        <v>9</v>
      </c>
      <c r="E541" s="1" t="s">
        <v>9</v>
      </c>
      <c r="F541" s="6"/>
      <c r="G541" s="6"/>
      <c r="H541" s="11"/>
      <c r="I54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41" t="str">
        <f>IF(Table1[[#This Row],[Nationality]]="Nigeria",Table1[[#This Row],[EMJM Scholarship]],"Not Applicable")</f>
        <v>Not Applicable</v>
      </c>
    </row>
    <row r="542" spans="1:10" ht="19.25" hidden="1" customHeight="1" x14ac:dyDescent="0.3">
      <c r="A542" s="8">
        <v>2425522</v>
      </c>
      <c r="B542" s="6" t="s">
        <v>80</v>
      </c>
      <c r="C542" s="1" t="s">
        <v>9</v>
      </c>
      <c r="D542" s="1" t="s">
        <v>9</v>
      </c>
      <c r="E542" s="1" t="s">
        <v>9</v>
      </c>
      <c r="F542" s="6"/>
      <c r="G542" s="6"/>
      <c r="H542" s="11"/>
      <c r="I54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42" t="str">
        <f>IF(Table1[[#This Row],[Nationality]]="Nigeria",Table1[[#This Row],[EMJM Scholarship]],"Not Applicable")</f>
        <v>Not Applicable</v>
      </c>
    </row>
    <row r="543" spans="1:10" ht="19.25" hidden="1" customHeight="1" x14ac:dyDescent="0.3">
      <c r="A543" s="8">
        <v>2425554</v>
      </c>
      <c r="B543" s="6" t="s">
        <v>80</v>
      </c>
      <c r="C543" s="1" t="s">
        <v>9</v>
      </c>
      <c r="D543" s="1" t="s">
        <v>9</v>
      </c>
      <c r="E543" s="1" t="s">
        <v>9</v>
      </c>
      <c r="F543" s="6"/>
      <c r="G543" s="6"/>
      <c r="H543" s="11"/>
      <c r="I54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43" t="str">
        <f>IF(Table1[[#This Row],[Nationality]]="Nigeria",Table1[[#This Row],[EMJM Scholarship]],"Not Applicable")</f>
        <v>Not Applicable</v>
      </c>
    </row>
    <row r="544" spans="1:10" ht="19.25" hidden="1" customHeight="1" x14ac:dyDescent="0.3">
      <c r="A544" s="8">
        <v>2425656</v>
      </c>
      <c r="B544" s="6" t="s">
        <v>80</v>
      </c>
      <c r="C544" s="1" t="s">
        <v>9</v>
      </c>
      <c r="D544" s="1" t="s">
        <v>9</v>
      </c>
      <c r="E544" s="1" t="s">
        <v>9</v>
      </c>
      <c r="F544" s="6"/>
      <c r="G544" s="6"/>
      <c r="H544" s="11"/>
      <c r="I54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44" t="str">
        <f>IF(Table1[[#This Row],[Nationality]]="Nigeria",Table1[[#This Row],[EMJM Scholarship]],"Not Applicable")</f>
        <v>Not Applicable</v>
      </c>
    </row>
    <row r="545" spans="1:10" ht="19.25" hidden="1" customHeight="1" x14ac:dyDescent="0.3">
      <c r="A545" s="8">
        <v>2425698</v>
      </c>
      <c r="B545" s="6" t="s">
        <v>80</v>
      </c>
      <c r="C545" s="1" t="s">
        <v>9</v>
      </c>
      <c r="D545" s="1" t="s">
        <v>9</v>
      </c>
      <c r="E545" s="1" t="s">
        <v>9</v>
      </c>
      <c r="F545" s="6"/>
      <c r="G545" s="6"/>
      <c r="H545" s="11"/>
      <c r="I54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45" t="str">
        <f>IF(Table1[[#This Row],[Nationality]]="Nigeria",Table1[[#This Row],[EMJM Scholarship]],"Not Applicable")</f>
        <v>Not Applicable</v>
      </c>
    </row>
    <row r="546" spans="1:10" ht="19.25" hidden="1" customHeight="1" x14ac:dyDescent="0.3">
      <c r="A546" s="8">
        <v>2425719</v>
      </c>
      <c r="B546" s="6" t="s">
        <v>80</v>
      </c>
      <c r="C546" s="1" t="s">
        <v>9</v>
      </c>
      <c r="D546" s="1" t="s">
        <v>9</v>
      </c>
      <c r="E546" s="1" t="s">
        <v>9</v>
      </c>
      <c r="F546" s="6"/>
      <c r="G546" s="6"/>
      <c r="H546" s="11"/>
      <c r="I54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46" t="str">
        <f>IF(Table1[[#This Row],[Nationality]]="Nigeria",Table1[[#This Row],[EMJM Scholarship]],"Not Applicable")</f>
        <v>Not Applicable</v>
      </c>
    </row>
    <row r="547" spans="1:10" ht="19.25" hidden="1" customHeight="1" x14ac:dyDescent="0.3">
      <c r="A547" s="8">
        <v>2425824</v>
      </c>
      <c r="B547" s="6" t="s">
        <v>80</v>
      </c>
      <c r="C547" s="1" t="s">
        <v>9</v>
      </c>
      <c r="D547" s="1" t="s">
        <v>9</v>
      </c>
      <c r="E547" s="1" t="s">
        <v>9</v>
      </c>
      <c r="F547" s="6"/>
      <c r="G547" s="6"/>
      <c r="H547" s="11"/>
      <c r="I54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47" t="str">
        <f>IF(Table1[[#This Row],[Nationality]]="Nigeria",Table1[[#This Row],[EMJM Scholarship]],"Not Applicable")</f>
        <v>Not Applicable</v>
      </c>
    </row>
    <row r="548" spans="1:10" ht="19.25" hidden="1" customHeight="1" x14ac:dyDescent="0.3">
      <c r="A548" s="8">
        <v>2425955</v>
      </c>
      <c r="B548" s="6" t="s">
        <v>80</v>
      </c>
      <c r="C548" s="1" t="s">
        <v>9</v>
      </c>
      <c r="D548" s="1" t="s">
        <v>9</v>
      </c>
      <c r="E548" s="1" t="s">
        <v>9</v>
      </c>
      <c r="F548" s="6"/>
      <c r="G548" s="6"/>
      <c r="H548" s="11"/>
      <c r="I54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48" t="str">
        <f>IF(Table1[[#This Row],[Nationality]]="Nigeria",Table1[[#This Row],[EMJM Scholarship]],"Not Applicable")</f>
        <v>Not Applicable</v>
      </c>
    </row>
    <row r="549" spans="1:10" ht="19.25" hidden="1" customHeight="1" x14ac:dyDescent="0.3">
      <c r="A549" s="8">
        <v>2425981</v>
      </c>
      <c r="B549" s="6" t="s">
        <v>80</v>
      </c>
      <c r="C549" s="1" t="s">
        <v>9</v>
      </c>
      <c r="D549" s="1" t="s">
        <v>9</v>
      </c>
      <c r="E549" s="1" t="s">
        <v>9</v>
      </c>
      <c r="F549" s="6"/>
      <c r="G549" s="6"/>
      <c r="H549" s="11"/>
      <c r="I54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49" t="str">
        <f>IF(Table1[[#This Row],[Nationality]]="Nigeria",Table1[[#This Row],[EMJM Scholarship]],"Not Applicable")</f>
        <v>Not Applicable</v>
      </c>
    </row>
    <row r="550" spans="1:10" ht="19.25" hidden="1" customHeight="1" x14ac:dyDescent="0.3">
      <c r="A550" s="8">
        <v>2426514</v>
      </c>
      <c r="B550" s="6" t="s">
        <v>80</v>
      </c>
      <c r="C550" s="1" t="s">
        <v>9</v>
      </c>
      <c r="D550" s="1" t="s">
        <v>9</v>
      </c>
      <c r="E550" s="1" t="s">
        <v>9</v>
      </c>
      <c r="F550" s="6"/>
      <c r="G550" s="6"/>
      <c r="H550" s="11"/>
      <c r="I55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50" t="str">
        <f>IF(Table1[[#This Row],[Nationality]]="Nigeria",Table1[[#This Row],[EMJM Scholarship]],"Not Applicable")</f>
        <v>Not Applicable</v>
      </c>
    </row>
    <row r="551" spans="1:10" ht="19.25" hidden="1" customHeight="1" x14ac:dyDescent="0.3">
      <c r="A551" s="8">
        <v>2426616</v>
      </c>
      <c r="B551" s="6" t="s">
        <v>80</v>
      </c>
      <c r="C551" s="1" t="s">
        <v>9</v>
      </c>
      <c r="D551" s="1" t="s">
        <v>9</v>
      </c>
      <c r="E551" s="1" t="s">
        <v>9</v>
      </c>
      <c r="F551" s="6"/>
      <c r="G551" s="6"/>
      <c r="H551" s="11"/>
      <c r="I55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51" t="str">
        <f>IF(Table1[[#This Row],[Nationality]]="Nigeria",Table1[[#This Row],[EMJM Scholarship]],"Not Applicable")</f>
        <v>Not Applicable</v>
      </c>
    </row>
    <row r="552" spans="1:10" ht="19.25" hidden="1" customHeight="1" x14ac:dyDescent="0.3">
      <c r="A552" s="8">
        <v>2426635</v>
      </c>
      <c r="B552" s="6" t="s">
        <v>80</v>
      </c>
      <c r="C552" s="1" t="s">
        <v>9</v>
      </c>
      <c r="D552" s="1" t="s">
        <v>9</v>
      </c>
      <c r="E552" s="1" t="s">
        <v>9</v>
      </c>
      <c r="F552" s="6"/>
      <c r="G552" s="6"/>
      <c r="H552" s="11"/>
      <c r="I55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52" t="str">
        <f>IF(Table1[[#This Row],[Nationality]]="Nigeria",Table1[[#This Row],[EMJM Scholarship]],"Not Applicable")</f>
        <v>Not Applicable</v>
      </c>
    </row>
    <row r="553" spans="1:10" ht="19.25" hidden="1" customHeight="1" x14ac:dyDescent="0.3">
      <c r="A553" s="8">
        <v>2426645</v>
      </c>
      <c r="B553" s="6" t="s">
        <v>80</v>
      </c>
      <c r="C553" s="1" t="s">
        <v>9</v>
      </c>
      <c r="D553" s="1" t="s">
        <v>9</v>
      </c>
      <c r="E553" s="1" t="s">
        <v>9</v>
      </c>
      <c r="F553" s="6"/>
      <c r="G553" s="6"/>
      <c r="H553" s="11"/>
      <c r="I55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53" t="str">
        <f>IF(Table1[[#This Row],[Nationality]]="Nigeria",Table1[[#This Row],[EMJM Scholarship]],"Not Applicable")</f>
        <v>Not Applicable</v>
      </c>
    </row>
    <row r="554" spans="1:10" ht="19.25" hidden="1" customHeight="1" x14ac:dyDescent="0.3">
      <c r="A554" s="8">
        <v>2426690</v>
      </c>
      <c r="B554" s="6" t="s">
        <v>80</v>
      </c>
      <c r="C554" s="1" t="s">
        <v>9</v>
      </c>
      <c r="D554" s="1" t="s">
        <v>9</v>
      </c>
      <c r="E554" s="1" t="s">
        <v>9</v>
      </c>
      <c r="F554" s="6"/>
      <c r="G554" s="6"/>
      <c r="H554" s="11"/>
      <c r="I55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54" t="str">
        <f>IF(Table1[[#This Row],[Nationality]]="Nigeria",Table1[[#This Row],[EMJM Scholarship]],"Not Applicable")</f>
        <v>Not Applicable</v>
      </c>
    </row>
    <row r="555" spans="1:10" ht="19.25" hidden="1" customHeight="1" x14ac:dyDescent="0.3">
      <c r="A555" s="8">
        <v>2426757</v>
      </c>
      <c r="B555" s="6" t="s">
        <v>80</v>
      </c>
      <c r="C555" s="1" t="s">
        <v>9</v>
      </c>
      <c r="D555" s="1" t="s">
        <v>9</v>
      </c>
      <c r="E555" s="1" t="s">
        <v>9</v>
      </c>
      <c r="F555" s="6"/>
      <c r="G555" s="6"/>
      <c r="H555" s="11"/>
      <c r="I55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55" t="str">
        <f>IF(Table1[[#This Row],[Nationality]]="Nigeria",Table1[[#This Row],[EMJM Scholarship]],"Not Applicable")</f>
        <v>Not Applicable</v>
      </c>
    </row>
    <row r="556" spans="1:10" ht="19.25" hidden="1" customHeight="1" x14ac:dyDescent="0.3">
      <c r="A556" s="8">
        <v>2426871</v>
      </c>
      <c r="B556" s="6" t="s">
        <v>80</v>
      </c>
      <c r="C556" s="1" t="s">
        <v>9</v>
      </c>
      <c r="D556" s="1" t="s">
        <v>9</v>
      </c>
      <c r="E556" s="1" t="s">
        <v>9</v>
      </c>
      <c r="F556" s="6"/>
      <c r="G556" s="6"/>
      <c r="H556" s="11"/>
      <c r="I55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56" t="str">
        <f>IF(Table1[[#This Row],[Nationality]]="Nigeria",Table1[[#This Row],[EMJM Scholarship]],"Not Applicable")</f>
        <v>Not Applicable</v>
      </c>
    </row>
    <row r="557" spans="1:10" ht="19.25" hidden="1" customHeight="1" x14ac:dyDescent="0.3">
      <c r="A557" s="8">
        <v>2426950</v>
      </c>
      <c r="B557" s="6" t="s">
        <v>80</v>
      </c>
      <c r="C557" s="1" t="s">
        <v>9</v>
      </c>
      <c r="D557" s="1" t="s">
        <v>9</v>
      </c>
      <c r="E557" s="1" t="s">
        <v>9</v>
      </c>
      <c r="F557" s="6"/>
      <c r="G557" s="6"/>
      <c r="H557" s="11"/>
      <c r="I55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57" t="str">
        <f>IF(Table1[[#This Row],[Nationality]]="Nigeria",Table1[[#This Row],[EMJM Scholarship]],"Not Applicable")</f>
        <v>Not Applicable</v>
      </c>
    </row>
    <row r="558" spans="1:10" ht="19.25" hidden="1" customHeight="1" x14ac:dyDescent="0.3">
      <c r="A558" s="8">
        <v>2426994</v>
      </c>
      <c r="B558" s="6" t="s">
        <v>80</v>
      </c>
      <c r="C558" s="1" t="s">
        <v>9</v>
      </c>
      <c r="D558" s="1" t="s">
        <v>9</v>
      </c>
      <c r="E558" s="1" t="s">
        <v>9</v>
      </c>
      <c r="F558" s="6"/>
      <c r="G558" s="6"/>
      <c r="H558" s="11"/>
      <c r="I55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58" t="str">
        <f>IF(Table1[[#This Row],[Nationality]]="Nigeria",Table1[[#This Row],[EMJM Scholarship]],"Not Applicable")</f>
        <v>Not Applicable</v>
      </c>
    </row>
    <row r="559" spans="1:10" ht="19.25" hidden="1" customHeight="1" x14ac:dyDescent="0.3">
      <c r="A559" s="8">
        <v>2427143</v>
      </c>
      <c r="B559" s="6" t="s">
        <v>80</v>
      </c>
      <c r="C559" s="1" t="s">
        <v>9</v>
      </c>
      <c r="D559" s="1" t="s">
        <v>9</v>
      </c>
      <c r="E559" s="1" t="s">
        <v>9</v>
      </c>
      <c r="F559" s="6"/>
      <c r="G559" s="6"/>
      <c r="H559" s="11"/>
      <c r="I55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59" t="str">
        <f>IF(Table1[[#This Row],[Nationality]]="Nigeria",Table1[[#This Row],[EMJM Scholarship]],"Not Applicable")</f>
        <v>Not Applicable</v>
      </c>
    </row>
    <row r="560" spans="1:10" ht="19.25" hidden="1" customHeight="1" x14ac:dyDescent="0.3">
      <c r="A560" s="8">
        <v>2427169</v>
      </c>
      <c r="B560" s="6" t="s">
        <v>80</v>
      </c>
      <c r="C560" s="1" t="s">
        <v>9</v>
      </c>
      <c r="D560" s="1" t="s">
        <v>9</v>
      </c>
      <c r="E560" s="1" t="s">
        <v>9</v>
      </c>
      <c r="F560" s="6"/>
      <c r="G560" s="6"/>
      <c r="H560" s="11"/>
      <c r="I56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60" t="str">
        <f>IF(Table1[[#This Row],[Nationality]]="Nigeria",Table1[[#This Row],[EMJM Scholarship]],"Not Applicable")</f>
        <v>Not Applicable</v>
      </c>
    </row>
    <row r="561" spans="1:10" ht="19.25" hidden="1" customHeight="1" x14ac:dyDescent="0.3">
      <c r="A561" s="8">
        <v>2427265</v>
      </c>
      <c r="B561" s="6" t="s">
        <v>80</v>
      </c>
      <c r="C561" s="1" t="s">
        <v>9</v>
      </c>
      <c r="D561" s="1" t="s">
        <v>9</v>
      </c>
      <c r="E561" s="1" t="s">
        <v>9</v>
      </c>
      <c r="F561" s="6"/>
      <c r="G561" s="6"/>
      <c r="H561" s="11"/>
      <c r="I56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61" t="str">
        <f>IF(Table1[[#This Row],[Nationality]]="Nigeria",Table1[[#This Row],[EMJM Scholarship]],"Not Applicable")</f>
        <v>Not Applicable</v>
      </c>
    </row>
    <row r="562" spans="1:10" ht="19.25" hidden="1" customHeight="1" x14ac:dyDescent="0.3">
      <c r="A562" s="8">
        <v>2427349</v>
      </c>
      <c r="B562" s="6" t="s">
        <v>80</v>
      </c>
      <c r="C562" s="1" t="s">
        <v>9</v>
      </c>
      <c r="D562" s="1" t="s">
        <v>9</v>
      </c>
      <c r="E562" s="1" t="s">
        <v>9</v>
      </c>
      <c r="F562" s="6"/>
      <c r="G562" s="6"/>
      <c r="H562" s="11"/>
      <c r="I56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62" t="str">
        <f>IF(Table1[[#This Row],[Nationality]]="Nigeria",Table1[[#This Row],[EMJM Scholarship]],"Not Applicable")</f>
        <v>Not Applicable</v>
      </c>
    </row>
    <row r="563" spans="1:10" ht="19.25" hidden="1" customHeight="1" x14ac:dyDescent="0.3">
      <c r="A563" s="8">
        <v>2427453</v>
      </c>
      <c r="B563" s="6" t="s">
        <v>80</v>
      </c>
      <c r="C563" s="1" t="s">
        <v>9</v>
      </c>
      <c r="D563" s="1" t="s">
        <v>9</v>
      </c>
      <c r="E563" s="1" t="s">
        <v>9</v>
      </c>
      <c r="F563" s="6"/>
      <c r="G563" s="6"/>
      <c r="H563" s="11"/>
      <c r="I56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63" t="str">
        <f>IF(Table1[[#This Row],[Nationality]]="Nigeria",Table1[[#This Row],[EMJM Scholarship]],"Not Applicable")</f>
        <v>Not Applicable</v>
      </c>
    </row>
    <row r="564" spans="1:10" ht="19.25" hidden="1" customHeight="1" x14ac:dyDescent="0.3">
      <c r="A564" s="8">
        <v>2427482</v>
      </c>
      <c r="B564" s="6" t="s">
        <v>80</v>
      </c>
      <c r="C564" s="1" t="s">
        <v>9</v>
      </c>
      <c r="D564" s="1" t="s">
        <v>9</v>
      </c>
      <c r="E564" s="1" t="s">
        <v>9</v>
      </c>
      <c r="F564" s="6"/>
      <c r="G564" s="6"/>
      <c r="H564" s="11"/>
      <c r="I56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64" t="str">
        <f>IF(Table1[[#This Row],[Nationality]]="Nigeria",Table1[[#This Row],[EMJM Scholarship]],"Not Applicable")</f>
        <v>Not Applicable</v>
      </c>
    </row>
    <row r="565" spans="1:10" ht="19.25" hidden="1" customHeight="1" x14ac:dyDescent="0.3">
      <c r="A565" s="8">
        <v>2427648</v>
      </c>
      <c r="B565" s="6" t="s">
        <v>80</v>
      </c>
      <c r="C565" s="1" t="s">
        <v>9</v>
      </c>
      <c r="D565" s="1" t="s">
        <v>9</v>
      </c>
      <c r="E565" s="1" t="s">
        <v>9</v>
      </c>
      <c r="F565" s="6"/>
      <c r="G565" s="6"/>
      <c r="H565" s="11"/>
      <c r="I56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65" t="str">
        <f>IF(Table1[[#This Row],[Nationality]]="Nigeria",Table1[[#This Row],[EMJM Scholarship]],"Not Applicable")</f>
        <v>Not Applicable</v>
      </c>
    </row>
    <row r="566" spans="1:10" ht="19.25" hidden="1" customHeight="1" x14ac:dyDescent="0.3">
      <c r="A566" s="8">
        <v>2427732</v>
      </c>
      <c r="B566" s="6" t="s">
        <v>80</v>
      </c>
      <c r="C566" s="1" t="s">
        <v>9</v>
      </c>
      <c r="D566" s="1" t="s">
        <v>9</v>
      </c>
      <c r="E566" s="1" t="s">
        <v>9</v>
      </c>
      <c r="F566" s="6"/>
      <c r="G566" s="6"/>
      <c r="H566" s="11"/>
      <c r="I56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66" t="str">
        <f>IF(Table1[[#This Row],[Nationality]]="Nigeria",Table1[[#This Row],[EMJM Scholarship]],"Not Applicable")</f>
        <v>Not Applicable</v>
      </c>
    </row>
    <row r="567" spans="1:10" ht="19.25" hidden="1" customHeight="1" x14ac:dyDescent="0.3">
      <c r="A567" s="8">
        <v>2427785</v>
      </c>
      <c r="B567" s="6" t="s">
        <v>80</v>
      </c>
      <c r="C567" s="1" t="s">
        <v>9</v>
      </c>
      <c r="D567" s="1" t="s">
        <v>9</v>
      </c>
      <c r="E567" s="1" t="s">
        <v>9</v>
      </c>
      <c r="F567" s="6"/>
      <c r="G567" s="6"/>
      <c r="H567" s="11"/>
      <c r="I56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67" t="str">
        <f>IF(Table1[[#This Row],[Nationality]]="Nigeria",Table1[[#This Row],[EMJM Scholarship]],"Not Applicable")</f>
        <v>Not Applicable</v>
      </c>
    </row>
    <row r="568" spans="1:10" ht="19.25" hidden="1" customHeight="1" x14ac:dyDescent="0.3">
      <c r="A568" s="8">
        <v>2427842</v>
      </c>
      <c r="B568" s="6" t="s">
        <v>80</v>
      </c>
      <c r="C568" s="1" t="s">
        <v>9</v>
      </c>
      <c r="D568" s="1" t="s">
        <v>9</v>
      </c>
      <c r="E568" s="1" t="s">
        <v>9</v>
      </c>
      <c r="F568" s="6"/>
      <c r="G568" s="6"/>
      <c r="H568" s="11"/>
      <c r="I56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68" t="str">
        <f>IF(Table1[[#This Row],[Nationality]]="Nigeria",Table1[[#This Row],[EMJM Scholarship]],"Not Applicable")</f>
        <v>Not Applicable</v>
      </c>
    </row>
    <row r="569" spans="1:10" ht="19.25" hidden="1" customHeight="1" x14ac:dyDescent="0.3">
      <c r="A569" s="8">
        <v>2427871</v>
      </c>
      <c r="B569" s="6" t="s">
        <v>80</v>
      </c>
      <c r="C569" s="1" t="s">
        <v>9</v>
      </c>
      <c r="D569" s="1" t="s">
        <v>9</v>
      </c>
      <c r="E569" s="1" t="s">
        <v>9</v>
      </c>
      <c r="F569" s="6"/>
      <c r="G569" s="6"/>
      <c r="H569" s="11"/>
      <c r="I56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69" t="str">
        <f>IF(Table1[[#This Row],[Nationality]]="Nigeria",Table1[[#This Row],[EMJM Scholarship]],"Not Applicable")</f>
        <v>Not Applicable</v>
      </c>
    </row>
    <row r="570" spans="1:10" ht="19.25" hidden="1" customHeight="1" x14ac:dyDescent="0.3">
      <c r="A570" s="8">
        <v>2428102</v>
      </c>
      <c r="B570" s="6" t="s">
        <v>80</v>
      </c>
      <c r="C570" s="1" t="s">
        <v>9</v>
      </c>
      <c r="D570" s="1" t="s">
        <v>9</v>
      </c>
      <c r="E570" s="1" t="s">
        <v>9</v>
      </c>
      <c r="F570" s="6"/>
      <c r="G570" s="6"/>
      <c r="H570" s="11"/>
      <c r="I57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70" t="str">
        <f>IF(Table1[[#This Row],[Nationality]]="Nigeria",Table1[[#This Row],[EMJM Scholarship]],"Not Applicable")</f>
        <v>Not Applicable</v>
      </c>
    </row>
    <row r="571" spans="1:10" ht="19.25" hidden="1" customHeight="1" x14ac:dyDescent="0.3">
      <c r="A571" s="8">
        <v>2428159</v>
      </c>
      <c r="B571" s="6" t="s">
        <v>80</v>
      </c>
      <c r="C571" s="1" t="s">
        <v>9</v>
      </c>
      <c r="D571" s="1" t="s">
        <v>9</v>
      </c>
      <c r="E571" s="1" t="s">
        <v>9</v>
      </c>
      <c r="F571" s="6"/>
      <c r="G571" s="6"/>
      <c r="H571" s="11"/>
      <c r="I57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71" t="str">
        <f>IF(Table1[[#This Row],[Nationality]]="Nigeria",Table1[[#This Row],[EMJM Scholarship]],"Not Applicable")</f>
        <v>Not Applicable</v>
      </c>
    </row>
    <row r="572" spans="1:10" ht="19.25" hidden="1" customHeight="1" x14ac:dyDescent="0.3">
      <c r="A572" s="8">
        <v>2428168</v>
      </c>
      <c r="B572" s="6" t="s">
        <v>80</v>
      </c>
      <c r="C572" s="1" t="s">
        <v>9</v>
      </c>
      <c r="D572" s="1" t="s">
        <v>9</v>
      </c>
      <c r="E572" s="1" t="s">
        <v>9</v>
      </c>
      <c r="F572" s="6"/>
      <c r="G572" s="6"/>
      <c r="H572" s="11"/>
      <c r="I57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72" t="str">
        <f>IF(Table1[[#This Row],[Nationality]]="Nigeria",Table1[[#This Row],[EMJM Scholarship]],"Not Applicable")</f>
        <v>Not Applicable</v>
      </c>
    </row>
    <row r="573" spans="1:10" ht="19.25" hidden="1" customHeight="1" x14ac:dyDescent="0.3">
      <c r="A573" s="8">
        <v>2428228</v>
      </c>
      <c r="B573" s="6" t="s">
        <v>80</v>
      </c>
      <c r="C573" s="1" t="s">
        <v>9</v>
      </c>
      <c r="D573" s="1" t="s">
        <v>9</v>
      </c>
      <c r="E573" s="1" t="s">
        <v>9</v>
      </c>
      <c r="F573" s="6"/>
      <c r="G573" s="6"/>
      <c r="H573" s="11"/>
      <c r="I57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73" t="str">
        <f>IF(Table1[[#This Row],[Nationality]]="Nigeria",Table1[[#This Row],[EMJM Scholarship]],"Not Applicable")</f>
        <v>Not Applicable</v>
      </c>
    </row>
    <row r="574" spans="1:10" ht="19.25" hidden="1" customHeight="1" x14ac:dyDescent="0.3">
      <c r="A574" s="8">
        <v>2428535</v>
      </c>
      <c r="B574" s="6" t="s">
        <v>80</v>
      </c>
      <c r="C574" s="1" t="s">
        <v>9</v>
      </c>
      <c r="D574" s="1" t="s">
        <v>9</v>
      </c>
      <c r="E574" s="1" t="s">
        <v>9</v>
      </c>
      <c r="F574" s="6"/>
      <c r="G574" s="6"/>
      <c r="H574" s="11"/>
      <c r="I57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74" t="str">
        <f>IF(Table1[[#This Row],[Nationality]]="Nigeria",Table1[[#This Row],[EMJM Scholarship]],"Not Applicable")</f>
        <v>Not Applicable</v>
      </c>
    </row>
    <row r="575" spans="1:10" ht="19.25" hidden="1" customHeight="1" x14ac:dyDescent="0.3">
      <c r="A575" s="8">
        <v>2428666</v>
      </c>
      <c r="B575" s="6" t="s">
        <v>80</v>
      </c>
      <c r="C575" s="1" t="s">
        <v>9</v>
      </c>
      <c r="D575" s="1" t="s">
        <v>9</v>
      </c>
      <c r="E575" s="1" t="s">
        <v>9</v>
      </c>
      <c r="F575" s="6"/>
      <c r="G575" s="6"/>
      <c r="H575" s="11"/>
      <c r="I57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75" t="str">
        <f>IF(Table1[[#This Row],[Nationality]]="Nigeria",Table1[[#This Row],[EMJM Scholarship]],"Not Applicable")</f>
        <v>Not Applicable</v>
      </c>
    </row>
    <row r="576" spans="1:10" ht="19.25" hidden="1" customHeight="1" x14ac:dyDescent="0.3">
      <c r="A576" s="8">
        <v>2428708</v>
      </c>
      <c r="B576" s="6" t="s">
        <v>80</v>
      </c>
      <c r="C576" s="1" t="s">
        <v>9</v>
      </c>
      <c r="D576" s="1" t="s">
        <v>9</v>
      </c>
      <c r="E576" s="1" t="s">
        <v>9</v>
      </c>
      <c r="F576" s="6"/>
      <c r="G576" s="6"/>
      <c r="H576" s="11"/>
      <c r="I57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76" t="str">
        <f>IF(Table1[[#This Row],[Nationality]]="Nigeria",Table1[[#This Row],[EMJM Scholarship]],"Not Applicable")</f>
        <v>Not Applicable</v>
      </c>
    </row>
    <row r="577" spans="1:10" ht="19.25" hidden="1" customHeight="1" x14ac:dyDescent="0.3">
      <c r="A577" s="8">
        <v>2428730</v>
      </c>
      <c r="B577" s="6" t="s">
        <v>80</v>
      </c>
      <c r="C577" s="1" t="s">
        <v>9</v>
      </c>
      <c r="D577" s="1" t="s">
        <v>9</v>
      </c>
      <c r="E577" s="1" t="s">
        <v>9</v>
      </c>
      <c r="F577" s="6"/>
      <c r="G577" s="6"/>
      <c r="H577" s="11"/>
      <c r="I57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77" t="str">
        <f>IF(Table1[[#This Row],[Nationality]]="Nigeria",Table1[[#This Row],[EMJM Scholarship]],"Not Applicable")</f>
        <v>Not Applicable</v>
      </c>
    </row>
    <row r="578" spans="1:10" ht="19.25" hidden="1" customHeight="1" x14ac:dyDescent="0.3">
      <c r="A578" s="8">
        <v>2428745</v>
      </c>
      <c r="B578" s="6" t="s">
        <v>80</v>
      </c>
      <c r="C578" s="1" t="s">
        <v>9</v>
      </c>
      <c r="D578" s="1" t="s">
        <v>9</v>
      </c>
      <c r="E578" s="1" t="s">
        <v>9</v>
      </c>
      <c r="F578" s="6"/>
      <c r="G578" s="6"/>
      <c r="H578" s="11"/>
      <c r="I57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78" t="str">
        <f>IF(Table1[[#This Row],[Nationality]]="Nigeria",Table1[[#This Row],[EMJM Scholarship]],"Not Applicable")</f>
        <v>Not Applicable</v>
      </c>
    </row>
    <row r="579" spans="1:10" ht="19.25" hidden="1" customHeight="1" x14ac:dyDescent="0.3">
      <c r="A579" s="8">
        <v>2428889</v>
      </c>
      <c r="B579" s="6" t="s">
        <v>80</v>
      </c>
      <c r="C579" s="1" t="s">
        <v>9</v>
      </c>
      <c r="D579" s="1" t="s">
        <v>9</v>
      </c>
      <c r="E579" s="1" t="s">
        <v>9</v>
      </c>
      <c r="F579" s="6"/>
      <c r="G579" s="6"/>
      <c r="H579" s="11"/>
      <c r="I57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79" t="str">
        <f>IF(Table1[[#This Row],[Nationality]]="Nigeria",Table1[[#This Row],[EMJM Scholarship]],"Not Applicable")</f>
        <v>Not Applicable</v>
      </c>
    </row>
    <row r="580" spans="1:10" ht="19.25" hidden="1" customHeight="1" x14ac:dyDescent="0.3">
      <c r="A580" s="8">
        <v>2428973</v>
      </c>
      <c r="B580" s="6" t="s">
        <v>80</v>
      </c>
      <c r="C580" s="1" t="s">
        <v>9</v>
      </c>
      <c r="D580" s="1" t="s">
        <v>9</v>
      </c>
      <c r="E580" s="1" t="s">
        <v>9</v>
      </c>
      <c r="F580" s="6"/>
      <c r="G580" s="6"/>
      <c r="H580" s="11"/>
      <c r="I58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80" t="str">
        <f>IF(Table1[[#This Row],[Nationality]]="Nigeria",Table1[[#This Row],[EMJM Scholarship]],"Not Applicable")</f>
        <v>Not Applicable</v>
      </c>
    </row>
    <row r="581" spans="1:10" ht="19.25" hidden="1" customHeight="1" x14ac:dyDescent="0.3">
      <c r="A581" s="8">
        <v>2429046</v>
      </c>
      <c r="B581" s="6" t="s">
        <v>80</v>
      </c>
      <c r="C581" s="1" t="s">
        <v>9</v>
      </c>
      <c r="D581" s="1" t="s">
        <v>9</v>
      </c>
      <c r="E581" s="1" t="s">
        <v>9</v>
      </c>
      <c r="F581" s="6"/>
      <c r="G581" s="6"/>
      <c r="H581" s="11"/>
      <c r="I58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81" t="str">
        <f>IF(Table1[[#This Row],[Nationality]]="Nigeria",Table1[[#This Row],[EMJM Scholarship]],"Not Applicable")</f>
        <v>Not Applicable</v>
      </c>
    </row>
    <row r="582" spans="1:10" ht="19.25" hidden="1" customHeight="1" x14ac:dyDescent="0.3">
      <c r="A582" s="8">
        <v>2429744</v>
      </c>
      <c r="B582" s="6" t="s">
        <v>80</v>
      </c>
      <c r="C582" s="1" t="s">
        <v>9</v>
      </c>
      <c r="D582" s="1" t="s">
        <v>9</v>
      </c>
      <c r="E582" s="1" t="s">
        <v>9</v>
      </c>
      <c r="F582" s="6"/>
      <c r="G582" s="6"/>
      <c r="H582" s="11"/>
      <c r="I58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82" t="str">
        <f>IF(Table1[[#This Row],[Nationality]]="Nigeria",Table1[[#This Row],[EMJM Scholarship]],"Not Applicable")</f>
        <v>Not Applicable</v>
      </c>
    </row>
    <row r="583" spans="1:10" ht="19.25" hidden="1" customHeight="1" x14ac:dyDescent="0.3">
      <c r="A583" s="8">
        <v>2429775</v>
      </c>
      <c r="B583" s="6" t="s">
        <v>80</v>
      </c>
      <c r="C583" s="1" t="s">
        <v>9</v>
      </c>
      <c r="D583" s="1" t="s">
        <v>9</v>
      </c>
      <c r="E583" s="1" t="s">
        <v>9</v>
      </c>
      <c r="F583" s="6"/>
      <c r="G583" s="6"/>
      <c r="H583" s="11"/>
      <c r="I58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83" t="str">
        <f>IF(Table1[[#This Row],[Nationality]]="Nigeria",Table1[[#This Row],[EMJM Scholarship]],"Not Applicable")</f>
        <v>Not Applicable</v>
      </c>
    </row>
    <row r="584" spans="1:10" ht="19.25" hidden="1" customHeight="1" x14ac:dyDescent="0.3">
      <c r="A584" s="8">
        <v>2429928</v>
      </c>
      <c r="B584" s="6" t="s">
        <v>80</v>
      </c>
      <c r="C584" s="1" t="s">
        <v>9</v>
      </c>
      <c r="D584" s="1" t="s">
        <v>9</v>
      </c>
      <c r="E584" s="1" t="s">
        <v>9</v>
      </c>
      <c r="F584" s="6"/>
      <c r="G584" s="6"/>
      <c r="H584" s="11"/>
      <c r="I58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84" t="str">
        <f>IF(Table1[[#This Row],[Nationality]]="Nigeria",Table1[[#This Row],[EMJM Scholarship]],"Not Applicable")</f>
        <v>Not Applicable</v>
      </c>
    </row>
    <row r="585" spans="1:10" ht="19.25" hidden="1" customHeight="1" x14ac:dyDescent="0.3">
      <c r="A585" s="8">
        <v>2430025</v>
      </c>
      <c r="B585" s="6" t="s">
        <v>80</v>
      </c>
      <c r="C585" s="1" t="s">
        <v>9</v>
      </c>
      <c r="D585" s="1" t="s">
        <v>9</v>
      </c>
      <c r="E585" s="1" t="s">
        <v>9</v>
      </c>
      <c r="F585" s="6"/>
      <c r="G585" s="6"/>
      <c r="H585" s="11"/>
      <c r="I58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85" t="str">
        <f>IF(Table1[[#This Row],[Nationality]]="Nigeria",Table1[[#This Row],[EMJM Scholarship]],"Not Applicable")</f>
        <v>Not Applicable</v>
      </c>
    </row>
    <row r="586" spans="1:10" ht="19.25" hidden="1" customHeight="1" x14ac:dyDescent="0.3">
      <c r="A586" s="8">
        <v>2430059</v>
      </c>
      <c r="B586" s="6" t="s">
        <v>80</v>
      </c>
      <c r="C586" s="1" t="s">
        <v>9</v>
      </c>
      <c r="D586" s="1" t="s">
        <v>9</v>
      </c>
      <c r="E586" s="1" t="s">
        <v>9</v>
      </c>
      <c r="F586" s="6"/>
      <c r="G586" s="6"/>
      <c r="H586" s="11"/>
      <c r="I58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86" t="str">
        <f>IF(Table1[[#This Row],[Nationality]]="Nigeria",Table1[[#This Row],[EMJM Scholarship]],"Not Applicable")</f>
        <v>Not Applicable</v>
      </c>
    </row>
    <row r="587" spans="1:10" ht="19.25" hidden="1" customHeight="1" x14ac:dyDescent="0.3">
      <c r="A587" s="8">
        <v>2430120</v>
      </c>
      <c r="B587" s="6" t="s">
        <v>80</v>
      </c>
      <c r="C587" s="1" t="s">
        <v>9</v>
      </c>
      <c r="D587" s="1" t="s">
        <v>9</v>
      </c>
      <c r="E587" s="1" t="s">
        <v>9</v>
      </c>
      <c r="F587" s="6"/>
      <c r="G587" s="6"/>
      <c r="H587" s="11"/>
      <c r="I58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87" t="str">
        <f>IF(Table1[[#This Row],[Nationality]]="Nigeria",Table1[[#This Row],[EMJM Scholarship]],"Not Applicable")</f>
        <v>Not Applicable</v>
      </c>
    </row>
    <row r="588" spans="1:10" ht="19.25" hidden="1" customHeight="1" x14ac:dyDescent="0.3">
      <c r="A588" s="8">
        <v>2430166</v>
      </c>
      <c r="B588" s="6" t="s">
        <v>80</v>
      </c>
      <c r="C588" s="1" t="s">
        <v>9</v>
      </c>
      <c r="D588" s="1" t="s">
        <v>9</v>
      </c>
      <c r="E588" s="1" t="s">
        <v>9</v>
      </c>
      <c r="F588" s="6"/>
      <c r="G588" s="6"/>
      <c r="H588" s="11"/>
      <c r="I58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88" t="str">
        <f>IF(Table1[[#This Row],[Nationality]]="Nigeria",Table1[[#This Row],[EMJM Scholarship]],"Not Applicable")</f>
        <v>Not Applicable</v>
      </c>
    </row>
    <row r="589" spans="1:10" ht="19.25" hidden="1" customHeight="1" x14ac:dyDescent="0.3">
      <c r="A589" s="8">
        <v>2430197</v>
      </c>
      <c r="B589" s="6" t="s">
        <v>80</v>
      </c>
      <c r="C589" s="1" t="s">
        <v>9</v>
      </c>
      <c r="D589" s="1" t="s">
        <v>9</v>
      </c>
      <c r="E589" s="1" t="s">
        <v>9</v>
      </c>
      <c r="F589" s="6"/>
      <c r="G589" s="6"/>
      <c r="H589" s="11"/>
      <c r="I58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89" t="str">
        <f>IF(Table1[[#This Row],[Nationality]]="Nigeria",Table1[[#This Row],[EMJM Scholarship]],"Not Applicable")</f>
        <v>Not Applicable</v>
      </c>
    </row>
    <row r="590" spans="1:10" ht="19.25" hidden="1" customHeight="1" x14ac:dyDescent="0.3">
      <c r="A590" s="8">
        <v>2430243</v>
      </c>
      <c r="B590" s="6" t="s">
        <v>80</v>
      </c>
      <c r="C590" s="1" t="s">
        <v>9</v>
      </c>
      <c r="D590" s="1" t="s">
        <v>9</v>
      </c>
      <c r="E590" s="1" t="s">
        <v>9</v>
      </c>
      <c r="F590" s="6"/>
      <c r="G590" s="6"/>
      <c r="H590" s="11"/>
      <c r="I59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90" t="str">
        <f>IF(Table1[[#This Row],[Nationality]]="Nigeria",Table1[[#This Row],[EMJM Scholarship]],"Not Applicable")</f>
        <v>Not Applicable</v>
      </c>
    </row>
    <row r="591" spans="1:10" ht="19.25" hidden="1" customHeight="1" x14ac:dyDescent="0.3">
      <c r="A591" s="8">
        <v>2430279</v>
      </c>
      <c r="B591" s="6" t="s">
        <v>80</v>
      </c>
      <c r="C591" s="1" t="s">
        <v>9</v>
      </c>
      <c r="D591" s="1" t="s">
        <v>9</v>
      </c>
      <c r="E591" s="1" t="s">
        <v>9</v>
      </c>
      <c r="F591" s="6"/>
      <c r="G591" s="6"/>
      <c r="H591" s="11"/>
      <c r="I59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91" t="str">
        <f>IF(Table1[[#This Row],[Nationality]]="Nigeria",Table1[[#This Row],[EMJM Scholarship]],"Not Applicable")</f>
        <v>Not Applicable</v>
      </c>
    </row>
    <row r="592" spans="1:10" ht="19.25" hidden="1" customHeight="1" x14ac:dyDescent="0.3">
      <c r="A592" s="8">
        <v>2430304</v>
      </c>
      <c r="B592" s="6" t="s">
        <v>80</v>
      </c>
      <c r="C592" s="1" t="s">
        <v>9</v>
      </c>
      <c r="D592" s="1" t="s">
        <v>9</v>
      </c>
      <c r="E592" s="1" t="s">
        <v>9</v>
      </c>
      <c r="F592" s="6"/>
      <c r="G592" s="6"/>
      <c r="H592" s="11"/>
      <c r="I59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92" t="str">
        <f>IF(Table1[[#This Row],[Nationality]]="Nigeria",Table1[[#This Row],[EMJM Scholarship]],"Not Applicable")</f>
        <v>Not Applicable</v>
      </c>
    </row>
    <row r="593" spans="1:10" ht="19.25" hidden="1" customHeight="1" x14ac:dyDescent="0.3">
      <c r="A593" s="8">
        <v>2430326</v>
      </c>
      <c r="B593" s="6" t="s">
        <v>80</v>
      </c>
      <c r="C593" s="1" t="s">
        <v>9</v>
      </c>
      <c r="D593" s="1" t="s">
        <v>9</v>
      </c>
      <c r="E593" s="1" t="s">
        <v>9</v>
      </c>
      <c r="F593" s="6"/>
      <c r="G593" s="6"/>
      <c r="H593" s="11"/>
      <c r="I59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93" t="str">
        <f>IF(Table1[[#This Row],[Nationality]]="Nigeria",Table1[[#This Row],[EMJM Scholarship]],"Not Applicable")</f>
        <v>Not Applicable</v>
      </c>
    </row>
    <row r="594" spans="1:10" ht="19.25" hidden="1" customHeight="1" x14ac:dyDescent="0.3">
      <c r="A594" s="8">
        <v>2430415</v>
      </c>
      <c r="B594" s="6" t="s">
        <v>80</v>
      </c>
      <c r="C594" s="1" t="s">
        <v>9</v>
      </c>
      <c r="D594" s="1" t="s">
        <v>9</v>
      </c>
      <c r="E594" s="1" t="s">
        <v>9</v>
      </c>
      <c r="F594" s="6"/>
      <c r="G594" s="6"/>
      <c r="H594" s="11"/>
      <c r="I59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94" t="str">
        <f>IF(Table1[[#This Row],[Nationality]]="Nigeria",Table1[[#This Row],[EMJM Scholarship]],"Not Applicable")</f>
        <v>Not Applicable</v>
      </c>
    </row>
    <row r="595" spans="1:10" ht="19.25" hidden="1" customHeight="1" x14ac:dyDescent="0.3">
      <c r="A595" s="8">
        <v>2430429</v>
      </c>
      <c r="B595" s="6" t="s">
        <v>80</v>
      </c>
      <c r="C595" s="1" t="s">
        <v>9</v>
      </c>
      <c r="D595" s="1" t="s">
        <v>9</v>
      </c>
      <c r="E595" s="1" t="s">
        <v>9</v>
      </c>
      <c r="F595" s="6"/>
      <c r="G595" s="6"/>
      <c r="H595" s="11"/>
      <c r="I59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95" t="str">
        <f>IF(Table1[[#This Row],[Nationality]]="Nigeria",Table1[[#This Row],[EMJM Scholarship]],"Not Applicable")</f>
        <v>Not Applicable</v>
      </c>
    </row>
    <row r="596" spans="1:10" ht="19.25" hidden="1" customHeight="1" x14ac:dyDescent="0.3">
      <c r="A596" s="8">
        <v>2430487</v>
      </c>
      <c r="B596" s="6" t="s">
        <v>80</v>
      </c>
      <c r="C596" s="1" t="s">
        <v>9</v>
      </c>
      <c r="D596" s="1" t="s">
        <v>9</v>
      </c>
      <c r="E596" s="1" t="s">
        <v>9</v>
      </c>
      <c r="F596" s="6"/>
      <c r="G596" s="6"/>
      <c r="H596" s="11"/>
      <c r="I59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96" t="str">
        <f>IF(Table1[[#This Row],[Nationality]]="Nigeria",Table1[[#This Row],[EMJM Scholarship]],"Not Applicable")</f>
        <v>Not Applicable</v>
      </c>
    </row>
    <row r="597" spans="1:10" ht="19.25" hidden="1" customHeight="1" x14ac:dyDescent="0.3">
      <c r="A597" s="8">
        <v>2430501</v>
      </c>
      <c r="B597" s="6" t="s">
        <v>80</v>
      </c>
      <c r="C597" s="1" t="s">
        <v>9</v>
      </c>
      <c r="D597" s="1" t="s">
        <v>9</v>
      </c>
      <c r="E597" s="1" t="s">
        <v>9</v>
      </c>
      <c r="F597" s="6"/>
      <c r="G597" s="6"/>
      <c r="H597" s="11"/>
      <c r="I59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97" t="str">
        <f>IF(Table1[[#This Row],[Nationality]]="Nigeria",Table1[[#This Row],[EMJM Scholarship]],"Not Applicable")</f>
        <v>Not Applicable</v>
      </c>
    </row>
    <row r="598" spans="1:10" ht="19.25" hidden="1" customHeight="1" x14ac:dyDescent="0.3">
      <c r="A598" s="8">
        <v>2430530</v>
      </c>
      <c r="B598" s="6" t="s">
        <v>80</v>
      </c>
      <c r="C598" s="1" t="s">
        <v>9</v>
      </c>
      <c r="D598" s="1" t="s">
        <v>9</v>
      </c>
      <c r="E598" s="1" t="s">
        <v>9</v>
      </c>
      <c r="F598" s="6"/>
      <c r="G598" s="6"/>
      <c r="H598" s="11"/>
      <c r="I59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98" t="str">
        <f>IF(Table1[[#This Row],[Nationality]]="Nigeria",Table1[[#This Row],[EMJM Scholarship]],"Not Applicable")</f>
        <v>Not Applicable</v>
      </c>
    </row>
    <row r="599" spans="1:10" ht="19.25" hidden="1" customHeight="1" x14ac:dyDescent="0.3">
      <c r="A599" s="8">
        <v>2430603</v>
      </c>
      <c r="B599" s="6" t="s">
        <v>80</v>
      </c>
      <c r="C599" s="1" t="s">
        <v>9</v>
      </c>
      <c r="D599" s="1" t="s">
        <v>9</v>
      </c>
      <c r="E599" s="1" t="s">
        <v>9</v>
      </c>
      <c r="F599" s="6"/>
      <c r="G599" s="6"/>
      <c r="H599" s="11"/>
      <c r="I59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599" t="str">
        <f>IF(Table1[[#This Row],[Nationality]]="Nigeria",Table1[[#This Row],[EMJM Scholarship]],"Not Applicable")</f>
        <v>Not Applicable</v>
      </c>
    </row>
    <row r="600" spans="1:10" ht="19.25" hidden="1" customHeight="1" x14ac:dyDescent="0.3">
      <c r="A600" s="8">
        <v>2430662</v>
      </c>
      <c r="B600" s="6" t="s">
        <v>80</v>
      </c>
      <c r="C600" s="1" t="s">
        <v>9</v>
      </c>
      <c r="D600" s="1" t="s">
        <v>9</v>
      </c>
      <c r="E600" s="1" t="s">
        <v>9</v>
      </c>
      <c r="F600" s="6"/>
      <c r="G600" s="6"/>
      <c r="H600" s="11"/>
      <c r="I60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00" t="str">
        <f>IF(Table1[[#This Row],[Nationality]]="Nigeria",Table1[[#This Row],[EMJM Scholarship]],"Not Applicable")</f>
        <v>Not Applicable</v>
      </c>
    </row>
    <row r="601" spans="1:10" ht="19.25" hidden="1" customHeight="1" x14ac:dyDescent="0.3">
      <c r="A601" s="8">
        <v>2430688</v>
      </c>
      <c r="B601" s="6" t="s">
        <v>80</v>
      </c>
      <c r="C601" s="1" t="s">
        <v>9</v>
      </c>
      <c r="D601" s="1" t="s">
        <v>9</v>
      </c>
      <c r="E601" s="1" t="s">
        <v>9</v>
      </c>
      <c r="F601" s="6"/>
      <c r="G601" s="6"/>
      <c r="H601" s="11"/>
      <c r="I60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01" t="str">
        <f>IF(Table1[[#This Row],[Nationality]]="Nigeria",Table1[[#This Row],[EMJM Scholarship]],"Not Applicable")</f>
        <v>Not Applicable</v>
      </c>
    </row>
    <row r="602" spans="1:10" ht="19.25" hidden="1" customHeight="1" x14ac:dyDescent="0.3">
      <c r="A602" s="8">
        <v>2430716</v>
      </c>
      <c r="B602" s="6" t="s">
        <v>80</v>
      </c>
      <c r="C602" s="1" t="s">
        <v>9</v>
      </c>
      <c r="D602" s="1" t="s">
        <v>9</v>
      </c>
      <c r="E602" s="1" t="s">
        <v>9</v>
      </c>
      <c r="F602" s="6"/>
      <c r="G602" s="6"/>
      <c r="H602" s="11"/>
      <c r="I60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02" t="str">
        <f>IF(Table1[[#This Row],[Nationality]]="Nigeria",Table1[[#This Row],[EMJM Scholarship]],"Not Applicable")</f>
        <v>Not Applicable</v>
      </c>
    </row>
    <row r="603" spans="1:10" ht="19.25" hidden="1" customHeight="1" x14ac:dyDescent="0.3">
      <c r="A603" s="8">
        <v>2430765</v>
      </c>
      <c r="B603" s="6" t="s">
        <v>80</v>
      </c>
      <c r="C603" s="1" t="s">
        <v>9</v>
      </c>
      <c r="D603" s="1" t="s">
        <v>9</v>
      </c>
      <c r="E603" s="1" t="s">
        <v>9</v>
      </c>
      <c r="F603" s="6"/>
      <c r="G603" s="6"/>
      <c r="H603" s="11"/>
      <c r="I60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03" t="str">
        <f>IF(Table1[[#This Row],[Nationality]]="Nigeria",Table1[[#This Row],[EMJM Scholarship]],"Not Applicable")</f>
        <v>Not Applicable</v>
      </c>
    </row>
    <row r="604" spans="1:10" ht="19.25" hidden="1" customHeight="1" x14ac:dyDescent="0.3">
      <c r="A604" s="8">
        <v>2430784</v>
      </c>
      <c r="B604" s="6" t="s">
        <v>80</v>
      </c>
      <c r="C604" s="1" t="s">
        <v>9</v>
      </c>
      <c r="D604" s="1" t="s">
        <v>9</v>
      </c>
      <c r="E604" s="1" t="s">
        <v>9</v>
      </c>
      <c r="F604" s="6"/>
      <c r="G604" s="6"/>
      <c r="H604" s="11"/>
      <c r="I60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04" t="str">
        <f>IF(Table1[[#This Row],[Nationality]]="Nigeria",Table1[[#This Row],[EMJM Scholarship]],"Not Applicable")</f>
        <v>Not Applicable</v>
      </c>
    </row>
    <row r="605" spans="1:10" ht="19.25" hidden="1" customHeight="1" x14ac:dyDescent="0.3">
      <c r="A605" s="8">
        <v>2430799</v>
      </c>
      <c r="B605" s="6" t="s">
        <v>80</v>
      </c>
      <c r="C605" s="1" t="s">
        <v>9</v>
      </c>
      <c r="D605" s="1" t="s">
        <v>9</v>
      </c>
      <c r="E605" s="1" t="s">
        <v>9</v>
      </c>
      <c r="F605" s="6"/>
      <c r="G605" s="6"/>
      <c r="H605" s="11"/>
      <c r="I60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05" t="str">
        <f>IF(Table1[[#This Row],[Nationality]]="Nigeria",Table1[[#This Row],[EMJM Scholarship]],"Not Applicable")</f>
        <v>Not Applicable</v>
      </c>
    </row>
    <row r="606" spans="1:10" ht="19.25" hidden="1" customHeight="1" x14ac:dyDescent="0.3">
      <c r="A606" s="8">
        <v>2430809</v>
      </c>
      <c r="B606" s="6" t="s">
        <v>80</v>
      </c>
      <c r="C606" s="1" t="s">
        <v>9</v>
      </c>
      <c r="D606" s="1" t="s">
        <v>9</v>
      </c>
      <c r="E606" s="1" t="s">
        <v>9</v>
      </c>
      <c r="F606" s="6"/>
      <c r="G606" s="6"/>
      <c r="H606" s="11"/>
      <c r="I60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06" t="str">
        <f>IF(Table1[[#This Row],[Nationality]]="Nigeria",Table1[[#This Row],[EMJM Scholarship]],"Not Applicable")</f>
        <v>Not Applicable</v>
      </c>
    </row>
    <row r="607" spans="1:10" ht="19.25" hidden="1" customHeight="1" x14ac:dyDescent="0.3">
      <c r="A607" s="8">
        <v>2430865</v>
      </c>
      <c r="B607" s="6" t="s">
        <v>80</v>
      </c>
      <c r="C607" s="1" t="s">
        <v>9</v>
      </c>
      <c r="D607" s="1" t="s">
        <v>9</v>
      </c>
      <c r="E607" s="1" t="s">
        <v>9</v>
      </c>
      <c r="F607" s="6"/>
      <c r="G607" s="6"/>
      <c r="H607" s="11"/>
      <c r="I60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07" t="str">
        <f>IF(Table1[[#This Row],[Nationality]]="Nigeria",Table1[[#This Row],[EMJM Scholarship]],"Not Applicable")</f>
        <v>Not Applicable</v>
      </c>
    </row>
    <row r="608" spans="1:10" ht="19.25" hidden="1" customHeight="1" x14ac:dyDescent="0.3">
      <c r="A608" s="8">
        <v>2430895</v>
      </c>
      <c r="B608" s="6" t="s">
        <v>80</v>
      </c>
      <c r="C608" s="1" t="s">
        <v>9</v>
      </c>
      <c r="D608" s="1" t="s">
        <v>9</v>
      </c>
      <c r="E608" s="1" t="s">
        <v>9</v>
      </c>
      <c r="F608" s="6"/>
      <c r="G608" s="6"/>
      <c r="H608" s="11"/>
      <c r="I60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08" t="str">
        <f>IF(Table1[[#This Row],[Nationality]]="Nigeria",Table1[[#This Row],[EMJM Scholarship]],"Not Applicable")</f>
        <v>Not Applicable</v>
      </c>
    </row>
    <row r="609" spans="1:10" ht="19.25" hidden="1" customHeight="1" x14ac:dyDescent="0.3">
      <c r="A609" s="8">
        <v>2430999</v>
      </c>
      <c r="B609" s="6" t="s">
        <v>80</v>
      </c>
      <c r="C609" s="1" t="s">
        <v>9</v>
      </c>
      <c r="D609" s="1" t="s">
        <v>9</v>
      </c>
      <c r="E609" s="1" t="s">
        <v>9</v>
      </c>
      <c r="F609" s="6"/>
      <c r="G609" s="6"/>
      <c r="H609" s="11"/>
      <c r="I60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09" t="str">
        <f>IF(Table1[[#This Row],[Nationality]]="Nigeria",Table1[[#This Row],[EMJM Scholarship]],"Not Applicable")</f>
        <v>Not Applicable</v>
      </c>
    </row>
    <row r="610" spans="1:10" ht="19.25" hidden="1" customHeight="1" x14ac:dyDescent="0.3">
      <c r="A610" s="8">
        <v>2431019</v>
      </c>
      <c r="B610" s="6" t="s">
        <v>80</v>
      </c>
      <c r="C610" s="1" t="s">
        <v>9</v>
      </c>
      <c r="D610" s="1" t="s">
        <v>9</v>
      </c>
      <c r="E610" s="1" t="s">
        <v>9</v>
      </c>
      <c r="F610" s="6"/>
      <c r="G610" s="6"/>
      <c r="H610" s="11"/>
      <c r="I61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10" t="str">
        <f>IF(Table1[[#This Row],[Nationality]]="Nigeria",Table1[[#This Row],[EMJM Scholarship]],"Not Applicable")</f>
        <v>Not Applicable</v>
      </c>
    </row>
    <row r="611" spans="1:10" ht="19.25" hidden="1" customHeight="1" x14ac:dyDescent="0.3">
      <c r="A611" s="8">
        <v>2431061</v>
      </c>
      <c r="B611" s="6" t="s">
        <v>80</v>
      </c>
      <c r="C611" s="1" t="s">
        <v>9</v>
      </c>
      <c r="D611" s="1" t="s">
        <v>9</v>
      </c>
      <c r="E611" s="1" t="s">
        <v>9</v>
      </c>
      <c r="F611" s="6"/>
      <c r="G611" s="6"/>
      <c r="H611" s="11"/>
      <c r="I61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11" t="str">
        <f>IF(Table1[[#This Row],[Nationality]]="Nigeria",Table1[[#This Row],[EMJM Scholarship]],"Not Applicable")</f>
        <v>Not Applicable</v>
      </c>
    </row>
    <row r="612" spans="1:10" ht="19.25" hidden="1" customHeight="1" x14ac:dyDescent="0.3">
      <c r="A612" s="8">
        <v>2431282</v>
      </c>
      <c r="B612" s="6" t="s">
        <v>80</v>
      </c>
      <c r="C612" s="1" t="s">
        <v>9</v>
      </c>
      <c r="D612" s="1" t="s">
        <v>9</v>
      </c>
      <c r="E612" s="1" t="s">
        <v>9</v>
      </c>
      <c r="F612" s="6"/>
      <c r="G612" s="6"/>
      <c r="H612" s="11"/>
      <c r="I61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12" t="str">
        <f>IF(Table1[[#This Row],[Nationality]]="Nigeria",Table1[[#This Row],[EMJM Scholarship]],"Not Applicable")</f>
        <v>Not Applicable</v>
      </c>
    </row>
    <row r="613" spans="1:10" ht="19.25" hidden="1" customHeight="1" x14ac:dyDescent="0.3">
      <c r="A613" s="8">
        <v>2431400</v>
      </c>
      <c r="B613" s="6" t="s">
        <v>80</v>
      </c>
      <c r="C613" s="1" t="s">
        <v>9</v>
      </c>
      <c r="D613" s="1" t="s">
        <v>9</v>
      </c>
      <c r="E613" s="1" t="s">
        <v>9</v>
      </c>
      <c r="F613" s="6"/>
      <c r="G613" s="6"/>
      <c r="H613" s="11"/>
      <c r="I61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13" t="str">
        <f>IF(Table1[[#This Row],[Nationality]]="Nigeria",Table1[[#This Row],[EMJM Scholarship]],"Not Applicable")</f>
        <v>Not Applicable</v>
      </c>
    </row>
    <row r="614" spans="1:10" ht="19.25" hidden="1" customHeight="1" x14ac:dyDescent="0.3">
      <c r="A614" s="8">
        <v>2431753</v>
      </c>
      <c r="B614" s="6" t="s">
        <v>80</v>
      </c>
      <c r="C614" s="1" t="s">
        <v>9</v>
      </c>
      <c r="D614" s="1" t="s">
        <v>9</v>
      </c>
      <c r="E614" s="1" t="s">
        <v>9</v>
      </c>
      <c r="F614" s="6"/>
      <c r="G614" s="6"/>
      <c r="H614" s="11"/>
      <c r="I61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14" t="str">
        <f>IF(Table1[[#This Row],[Nationality]]="Nigeria",Table1[[#This Row],[EMJM Scholarship]],"Not Applicable")</f>
        <v>Not Applicable</v>
      </c>
    </row>
    <row r="615" spans="1:10" ht="19.25" hidden="1" customHeight="1" x14ac:dyDescent="0.3">
      <c r="A615" s="8">
        <v>2431885</v>
      </c>
      <c r="B615" s="6" t="s">
        <v>80</v>
      </c>
      <c r="C615" s="1" t="s">
        <v>9</v>
      </c>
      <c r="D615" s="1" t="s">
        <v>9</v>
      </c>
      <c r="E615" s="1" t="s">
        <v>9</v>
      </c>
      <c r="F615" s="6"/>
      <c r="G615" s="6"/>
      <c r="H615" s="11"/>
      <c r="I61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15" t="str">
        <f>IF(Table1[[#This Row],[Nationality]]="Nigeria",Table1[[#This Row],[EMJM Scholarship]],"Not Applicable")</f>
        <v>Not Applicable</v>
      </c>
    </row>
    <row r="616" spans="1:10" ht="19.25" hidden="1" customHeight="1" x14ac:dyDescent="0.3">
      <c r="A616" s="8">
        <v>2431898</v>
      </c>
      <c r="B616" s="6" t="s">
        <v>80</v>
      </c>
      <c r="C616" s="1" t="s">
        <v>9</v>
      </c>
      <c r="D616" s="1" t="s">
        <v>9</v>
      </c>
      <c r="E616" s="1" t="s">
        <v>9</v>
      </c>
      <c r="F616" s="6"/>
      <c r="G616" s="6"/>
      <c r="H616" s="11"/>
      <c r="I61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16" t="str">
        <f>IF(Table1[[#This Row],[Nationality]]="Nigeria",Table1[[#This Row],[EMJM Scholarship]],"Not Applicable")</f>
        <v>Not Applicable</v>
      </c>
    </row>
    <row r="617" spans="1:10" ht="19.25" hidden="1" customHeight="1" x14ac:dyDescent="0.3">
      <c r="A617" s="8">
        <v>2432039</v>
      </c>
      <c r="B617" s="6" t="s">
        <v>80</v>
      </c>
      <c r="C617" s="1" t="s">
        <v>9</v>
      </c>
      <c r="D617" s="1" t="s">
        <v>9</v>
      </c>
      <c r="E617" s="1" t="s">
        <v>9</v>
      </c>
      <c r="F617" s="6"/>
      <c r="G617" s="6"/>
      <c r="H617" s="11"/>
      <c r="I61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17" t="str">
        <f>IF(Table1[[#This Row],[Nationality]]="Nigeria",Table1[[#This Row],[EMJM Scholarship]],"Not Applicable")</f>
        <v>Not Applicable</v>
      </c>
    </row>
    <row r="618" spans="1:10" ht="19.25" hidden="1" customHeight="1" x14ac:dyDescent="0.3">
      <c r="A618" s="8">
        <v>2432436</v>
      </c>
      <c r="B618" s="6" t="s">
        <v>80</v>
      </c>
      <c r="C618" s="1" t="s">
        <v>9</v>
      </c>
      <c r="D618" s="1" t="s">
        <v>9</v>
      </c>
      <c r="E618" s="1" t="s">
        <v>9</v>
      </c>
      <c r="F618" s="6"/>
      <c r="G618" s="6"/>
      <c r="H618" s="11"/>
      <c r="I61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18" t="str">
        <f>IF(Table1[[#This Row],[Nationality]]="Nigeria",Table1[[#This Row],[EMJM Scholarship]],"Not Applicable")</f>
        <v>Not Applicable</v>
      </c>
    </row>
    <row r="619" spans="1:10" ht="19.25" hidden="1" customHeight="1" x14ac:dyDescent="0.3">
      <c r="A619" s="8">
        <v>2432440</v>
      </c>
      <c r="B619" s="6" t="s">
        <v>80</v>
      </c>
      <c r="C619" s="1" t="s">
        <v>9</v>
      </c>
      <c r="D619" s="1" t="s">
        <v>9</v>
      </c>
      <c r="E619" s="1" t="s">
        <v>9</v>
      </c>
      <c r="F619" s="6"/>
      <c r="G619" s="6"/>
      <c r="H619" s="11"/>
      <c r="I61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19" t="str">
        <f>IF(Table1[[#This Row],[Nationality]]="Nigeria",Table1[[#This Row],[EMJM Scholarship]],"Not Applicable")</f>
        <v>Not Applicable</v>
      </c>
    </row>
    <row r="620" spans="1:10" ht="19.25" hidden="1" customHeight="1" x14ac:dyDescent="0.3">
      <c r="A620" s="8">
        <v>2432699</v>
      </c>
      <c r="B620" s="6" t="s">
        <v>80</v>
      </c>
      <c r="C620" s="1" t="s">
        <v>9</v>
      </c>
      <c r="D620" s="1" t="s">
        <v>9</v>
      </c>
      <c r="E620" s="1" t="s">
        <v>9</v>
      </c>
      <c r="F620" s="6"/>
      <c r="G620" s="6"/>
      <c r="H620" s="11"/>
      <c r="I62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20" t="str">
        <f>IF(Table1[[#This Row],[Nationality]]="Nigeria",Table1[[#This Row],[EMJM Scholarship]],"Not Applicable")</f>
        <v>Not Applicable</v>
      </c>
    </row>
    <row r="621" spans="1:10" ht="19.25" hidden="1" customHeight="1" x14ac:dyDescent="0.3">
      <c r="A621" s="8">
        <v>2432759</v>
      </c>
      <c r="B621" s="6" t="s">
        <v>80</v>
      </c>
      <c r="C621" s="1" t="s">
        <v>9</v>
      </c>
      <c r="D621" s="1" t="s">
        <v>9</v>
      </c>
      <c r="E621" s="1" t="s">
        <v>9</v>
      </c>
      <c r="F621" s="6"/>
      <c r="G621" s="6"/>
      <c r="H621" s="11"/>
      <c r="I62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21" t="str">
        <f>IF(Table1[[#This Row],[Nationality]]="Nigeria",Table1[[#This Row],[EMJM Scholarship]],"Not Applicable")</f>
        <v>Not Applicable</v>
      </c>
    </row>
    <row r="622" spans="1:10" ht="19.25" hidden="1" customHeight="1" x14ac:dyDescent="0.3">
      <c r="A622" s="8">
        <v>2432771</v>
      </c>
      <c r="B622" s="6" t="s">
        <v>80</v>
      </c>
      <c r="C622" s="1" t="s">
        <v>9</v>
      </c>
      <c r="D622" s="1" t="s">
        <v>9</v>
      </c>
      <c r="E622" s="1" t="s">
        <v>9</v>
      </c>
      <c r="F622" s="6"/>
      <c r="G622" s="6"/>
      <c r="H622" s="11"/>
      <c r="I62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22" t="str">
        <f>IF(Table1[[#This Row],[Nationality]]="Nigeria",Table1[[#This Row],[EMJM Scholarship]],"Not Applicable")</f>
        <v>Not Applicable</v>
      </c>
    </row>
    <row r="623" spans="1:10" ht="19.25" hidden="1" customHeight="1" x14ac:dyDescent="0.3">
      <c r="A623" s="8">
        <v>2432796</v>
      </c>
      <c r="B623" s="6" t="s">
        <v>80</v>
      </c>
      <c r="C623" s="1" t="s">
        <v>9</v>
      </c>
      <c r="D623" s="1" t="s">
        <v>9</v>
      </c>
      <c r="E623" s="1" t="s">
        <v>9</v>
      </c>
      <c r="F623" s="6"/>
      <c r="G623" s="6"/>
      <c r="H623" s="11"/>
      <c r="I62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23" t="str">
        <f>IF(Table1[[#This Row],[Nationality]]="Nigeria",Table1[[#This Row],[EMJM Scholarship]],"Not Applicable")</f>
        <v>Not Applicable</v>
      </c>
    </row>
    <row r="624" spans="1:10" ht="19.25" hidden="1" customHeight="1" x14ac:dyDescent="0.3">
      <c r="A624" s="8">
        <v>2432905</v>
      </c>
      <c r="B624" s="6" t="s">
        <v>80</v>
      </c>
      <c r="C624" s="1" t="s">
        <v>9</v>
      </c>
      <c r="D624" s="1" t="s">
        <v>9</v>
      </c>
      <c r="E624" s="1" t="s">
        <v>9</v>
      </c>
      <c r="F624" s="6"/>
      <c r="G624" s="6"/>
      <c r="H624" s="11"/>
      <c r="I62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24" t="str">
        <f>IF(Table1[[#This Row],[Nationality]]="Nigeria",Table1[[#This Row],[EMJM Scholarship]],"Not Applicable")</f>
        <v>Not Applicable</v>
      </c>
    </row>
    <row r="625" spans="1:10" ht="19.25" hidden="1" customHeight="1" x14ac:dyDescent="0.3">
      <c r="A625" s="8">
        <v>2432971</v>
      </c>
      <c r="B625" s="6" t="s">
        <v>80</v>
      </c>
      <c r="C625" s="1" t="s">
        <v>9</v>
      </c>
      <c r="D625" s="1" t="s">
        <v>9</v>
      </c>
      <c r="E625" s="1" t="s">
        <v>9</v>
      </c>
      <c r="F625" s="6"/>
      <c r="G625" s="6"/>
      <c r="H625" s="11"/>
      <c r="I62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25" t="str">
        <f>IF(Table1[[#This Row],[Nationality]]="Nigeria",Table1[[#This Row],[EMJM Scholarship]],"Not Applicable")</f>
        <v>Not Applicable</v>
      </c>
    </row>
    <row r="626" spans="1:10" ht="19.25" hidden="1" customHeight="1" x14ac:dyDescent="0.3">
      <c r="A626" s="8">
        <v>2432992</v>
      </c>
      <c r="B626" s="6" t="s">
        <v>80</v>
      </c>
      <c r="C626" s="1" t="s">
        <v>9</v>
      </c>
      <c r="D626" s="1" t="s">
        <v>9</v>
      </c>
      <c r="E626" s="1" t="s">
        <v>9</v>
      </c>
      <c r="F626" s="6"/>
      <c r="G626" s="6"/>
      <c r="H626" s="11"/>
      <c r="I62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26" t="str">
        <f>IF(Table1[[#This Row],[Nationality]]="Nigeria",Table1[[#This Row],[EMJM Scholarship]],"Not Applicable")</f>
        <v>Not Applicable</v>
      </c>
    </row>
    <row r="627" spans="1:10" ht="19.25" hidden="1" customHeight="1" x14ac:dyDescent="0.3">
      <c r="A627" s="8">
        <v>2433007</v>
      </c>
      <c r="B627" s="6" t="s">
        <v>80</v>
      </c>
      <c r="C627" s="1" t="s">
        <v>9</v>
      </c>
      <c r="D627" s="1" t="s">
        <v>9</v>
      </c>
      <c r="E627" s="1" t="s">
        <v>9</v>
      </c>
      <c r="F627" s="6"/>
      <c r="G627" s="6"/>
      <c r="H627" s="11"/>
      <c r="I62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27" t="str">
        <f>IF(Table1[[#This Row],[Nationality]]="Nigeria",Table1[[#This Row],[EMJM Scholarship]],"Not Applicable")</f>
        <v>Not Applicable</v>
      </c>
    </row>
    <row r="628" spans="1:10" ht="19.25" hidden="1" customHeight="1" x14ac:dyDescent="0.3">
      <c r="A628" s="8">
        <v>2433187</v>
      </c>
      <c r="B628" s="6" t="s">
        <v>80</v>
      </c>
      <c r="C628" s="1" t="s">
        <v>9</v>
      </c>
      <c r="D628" s="1" t="s">
        <v>9</v>
      </c>
      <c r="E628" s="1" t="s">
        <v>9</v>
      </c>
      <c r="F628" s="6"/>
      <c r="G628" s="6"/>
      <c r="H628" s="11"/>
      <c r="I62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28" t="str">
        <f>IF(Table1[[#This Row],[Nationality]]="Nigeria",Table1[[#This Row],[EMJM Scholarship]],"Not Applicable")</f>
        <v>Not Applicable</v>
      </c>
    </row>
    <row r="629" spans="1:10" ht="19.25" hidden="1" customHeight="1" x14ac:dyDescent="0.3">
      <c r="A629" s="8">
        <v>2433299</v>
      </c>
      <c r="B629" s="6" t="s">
        <v>80</v>
      </c>
      <c r="C629" s="1" t="s">
        <v>9</v>
      </c>
      <c r="D629" s="1" t="s">
        <v>9</v>
      </c>
      <c r="E629" s="1" t="s">
        <v>9</v>
      </c>
      <c r="F629" s="6"/>
      <c r="G629" s="6"/>
      <c r="H629" s="11"/>
      <c r="I62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29" t="str">
        <f>IF(Table1[[#This Row],[Nationality]]="Nigeria",Table1[[#This Row],[EMJM Scholarship]],"Not Applicable")</f>
        <v>Not Applicable</v>
      </c>
    </row>
    <row r="630" spans="1:10" ht="19.25" hidden="1" customHeight="1" x14ac:dyDescent="0.3">
      <c r="A630" s="8">
        <v>2433531</v>
      </c>
      <c r="B630" s="6" t="s">
        <v>80</v>
      </c>
      <c r="C630" s="1" t="s">
        <v>9</v>
      </c>
      <c r="D630" s="1" t="s">
        <v>9</v>
      </c>
      <c r="E630" s="1" t="s">
        <v>9</v>
      </c>
      <c r="F630" s="6"/>
      <c r="G630" s="6"/>
      <c r="H630" s="11"/>
      <c r="I63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30" t="str">
        <f>IF(Table1[[#This Row],[Nationality]]="Nigeria",Table1[[#This Row],[EMJM Scholarship]],"Not Applicable")</f>
        <v>Not Applicable</v>
      </c>
    </row>
    <row r="631" spans="1:10" ht="19.25" hidden="1" customHeight="1" x14ac:dyDescent="0.3">
      <c r="A631" s="8">
        <v>2433672</v>
      </c>
      <c r="B631" s="6" t="s">
        <v>80</v>
      </c>
      <c r="C631" s="1" t="s">
        <v>9</v>
      </c>
      <c r="D631" s="1" t="s">
        <v>9</v>
      </c>
      <c r="E631" s="1" t="s">
        <v>9</v>
      </c>
      <c r="F631" s="6"/>
      <c r="G631" s="6"/>
      <c r="H631" s="11"/>
      <c r="I63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31" t="str">
        <f>IF(Table1[[#This Row],[Nationality]]="Nigeria",Table1[[#This Row],[EMJM Scholarship]],"Not Applicable")</f>
        <v>Not Applicable</v>
      </c>
    </row>
    <row r="632" spans="1:10" ht="19.25" hidden="1" customHeight="1" x14ac:dyDescent="0.3">
      <c r="A632" s="8">
        <v>2433806</v>
      </c>
      <c r="B632" s="6" t="s">
        <v>80</v>
      </c>
      <c r="C632" s="1" t="s">
        <v>9</v>
      </c>
      <c r="D632" s="1" t="s">
        <v>9</v>
      </c>
      <c r="E632" s="1" t="s">
        <v>9</v>
      </c>
      <c r="F632" s="6"/>
      <c r="G632" s="6"/>
      <c r="H632" s="11"/>
      <c r="I63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32" t="str">
        <f>IF(Table1[[#This Row],[Nationality]]="Nigeria",Table1[[#This Row],[EMJM Scholarship]],"Not Applicable")</f>
        <v>Not Applicable</v>
      </c>
    </row>
    <row r="633" spans="1:10" ht="19.25" hidden="1" customHeight="1" x14ac:dyDescent="0.3">
      <c r="A633" s="8">
        <v>2433873</v>
      </c>
      <c r="B633" s="6" t="s">
        <v>80</v>
      </c>
      <c r="C633" s="1" t="s">
        <v>9</v>
      </c>
      <c r="D633" s="1" t="s">
        <v>9</v>
      </c>
      <c r="E633" s="1" t="s">
        <v>9</v>
      </c>
      <c r="F633" s="6"/>
      <c r="G633" s="6"/>
      <c r="H633" s="11"/>
      <c r="I63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33" t="str">
        <f>IF(Table1[[#This Row],[Nationality]]="Nigeria",Table1[[#This Row],[EMJM Scholarship]],"Not Applicable")</f>
        <v>Not Applicable</v>
      </c>
    </row>
    <row r="634" spans="1:10" ht="19.25" hidden="1" customHeight="1" x14ac:dyDescent="0.3">
      <c r="A634" s="8">
        <v>2433907</v>
      </c>
      <c r="B634" s="6" t="s">
        <v>80</v>
      </c>
      <c r="C634" s="1" t="s">
        <v>9</v>
      </c>
      <c r="D634" s="1" t="s">
        <v>9</v>
      </c>
      <c r="E634" s="1" t="s">
        <v>9</v>
      </c>
      <c r="F634" s="6"/>
      <c r="G634" s="6"/>
      <c r="H634" s="11"/>
      <c r="I63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34" t="str">
        <f>IF(Table1[[#This Row],[Nationality]]="Nigeria",Table1[[#This Row],[EMJM Scholarship]],"Not Applicable")</f>
        <v>Not Applicable</v>
      </c>
    </row>
    <row r="635" spans="1:10" ht="19.25" hidden="1" customHeight="1" x14ac:dyDescent="0.3">
      <c r="A635" s="8">
        <v>2433989</v>
      </c>
      <c r="B635" s="6" t="s">
        <v>80</v>
      </c>
      <c r="C635" s="1" t="s">
        <v>9</v>
      </c>
      <c r="D635" s="1" t="s">
        <v>9</v>
      </c>
      <c r="E635" s="1" t="s">
        <v>9</v>
      </c>
      <c r="F635" s="6"/>
      <c r="G635" s="6"/>
      <c r="H635" s="11"/>
      <c r="I63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35" t="str">
        <f>IF(Table1[[#This Row],[Nationality]]="Nigeria",Table1[[#This Row],[EMJM Scholarship]],"Not Applicable")</f>
        <v>Not Applicable</v>
      </c>
    </row>
    <row r="636" spans="1:10" ht="19.25" hidden="1" customHeight="1" x14ac:dyDescent="0.3">
      <c r="A636" s="8">
        <v>2434015</v>
      </c>
      <c r="B636" s="6" t="s">
        <v>80</v>
      </c>
      <c r="C636" s="1" t="s">
        <v>9</v>
      </c>
      <c r="D636" s="1" t="s">
        <v>9</v>
      </c>
      <c r="E636" s="1" t="s">
        <v>9</v>
      </c>
      <c r="F636" s="6"/>
      <c r="G636" s="6"/>
      <c r="H636" s="11"/>
      <c r="I63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36" t="str">
        <f>IF(Table1[[#This Row],[Nationality]]="Nigeria",Table1[[#This Row],[EMJM Scholarship]],"Not Applicable")</f>
        <v>Not Applicable</v>
      </c>
    </row>
    <row r="637" spans="1:10" ht="19.25" hidden="1" customHeight="1" x14ac:dyDescent="0.3">
      <c r="A637" s="8">
        <v>2434037</v>
      </c>
      <c r="B637" s="6" t="s">
        <v>80</v>
      </c>
      <c r="C637" s="1" t="s">
        <v>9</v>
      </c>
      <c r="D637" s="1" t="s">
        <v>9</v>
      </c>
      <c r="E637" s="1" t="s">
        <v>9</v>
      </c>
      <c r="F637" s="6"/>
      <c r="G637" s="6"/>
      <c r="H637" s="11"/>
      <c r="I63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37" t="str">
        <f>IF(Table1[[#This Row],[Nationality]]="Nigeria",Table1[[#This Row],[EMJM Scholarship]],"Not Applicable")</f>
        <v>Not Applicable</v>
      </c>
    </row>
    <row r="638" spans="1:10" ht="19.25" hidden="1" customHeight="1" x14ac:dyDescent="0.3">
      <c r="A638" s="8">
        <v>2434088</v>
      </c>
      <c r="B638" s="6" t="s">
        <v>80</v>
      </c>
      <c r="C638" s="1" t="s">
        <v>9</v>
      </c>
      <c r="D638" s="1" t="s">
        <v>9</v>
      </c>
      <c r="E638" s="1" t="s">
        <v>9</v>
      </c>
      <c r="F638" s="6"/>
      <c r="G638" s="6"/>
      <c r="H638" s="11"/>
      <c r="I63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38" t="str">
        <f>IF(Table1[[#This Row],[Nationality]]="Nigeria",Table1[[#This Row],[EMJM Scholarship]],"Not Applicable")</f>
        <v>Not Applicable</v>
      </c>
    </row>
    <row r="639" spans="1:10" ht="19.25" hidden="1" customHeight="1" x14ac:dyDescent="0.3">
      <c r="A639" s="8">
        <v>2434211</v>
      </c>
      <c r="B639" s="6" t="s">
        <v>80</v>
      </c>
      <c r="C639" s="1" t="s">
        <v>9</v>
      </c>
      <c r="D639" s="1" t="s">
        <v>9</v>
      </c>
      <c r="E639" s="1" t="s">
        <v>9</v>
      </c>
      <c r="F639" s="6"/>
      <c r="G639" s="6"/>
      <c r="H639" s="11"/>
      <c r="I63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39" t="str">
        <f>IF(Table1[[#This Row],[Nationality]]="Nigeria",Table1[[#This Row],[EMJM Scholarship]],"Not Applicable")</f>
        <v>Not Applicable</v>
      </c>
    </row>
    <row r="640" spans="1:10" ht="19.25" hidden="1" customHeight="1" x14ac:dyDescent="0.3">
      <c r="A640" s="8">
        <v>2434222</v>
      </c>
      <c r="B640" s="6" t="s">
        <v>80</v>
      </c>
      <c r="C640" s="1" t="s">
        <v>9</v>
      </c>
      <c r="D640" s="1" t="s">
        <v>9</v>
      </c>
      <c r="E640" s="1" t="s">
        <v>9</v>
      </c>
      <c r="F640" s="6"/>
      <c r="G640" s="6"/>
      <c r="H640" s="11"/>
      <c r="I64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40" t="str">
        <f>IF(Table1[[#This Row],[Nationality]]="Nigeria",Table1[[#This Row],[EMJM Scholarship]],"Not Applicable")</f>
        <v>Not Applicable</v>
      </c>
    </row>
    <row r="641" spans="1:10" ht="19.25" hidden="1" customHeight="1" x14ac:dyDescent="0.3">
      <c r="A641" s="8">
        <v>2434244</v>
      </c>
      <c r="B641" s="6" t="s">
        <v>80</v>
      </c>
      <c r="C641" s="1" t="s">
        <v>9</v>
      </c>
      <c r="D641" s="1" t="s">
        <v>9</v>
      </c>
      <c r="E641" s="1" t="s">
        <v>9</v>
      </c>
      <c r="F641" s="6"/>
      <c r="G641" s="6"/>
      <c r="H641" s="11"/>
      <c r="I64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41" t="str">
        <f>IF(Table1[[#This Row],[Nationality]]="Nigeria",Table1[[#This Row],[EMJM Scholarship]],"Not Applicable")</f>
        <v>Not Applicable</v>
      </c>
    </row>
    <row r="642" spans="1:10" ht="19.25" hidden="1" customHeight="1" x14ac:dyDescent="0.3">
      <c r="A642" s="8">
        <v>2434246</v>
      </c>
      <c r="B642" s="6" t="s">
        <v>80</v>
      </c>
      <c r="C642" s="1" t="s">
        <v>9</v>
      </c>
      <c r="D642" s="1" t="s">
        <v>9</v>
      </c>
      <c r="E642" s="1" t="s">
        <v>9</v>
      </c>
      <c r="F642" s="6"/>
      <c r="G642" s="6"/>
      <c r="H642" s="11"/>
      <c r="I64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42" t="str">
        <f>IF(Table1[[#This Row],[Nationality]]="Nigeria",Table1[[#This Row],[EMJM Scholarship]],"Not Applicable")</f>
        <v>Not Applicable</v>
      </c>
    </row>
    <row r="643" spans="1:10" ht="19.25" hidden="1" customHeight="1" x14ac:dyDescent="0.3">
      <c r="A643" s="8">
        <v>2434403</v>
      </c>
      <c r="B643" s="6" t="s">
        <v>80</v>
      </c>
      <c r="C643" s="1" t="s">
        <v>9</v>
      </c>
      <c r="D643" s="1" t="s">
        <v>9</v>
      </c>
      <c r="E643" s="1" t="s">
        <v>9</v>
      </c>
      <c r="F643" s="6"/>
      <c r="G643" s="6"/>
      <c r="H643" s="11"/>
      <c r="I64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43" t="str">
        <f>IF(Table1[[#This Row],[Nationality]]="Nigeria",Table1[[#This Row],[EMJM Scholarship]],"Not Applicable")</f>
        <v>Not Applicable</v>
      </c>
    </row>
    <row r="644" spans="1:10" ht="19.25" hidden="1" customHeight="1" x14ac:dyDescent="0.3">
      <c r="A644" s="8">
        <v>2434447</v>
      </c>
      <c r="B644" s="6" t="s">
        <v>80</v>
      </c>
      <c r="C644" s="1" t="s">
        <v>9</v>
      </c>
      <c r="D644" s="1" t="s">
        <v>9</v>
      </c>
      <c r="E644" s="1" t="s">
        <v>9</v>
      </c>
      <c r="F644" s="6"/>
      <c r="G644" s="6"/>
      <c r="H644" s="11"/>
      <c r="I64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44" t="str">
        <f>IF(Table1[[#This Row],[Nationality]]="Nigeria",Table1[[#This Row],[EMJM Scholarship]],"Not Applicable")</f>
        <v>Not Applicable</v>
      </c>
    </row>
    <row r="645" spans="1:10" ht="19.25" hidden="1" customHeight="1" x14ac:dyDescent="0.3">
      <c r="A645" s="8">
        <v>2434943</v>
      </c>
      <c r="B645" s="6" t="s">
        <v>80</v>
      </c>
      <c r="C645" s="1" t="s">
        <v>9</v>
      </c>
      <c r="D645" s="1" t="s">
        <v>9</v>
      </c>
      <c r="E645" s="1" t="s">
        <v>9</v>
      </c>
      <c r="F645" s="6"/>
      <c r="G645" s="6"/>
      <c r="H645" s="11"/>
      <c r="I64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45" t="str">
        <f>IF(Table1[[#This Row],[Nationality]]="Nigeria",Table1[[#This Row],[EMJM Scholarship]],"Not Applicable")</f>
        <v>Not Applicable</v>
      </c>
    </row>
    <row r="646" spans="1:10" ht="19.25" hidden="1" customHeight="1" x14ac:dyDescent="0.3">
      <c r="A646" s="8">
        <v>2435067</v>
      </c>
      <c r="B646" s="6" t="s">
        <v>80</v>
      </c>
      <c r="C646" s="1" t="s">
        <v>9</v>
      </c>
      <c r="D646" s="1" t="s">
        <v>9</v>
      </c>
      <c r="E646" s="1" t="s">
        <v>9</v>
      </c>
      <c r="F646" s="6"/>
      <c r="G646" s="6"/>
      <c r="H646" s="11"/>
      <c r="I64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46" t="str">
        <f>IF(Table1[[#This Row],[Nationality]]="Nigeria",Table1[[#This Row],[EMJM Scholarship]],"Not Applicable")</f>
        <v>Not Applicable</v>
      </c>
    </row>
    <row r="647" spans="1:10" ht="19.25" hidden="1" customHeight="1" x14ac:dyDescent="0.3">
      <c r="A647" s="8">
        <v>2435096</v>
      </c>
      <c r="B647" s="6" t="s">
        <v>80</v>
      </c>
      <c r="C647" s="1" t="s">
        <v>9</v>
      </c>
      <c r="D647" s="1" t="s">
        <v>9</v>
      </c>
      <c r="E647" s="1" t="s">
        <v>9</v>
      </c>
      <c r="F647" s="6"/>
      <c r="G647" s="6"/>
      <c r="H647" s="11"/>
      <c r="I64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47" t="str">
        <f>IF(Table1[[#This Row],[Nationality]]="Nigeria",Table1[[#This Row],[EMJM Scholarship]],"Not Applicable")</f>
        <v>Not Applicable</v>
      </c>
    </row>
    <row r="648" spans="1:10" ht="19.25" hidden="1" customHeight="1" x14ac:dyDescent="0.3">
      <c r="A648" s="8">
        <v>2435209</v>
      </c>
      <c r="B648" s="6" t="s">
        <v>80</v>
      </c>
      <c r="C648" s="1" t="s">
        <v>9</v>
      </c>
      <c r="D648" s="1" t="s">
        <v>9</v>
      </c>
      <c r="E648" s="1" t="s">
        <v>9</v>
      </c>
      <c r="F648" s="6"/>
      <c r="G648" s="6"/>
      <c r="H648" s="11"/>
      <c r="I64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48" t="str">
        <f>IF(Table1[[#This Row],[Nationality]]="Nigeria",Table1[[#This Row],[EMJM Scholarship]],"Not Applicable")</f>
        <v>Not Applicable</v>
      </c>
    </row>
    <row r="649" spans="1:10" ht="19.25" hidden="1" customHeight="1" x14ac:dyDescent="0.3">
      <c r="A649" s="8">
        <v>2435282</v>
      </c>
      <c r="B649" s="6" t="s">
        <v>80</v>
      </c>
      <c r="C649" s="1" t="s">
        <v>9</v>
      </c>
      <c r="D649" s="1" t="s">
        <v>9</v>
      </c>
      <c r="E649" s="1" t="s">
        <v>9</v>
      </c>
      <c r="F649" s="6"/>
      <c r="G649" s="6"/>
      <c r="H649" s="11"/>
      <c r="I64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49" t="str">
        <f>IF(Table1[[#This Row],[Nationality]]="Nigeria",Table1[[#This Row],[EMJM Scholarship]],"Not Applicable")</f>
        <v>Not Applicable</v>
      </c>
    </row>
    <row r="650" spans="1:10" ht="19.25" hidden="1" customHeight="1" x14ac:dyDescent="0.3">
      <c r="A650" s="8">
        <v>2435404</v>
      </c>
      <c r="B650" s="6" t="s">
        <v>80</v>
      </c>
      <c r="C650" s="1" t="s">
        <v>9</v>
      </c>
      <c r="D650" s="1" t="s">
        <v>9</v>
      </c>
      <c r="E650" s="1" t="s">
        <v>9</v>
      </c>
      <c r="F650" s="6"/>
      <c r="G650" s="6"/>
      <c r="H650" s="11"/>
      <c r="I65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50" t="str">
        <f>IF(Table1[[#This Row],[Nationality]]="Nigeria",Table1[[#This Row],[EMJM Scholarship]],"Not Applicable")</f>
        <v>Not Applicable</v>
      </c>
    </row>
    <row r="651" spans="1:10" ht="19.25" hidden="1" customHeight="1" x14ac:dyDescent="0.3">
      <c r="A651" s="8">
        <v>2435663</v>
      </c>
      <c r="B651" s="6" t="s">
        <v>80</v>
      </c>
      <c r="C651" s="1" t="s">
        <v>9</v>
      </c>
      <c r="D651" s="1" t="s">
        <v>9</v>
      </c>
      <c r="E651" s="1" t="s">
        <v>9</v>
      </c>
      <c r="F651" s="6"/>
      <c r="G651" s="6"/>
      <c r="H651" s="11"/>
      <c r="I65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51" t="str">
        <f>IF(Table1[[#This Row],[Nationality]]="Nigeria",Table1[[#This Row],[EMJM Scholarship]],"Not Applicable")</f>
        <v>Not Applicable</v>
      </c>
    </row>
    <row r="652" spans="1:10" ht="19.25" hidden="1" customHeight="1" x14ac:dyDescent="0.3">
      <c r="A652" s="8">
        <v>2435684</v>
      </c>
      <c r="B652" s="6" t="s">
        <v>80</v>
      </c>
      <c r="C652" s="1" t="s">
        <v>9</v>
      </c>
      <c r="D652" s="1" t="s">
        <v>9</v>
      </c>
      <c r="E652" s="1" t="s">
        <v>9</v>
      </c>
      <c r="F652" s="6"/>
      <c r="G652" s="6"/>
      <c r="H652" s="11"/>
      <c r="I65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52" t="str">
        <f>IF(Table1[[#This Row],[Nationality]]="Nigeria",Table1[[#This Row],[EMJM Scholarship]],"Not Applicable")</f>
        <v>Not Applicable</v>
      </c>
    </row>
    <row r="653" spans="1:10" ht="19.25" hidden="1" customHeight="1" x14ac:dyDescent="0.3">
      <c r="A653" s="8">
        <v>2436231</v>
      </c>
      <c r="B653" s="6" t="s">
        <v>80</v>
      </c>
      <c r="C653" s="1" t="s">
        <v>9</v>
      </c>
      <c r="D653" s="1" t="s">
        <v>9</v>
      </c>
      <c r="E653" s="1" t="s">
        <v>9</v>
      </c>
      <c r="F653" s="6"/>
      <c r="G653" s="6"/>
      <c r="H653" s="11"/>
      <c r="I65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53" t="str">
        <f>IF(Table1[[#This Row],[Nationality]]="Nigeria",Table1[[#This Row],[EMJM Scholarship]],"Not Applicable")</f>
        <v>Not Applicable</v>
      </c>
    </row>
    <row r="654" spans="1:10" ht="19.25" hidden="1" customHeight="1" x14ac:dyDescent="0.3">
      <c r="A654" s="8">
        <v>2436249</v>
      </c>
      <c r="B654" s="6" t="s">
        <v>80</v>
      </c>
      <c r="C654" s="1" t="s">
        <v>9</v>
      </c>
      <c r="D654" s="1" t="s">
        <v>9</v>
      </c>
      <c r="E654" s="1" t="s">
        <v>9</v>
      </c>
      <c r="F654" s="6"/>
      <c r="G654" s="6"/>
      <c r="H654" s="11"/>
      <c r="I65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54" t="str">
        <f>IF(Table1[[#This Row],[Nationality]]="Nigeria",Table1[[#This Row],[EMJM Scholarship]],"Not Applicable")</f>
        <v>Not Applicable</v>
      </c>
    </row>
    <row r="655" spans="1:10" ht="19.25" hidden="1" customHeight="1" x14ac:dyDescent="0.3">
      <c r="A655" s="8">
        <v>2436371</v>
      </c>
      <c r="B655" s="6" t="s">
        <v>80</v>
      </c>
      <c r="C655" s="1" t="s">
        <v>9</v>
      </c>
      <c r="D655" s="1" t="s">
        <v>9</v>
      </c>
      <c r="E655" s="1" t="s">
        <v>9</v>
      </c>
      <c r="F655" s="6"/>
      <c r="G655" s="6"/>
      <c r="H655" s="11"/>
      <c r="I65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55" t="str">
        <f>IF(Table1[[#This Row],[Nationality]]="Nigeria",Table1[[#This Row],[EMJM Scholarship]],"Not Applicable")</f>
        <v>Not Applicable</v>
      </c>
    </row>
    <row r="656" spans="1:10" ht="19.25" hidden="1" customHeight="1" x14ac:dyDescent="0.3">
      <c r="A656" s="8">
        <v>2436602</v>
      </c>
      <c r="B656" s="6" t="s">
        <v>80</v>
      </c>
      <c r="C656" s="1" t="s">
        <v>9</v>
      </c>
      <c r="D656" s="1" t="s">
        <v>9</v>
      </c>
      <c r="E656" s="1" t="s">
        <v>9</v>
      </c>
      <c r="F656" s="6"/>
      <c r="G656" s="6"/>
      <c r="H656" s="11"/>
      <c r="I65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56" t="str">
        <f>IF(Table1[[#This Row],[Nationality]]="Nigeria",Table1[[#This Row],[EMJM Scholarship]],"Not Applicable")</f>
        <v>Not Applicable</v>
      </c>
    </row>
    <row r="657" spans="1:10" ht="19.25" hidden="1" customHeight="1" x14ac:dyDescent="0.3">
      <c r="A657" s="8">
        <v>2436785</v>
      </c>
      <c r="B657" s="6" t="s">
        <v>80</v>
      </c>
      <c r="C657" s="1" t="s">
        <v>9</v>
      </c>
      <c r="D657" s="1" t="s">
        <v>9</v>
      </c>
      <c r="E657" s="1" t="s">
        <v>9</v>
      </c>
      <c r="F657" s="6"/>
      <c r="G657" s="6"/>
      <c r="H657" s="11"/>
      <c r="I65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57" t="str">
        <f>IF(Table1[[#This Row],[Nationality]]="Nigeria",Table1[[#This Row],[EMJM Scholarship]],"Not Applicable")</f>
        <v>Not Applicable</v>
      </c>
    </row>
    <row r="658" spans="1:10" ht="19.25" hidden="1" customHeight="1" x14ac:dyDescent="0.3">
      <c r="A658" s="8">
        <v>2436991</v>
      </c>
      <c r="B658" s="6" t="s">
        <v>80</v>
      </c>
      <c r="C658" s="1" t="s">
        <v>9</v>
      </c>
      <c r="D658" s="1" t="s">
        <v>9</v>
      </c>
      <c r="E658" s="1" t="s">
        <v>9</v>
      </c>
      <c r="F658" s="6"/>
      <c r="G658" s="6"/>
      <c r="H658" s="11"/>
      <c r="I65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58" t="str">
        <f>IF(Table1[[#This Row],[Nationality]]="Nigeria",Table1[[#This Row],[EMJM Scholarship]],"Not Applicable")</f>
        <v>Not Applicable</v>
      </c>
    </row>
    <row r="659" spans="1:10" ht="19.25" hidden="1" customHeight="1" x14ac:dyDescent="0.3">
      <c r="A659" s="8">
        <v>2437059</v>
      </c>
      <c r="B659" s="6" t="s">
        <v>80</v>
      </c>
      <c r="C659" s="1" t="s">
        <v>9</v>
      </c>
      <c r="D659" s="1" t="s">
        <v>9</v>
      </c>
      <c r="E659" s="1" t="s">
        <v>9</v>
      </c>
      <c r="F659" s="6"/>
      <c r="G659" s="6"/>
      <c r="H659" s="11"/>
      <c r="I65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59" t="str">
        <f>IF(Table1[[#This Row],[Nationality]]="Nigeria",Table1[[#This Row],[EMJM Scholarship]],"Not Applicable")</f>
        <v>Not Applicable</v>
      </c>
    </row>
    <row r="660" spans="1:10" ht="19.25" hidden="1" customHeight="1" x14ac:dyDescent="0.3">
      <c r="A660" s="8">
        <v>2437084</v>
      </c>
      <c r="B660" s="6" t="s">
        <v>80</v>
      </c>
      <c r="C660" s="1" t="s">
        <v>9</v>
      </c>
      <c r="D660" s="1" t="s">
        <v>9</v>
      </c>
      <c r="E660" s="1" t="s">
        <v>9</v>
      </c>
      <c r="F660" s="6"/>
      <c r="G660" s="6"/>
      <c r="H660" s="11"/>
      <c r="I66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60" t="str">
        <f>IF(Table1[[#This Row],[Nationality]]="Nigeria",Table1[[#This Row],[EMJM Scholarship]],"Not Applicable")</f>
        <v>Not Applicable</v>
      </c>
    </row>
    <row r="661" spans="1:10" ht="19.25" hidden="1" customHeight="1" x14ac:dyDescent="0.3">
      <c r="A661" s="8">
        <v>2437234</v>
      </c>
      <c r="B661" s="6" t="s">
        <v>80</v>
      </c>
      <c r="C661" s="1" t="s">
        <v>9</v>
      </c>
      <c r="D661" s="1" t="s">
        <v>9</v>
      </c>
      <c r="E661" s="1" t="s">
        <v>9</v>
      </c>
      <c r="F661" s="6"/>
      <c r="G661" s="6"/>
      <c r="H661" s="11"/>
      <c r="I66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61" t="str">
        <f>IF(Table1[[#This Row],[Nationality]]="Nigeria",Table1[[#This Row],[EMJM Scholarship]],"Not Applicable")</f>
        <v>Not Applicable</v>
      </c>
    </row>
    <row r="662" spans="1:10" ht="19.25" hidden="1" customHeight="1" x14ac:dyDescent="0.3">
      <c r="A662" s="8">
        <v>2437336</v>
      </c>
      <c r="B662" s="6" t="s">
        <v>80</v>
      </c>
      <c r="C662" s="1" t="s">
        <v>9</v>
      </c>
      <c r="D662" s="1" t="s">
        <v>9</v>
      </c>
      <c r="E662" s="1" t="s">
        <v>9</v>
      </c>
      <c r="F662" s="6"/>
      <c r="G662" s="6"/>
      <c r="H662" s="11"/>
      <c r="I66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62" t="str">
        <f>IF(Table1[[#This Row],[Nationality]]="Nigeria",Table1[[#This Row],[EMJM Scholarship]],"Not Applicable")</f>
        <v>Not Applicable</v>
      </c>
    </row>
    <row r="663" spans="1:10" ht="19.25" hidden="1" customHeight="1" x14ac:dyDescent="0.3">
      <c r="A663" s="8">
        <v>2437390</v>
      </c>
      <c r="B663" s="6" t="s">
        <v>80</v>
      </c>
      <c r="C663" s="1" t="s">
        <v>9</v>
      </c>
      <c r="D663" s="1" t="s">
        <v>9</v>
      </c>
      <c r="E663" s="1" t="s">
        <v>9</v>
      </c>
      <c r="F663" s="6"/>
      <c r="G663" s="6"/>
      <c r="H663" s="11"/>
      <c r="I66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63" t="str">
        <f>IF(Table1[[#This Row],[Nationality]]="Nigeria",Table1[[#This Row],[EMJM Scholarship]],"Not Applicable")</f>
        <v>Not Applicable</v>
      </c>
    </row>
    <row r="664" spans="1:10" ht="19.25" hidden="1" customHeight="1" x14ac:dyDescent="0.3">
      <c r="A664" s="8">
        <v>2437890</v>
      </c>
      <c r="B664" s="6" t="s">
        <v>80</v>
      </c>
      <c r="C664" s="1" t="s">
        <v>9</v>
      </c>
      <c r="D664" s="1" t="s">
        <v>9</v>
      </c>
      <c r="E664" s="1" t="s">
        <v>9</v>
      </c>
      <c r="F664" s="6"/>
      <c r="G664" s="6"/>
      <c r="H664" s="11"/>
      <c r="I66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64" t="str">
        <f>IF(Table1[[#This Row],[Nationality]]="Nigeria",Table1[[#This Row],[EMJM Scholarship]],"Not Applicable")</f>
        <v>Not Applicable</v>
      </c>
    </row>
    <row r="665" spans="1:10" ht="19.25" hidden="1" customHeight="1" x14ac:dyDescent="0.3">
      <c r="A665" s="8">
        <v>2437899</v>
      </c>
      <c r="B665" s="6" t="s">
        <v>80</v>
      </c>
      <c r="C665" s="1" t="s">
        <v>9</v>
      </c>
      <c r="D665" s="1" t="s">
        <v>9</v>
      </c>
      <c r="E665" s="1" t="s">
        <v>9</v>
      </c>
      <c r="F665" s="6"/>
      <c r="G665" s="6"/>
      <c r="H665" s="11"/>
      <c r="I66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65" t="str">
        <f>IF(Table1[[#This Row],[Nationality]]="Nigeria",Table1[[#This Row],[EMJM Scholarship]],"Not Applicable")</f>
        <v>Not Applicable</v>
      </c>
    </row>
    <row r="666" spans="1:10" ht="19.25" hidden="1" customHeight="1" x14ac:dyDescent="0.3">
      <c r="A666" s="8">
        <v>2437906</v>
      </c>
      <c r="B666" s="6" t="s">
        <v>80</v>
      </c>
      <c r="C666" s="1" t="s">
        <v>9</v>
      </c>
      <c r="D666" s="1" t="s">
        <v>9</v>
      </c>
      <c r="E666" s="1" t="s">
        <v>9</v>
      </c>
      <c r="F666" s="6"/>
      <c r="G666" s="6"/>
      <c r="H666" s="11"/>
      <c r="I66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66" t="str">
        <f>IF(Table1[[#This Row],[Nationality]]="Nigeria",Table1[[#This Row],[EMJM Scholarship]],"Not Applicable")</f>
        <v>Not Applicable</v>
      </c>
    </row>
    <row r="667" spans="1:10" ht="19.25" hidden="1" customHeight="1" x14ac:dyDescent="0.3">
      <c r="A667" s="8">
        <v>2438000</v>
      </c>
      <c r="B667" s="6" t="s">
        <v>80</v>
      </c>
      <c r="C667" s="1" t="s">
        <v>9</v>
      </c>
      <c r="D667" s="1" t="s">
        <v>9</v>
      </c>
      <c r="E667" s="1" t="s">
        <v>9</v>
      </c>
      <c r="F667" s="6"/>
      <c r="G667" s="6"/>
      <c r="H667" s="11"/>
      <c r="I66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67" t="str">
        <f>IF(Table1[[#This Row],[Nationality]]="Nigeria",Table1[[#This Row],[EMJM Scholarship]],"Not Applicable")</f>
        <v>Not Applicable</v>
      </c>
    </row>
    <row r="668" spans="1:10" ht="19.25" hidden="1" customHeight="1" x14ac:dyDescent="0.3">
      <c r="A668" s="8">
        <v>2438047</v>
      </c>
      <c r="B668" s="6" t="s">
        <v>80</v>
      </c>
      <c r="C668" s="1" t="s">
        <v>9</v>
      </c>
      <c r="D668" s="1" t="s">
        <v>9</v>
      </c>
      <c r="E668" s="1" t="s">
        <v>9</v>
      </c>
      <c r="F668" s="6"/>
      <c r="G668" s="6"/>
      <c r="H668" s="11"/>
      <c r="I66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68" t="str">
        <f>IF(Table1[[#This Row],[Nationality]]="Nigeria",Table1[[#This Row],[EMJM Scholarship]],"Not Applicable")</f>
        <v>Not Applicable</v>
      </c>
    </row>
    <row r="669" spans="1:10" ht="19.25" hidden="1" customHeight="1" x14ac:dyDescent="0.3">
      <c r="A669" s="8">
        <v>2438048</v>
      </c>
      <c r="B669" s="6" t="s">
        <v>80</v>
      </c>
      <c r="C669" s="1" t="s">
        <v>9</v>
      </c>
      <c r="D669" s="1" t="s">
        <v>9</v>
      </c>
      <c r="E669" s="1" t="s">
        <v>9</v>
      </c>
      <c r="F669" s="6"/>
      <c r="G669" s="6"/>
      <c r="H669" s="11"/>
      <c r="I66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69" t="str">
        <f>IF(Table1[[#This Row],[Nationality]]="Nigeria",Table1[[#This Row],[EMJM Scholarship]],"Not Applicable")</f>
        <v>Not Applicable</v>
      </c>
    </row>
    <row r="670" spans="1:10" ht="19.25" hidden="1" customHeight="1" x14ac:dyDescent="0.3">
      <c r="A670" s="8">
        <v>2438123</v>
      </c>
      <c r="B670" s="6" t="s">
        <v>80</v>
      </c>
      <c r="C670" s="1" t="s">
        <v>9</v>
      </c>
      <c r="D670" s="1" t="s">
        <v>9</v>
      </c>
      <c r="E670" s="1" t="s">
        <v>9</v>
      </c>
      <c r="F670" s="6"/>
      <c r="G670" s="6"/>
      <c r="H670" s="11"/>
      <c r="I67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70" t="str">
        <f>IF(Table1[[#This Row],[Nationality]]="Nigeria",Table1[[#This Row],[EMJM Scholarship]],"Not Applicable")</f>
        <v>Not Applicable</v>
      </c>
    </row>
    <row r="671" spans="1:10" ht="19.25" hidden="1" customHeight="1" x14ac:dyDescent="0.3">
      <c r="A671" s="8">
        <v>2438313</v>
      </c>
      <c r="B671" s="6" t="s">
        <v>80</v>
      </c>
      <c r="C671" s="1" t="s">
        <v>9</v>
      </c>
      <c r="D671" s="1" t="s">
        <v>9</v>
      </c>
      <c r="E671" s="1" t="s">
        <v>9</v>
      </c>
      <c r="F671" s="6"/>
      <c r="G671" s="6"/>
      <c r="H671" s="11"/>
      <c r="I67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71" t="str">
        <f>IF(Table1[[#This Row],[Nationality]]="Nigeria",Table1[[#This Row],[EMJM Scholarship]],"Not Applicable")</f>
        <v>Not Applicable</v>
      </c>
    </row>
    <row r="672" spans="1:10" ht="19.25" hidden="1" customHeight="1" x14ac:dyDescent="0.3">
      <c r="A672" s="8">
        <v>2438415</v>
      </c>
      <c r="B672" s="6" t="s">
        <v>80</v>
      </c>
      <c r="C672" s="1" t="s">
        <v>9</v>
      </c>
      <c r="D672" s="1" t="s">
        <v>9</v>
      </c>
      <c r="E672" s="1" t="s">
        <v>9</v>
      </c>
      <c r="F672" s="6"/>
      <c r="G672" s="6"/>
      <c r="H672" s="11"/>
      <c r="I67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72" t="str">
        <f>IF(Table1[[#This Row],[Nationality]]="Nigeria",Table1[[#This Row],[EMJM Scholarship]],"Not Applicable")</f>
        <v>Not Applicable</v>
      </c>
    </row>
    <row r="673" spans="1:10" ht="19.25" hidden="1" customHeight="1" x14ac:dyDescent="0.3">
      <c r="A673" s="8">
        <v>2438418</v>
      </c>
      <c r="B673" s="6" t="s">
        <v>80</v>
      </c>
      <c r="C673" s="1" t="s">
        <v>9</v>
      </c>
      <c r="D673" s="1" t="s">
        <v>9</v>
      </c>
      <c r="E673" s="1" t="s">
        <v>9</v>
      </c>
      <c r="F673" s="6"/>
      <c r="G673" s="6"/>
      <c r="H673" s="11"/>
      <c r="I67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73" t="str">
        <f>IF(Table1[[#This Row],[Nationality]]="Nigeria",Table1[[#This Row],[EMJM Scholarship]],"Not Applicable")</f>
        <v>Not Applicable</v>
      </c>
    </row>
    <row r="674" spans="1:10" ht="19.25" hidden="1" customHeight="1" x14ac:dyDescent="0.3">
      <c r="A674" s="8">
        <v>2438421</v>
      </c>
      <c r="B674" s="6" t="s">
        <v>80</v>
      </c>
      <c r="C674" s="1" t="s">
        <v>9</v>
      </c>
      <c r="D674" s="1" t="s">
        <v>9</v>
      </c>
      <c r="E674" s="1" t="s">
        <v>9</v>
      </c>
      <c r="F674" s="6"/>
      <c r="G674" s="6"/>
      <c r="H674" s="11"/>
      <c r="I67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74" t="str">
        <f>IF(Table1[[#This Row],[Nationality]]="Nigeria",Table1[[#This Row],[EMJM Scholarship]],"Not Applicable")</f>
        <v>Not Applicable</v>
      </c>
    </row>
    <row r="675" spans="1:10" ht="19.25" hidden="1" customHeight="1" x14ac:dyDescent="0.3">
      <c r="A675" s="8">
        <v>2438599</v>
      </c>
      <c r="B675" s="6" t="s">
        <v>80</v>
      </c>
      <c r="C675" s="1" t="s">
        <v>9</v>
      </c>
      <c r="D675" s="1" t="s">
        <v>9</v>
      </c>
      <c r="E675" s="1" t="s">
        <v>9</v>
      </c>
      <c r="F675" s="6"/>
      <c r="G675" s="6"/>
      <c r="H675" s="11"/>
      <c r="I67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75" t="str">
        <f>IF(Table1[[#This Row],[Nationality]]="Nigeria",Table1[[#This Row],[EMJM Scholarship]],"Not Applicable")</f>
        <v>Not Applicable</v>
      </c>
    </row>
    <row r="676" spans="1:10" ht="19.25" hidden="1" customHeight="1" x14ac:dyDescent="0.3">
      <c r="A676" s="8">
        <v>2438653</v>
      </c>
      <c r="B676" s="6" t="s">
        <v>80</v>
      </c>
      <c r="C676" s="1" t="s">
        <v>9</v>
      </c>
      <c r="D676" s="1" t="s">
        <v>9</v>
      </c>
      <c r="E676" s="1" t="s">
        <v>9</v>
      </c>
      <c r="F676" s="6"/>
      <c r="G676" s="6"/>
      <c r="H676" s="11"/>
      <c r="I67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76" t="str">
        <f>IF(Table1[[#This Row],[Nationality]]="Nigeria",Table1[[#This Row],[EMJM Scholarship]],"Not Applicable")</f>
        <v>Not Applicable</v>
      </c>
    </row>
    <row r="677" spans="1:10" ht="19.25" hidden="1" customHeight="1" x14ac:dyDescent="0.3">
      <c r="A677" s="8">
        <v>2438788</v>
      </c>
      <c r="B677" s="6" t="s">
        <v>80</v>
      </c>
      <c r="C677" s="1" t="s">
        <v>9</v>
      </c>
      <c r="D677" s="1" t="s">
        <v>9</v>
      </c>
      <c r="E677" s="1" t="s">
        <v>9</v>
      </c>
      <c r="F677" s="6"/>
      <c r="G677" s="6"/>
      <c r="H677" s="11"/>
      <c r="I67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77" t="str">
        <f>IF(Table1[[#This Row],[Nationality]]="Nigeria",Table1[[#This Row],[EMJM Scholarship]],"Not Applicable")</f>
        <v>Not Applicable</v>
      </c>
    </row>
    <row r="678" spans="1:10" ht="19.25" hidden="1" customHeight="1" x14ac:dyDescent="0.3">
      <c r="A678" s="8">
        <v>2438795</v>
      </c>
      <c r="B678" s="6" t="s">
        <v>80</v>
      </c>
      <c r="C678" s="1" t="s">
        <v>9</v>
      </c>
      <c r="D678" s="1" t="s">
        <v>9</v>
      </c>
      <c r="E678" s="1" t="s">
        <v>9</v>
      </c>
      <c r="F678" s="6"/>
      <c r="G678" s="6"/>
      <c r="H678" s="11"/>
      <c r="I67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78" t="str">
        <f>IF(Table1[[#This Row],[Nationality]]="Nigeria",Table1[[#This Row],[EMJM Scholarship]],"Not Applicable")</f>
        <v>Not Applicable</v>
      </c>
    </row>
    <row r="679" spans="1:10" ht="19.25" hidden="1" customHeight="1" x14ac:dyDescent="0.3">
      <c r="A679" s="8">
        <v>2438984</v>
      </c>
      <c r="B679" s="6" t="s">
        <v>80</v>
      </c>
      <c r="C679" s="1" t="s">
        <v>9</v>
      </c>
      <c r="D679" s="1" t="s">
        <v>9</v>
      </c>
      <c r="E679" s="1" t="s">
        <v>9</v>
      </c>
      <c r="F679" s="6"/>
      <c r="G679" s="6"/>
      <c r="H679" s="11"/>
      <c r="I67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79" t="str">
        <f>IF(Table1[[#This Row],[Nationality]]="Nigeria",Table1[[#This Row],[EMJM Scholarship]],"Not Applicable")</f>
        <v>Not Applicable</v>
      </c>
    </row>
    <row r="680" spans="1:10" ht="19.25" hidden="1" customHeight="1" x14ac:dyDescent="0.3">
      <c r="A680" s="8">
        <v>2439198</v>
      </c>
      <c r="B680" s="6" t="s">
        <v>80</v>
      </c>
      <c r="C680" s="1" t="s">
        <v>9</v>
      </c>
      <c r="D680" s="1" t="s">
        <v>9</v>
      </c>
      <c r="E680" s="1" t="s">
        <v>9</v>
      </c>
      <c r="F680" s="6"/>
      <c r="G680" s="6"/>
      <c r="H680" s="11"/>
      <c r="I68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80" t="str">
        <f>IF(Table1[[#This Row],[Nationality]]="Nigeria",Table1[[#This Row],[EMJM Scholarship]],"Not Applicable")</f>
        <v>Not Applicable</v>
      </c>
    </row>
    <row r="681" spans="1:10" ht="19.25" hidden="1" customHeight="1" x14ac:dyDescent="0.3">
      <c r="A681" s="8">
        <v>2439301</v>
      </c>
      <c r="B681" s="6" t="s">
        <v>80</v>
      </c>
      <c r="C681" s="1" t="s">
        <v>9</v>
      </c>
      <c r="D681" s="1" t="s">
        <v>9</v>
      </c>
      <c r="E681" s="1" t="s">
        <v>9</v>
      </c>
      <c r="F681" s="6"/>
      <c r="G681" s="6"/>
      <c r="H681" s="11"/>
      <c r="I68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81" t="str">
        <f>IF(Table1[[#This Row],[Nationality]]="Nigeria",Table1[[#This Row],[EMJM Scholarship]],"Not Applicable")</f>
        <v>Not Applicable</v>
      </c>
    </row>
    <row r="682" spans="1:10" ht="19.25" hidden="1" customHeight="1" x14ac:dyDescent="0.3">
      <c r="A682" s="8">
        <v>2439380</v>
      </c>
      <c r="B682" s="6" t="s">
        <v>80</v>
      </c>
      <c r="C682" s="1" t="s">
        <v>9</v>
      </c>
      <c r="D682" s="1" t="s">
        <v>9</v>
      </c>
      <c r="E682" s="1" t="s">
        <v>9</v>
      </c>
      <c r="F682" s="6"/>
      <c r="G682" s="6"/>
      <c r="H682" s="11"/>
      <c r="I68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82" t="str">
        <f>IF(Table1[[#This Row],[Nationality]]="Nigeria",Table1[[#This Row],[EMJM Scholarship]],"Not Applicable")</f>
        <v>Not Applicable</v>
      </c>
    </row>
    <row r="683" spans="1:10" ht="19.25" hidden="1" customHeight="1" x14ac:dyDescent="0.3">
      <c r="A683" s="8">
        <v>2439603</v>
      </c>
      <c r="B683" s="6" t="s">
        <v>80</v>
      </c>
      <c r="C683" s="1" t="s">
        <v>9</v>
      </c>
      <c r="D683" s="1" t="s">
        <v>9</v>
      </c>
      <c r="E683" s="1" t="s">
        <v>9</v>
      </c>
      <c r="F683" s="6"/>
      <c r="G683" s="6"/>
      <c r="H683" s="11"/>
      <c r="I68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83" t="str">
        <f>IF(Table1[[#This Row],[Nationality]]="Nigeria",Table1[[#This Row],[EMJM Scholarship]],"Not Applicable")</f>
        <v>Not Applicable</v>
      </c>
    </row>
    <row r="684" spans="1:10" ht="19.25" hidden="1" customHeight="1" x14ac:dyDescent="0.3">
      <c r="A684" s="8">
        <v>2439776</v>
      </c>
      <c r="B684" s="6" t="s">
        <v>80</v>
      </c>
      <c r="C684" s="1" t="s">
        <v>9</v>
      </c>
      <c r="D684" s="1" t="s">
        <v>9</v>
      </c>
      <c r="E684" s="1" t="s">
        <v>9</v>
      </c>
      <c r="F684" s="6"/>
      <c r="G684" s="6"/>
      <c r="H684" s="11"/>
      <c r="I68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84" t="str">
        <f>IF(Table1[[#This Row],[Nationality]]="Nigeria",Table1[[#This Row],[EMJM Scholarship]],"Not Applicable")</f>
        <v>Not Applicable</v>
      </c>
    </row>
    <row r="685" spans="1:10" ht="19.25" hidden="1" customHeight="1" x14ac:dyDescent="0.3">
      <c r="A685" s="8">
        <v>2439828</v>
      </c>
      <c r="B685" s="6" t="s">
        <v>80</v>
      </c>
      <c r="C685" s="1" t="s">
        <v>9</v>
      </c>
      <c r="D685" s="1" t="s">
        <v>9</v>
      </c>
      <c r="E685" s="1" t="s">
        <v>9</v>
      </c>
      <c r="F685" s="6"/>
      <c r="G685" s="6"/>
      <c r="H685" s="11"/>
      <c r="I68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85" t="str">
        <f>IF(Table1[[#This Row],[Nationality]]="Nigeria",Table1[[#This Row],[EMJM Scholarship]],"Not Applicable")</f>
        <v>Not Applicable</v>
      </c>
    </row>
    <row r="686" spans="1:10" ht="19.25" hidden="1" customHeight="1" x14ac:dyDescent="0.3">
      <c r="A686" s="8">
        <v>2439906</v>
      </c>
      <c r="B686" s="6" t="s">
        <v>80</v>
      </c>
      <c r="C686" s="1" t="s">
        <v>9</v>
      </c>
      <c r="D686" s="1" t="s">
        <v>9</v>
      </c>
      <c r="E686" s="1" t="s">
        <v>9</v>
      </c>
      <c r="F686" s="6"/>
      <c r="G686" s="6"/>
      <c r="H686" s="11"/>
      <c r="I68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86" t="str">
        <f>IF(Table1[[#This Row],[Nationality]]="Nigeria",Table1[[#This Row],[EMJM Scholarship]],"Not Applicable")</f>
        <v>Not Applicable</v>
      </c>
    </row>
    <row r="687" spans="1:10" ht="19.25" hidden="1" customHeight="1" x14ac:dyDescent="0.3">
      <c r="A687" s="8">
        <v>2439978</v>
      </c>
      <c r="B687" s="6" t="s">
        <v>80</v>
      </c>
      <c r="C687" s="1" t="s">
        <v>9</v>
      </c>
      <c r="D687" s="1" t="s">
        <v>9</v>
      </c>
      <c r="E687" s="1" t="s">
        <v>9</v>
      </c>
      <c r="F687" s="6"/>
      <c r="G687" s="6"/>
      <c r="H687" s="11"/>
      <c r="I68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87" t="str">
        <f>IF(Table1[[#This Row],[Nationality]]="Nigeria",Table1[[#This Row],[EMJM Scholarship]],"Not Applicable")</f>
        <v>Not Applicable</v>
      </c>
    </row>
    <row r="688" spans="1:10" ht="19.25" hidden="1" customHeight="1" x14ac:dyDescent="0.3">
      <c r="A688" s="8">
        <v>2440111</v>
      </c>
      <c r="B688" s="6" t="s">
        <v>80</v>
      </c>
      <c r="C688" s="1" t="s">
        <v>9</v>
      </c>
      <c r="D688" s="1" t="s">
        <v>9</v>
      </c>
      <c r="E688" s="1" t="s">
        <v>9</v>
      </c>
      <c r="F688" s="6"/>
      <c r="G688" s="6"/>
      <c r="H688" s="11"/>
      <c r="I68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88" t="str">
        <f>IF(Table1[[#This Row],[Nationality]]="Nigeria",Table1[[#This Row],[EMJM Scholarship]],"Not Applicable")</f>
        <v>Not Applicable</v>
      </c>
    </row>
    <row r="689" spans="1:10" ht="19.25" hidden="1" customHeight="1" x14ac:dyDescent="0.3">
      <c r="A689" s="8">
        <v>2440113</v>
      </c>
      <c r="B689" s="6" t="s">
        <v>80</v>
      </c>
      <c r="C689" s="1" t="s">
        <v>9</v>
      </c>
      <c r="D689" s="1" t="s">
        <v>9</v>
      </c>
      <c r="E689" s="1" t="s">
        <v>9</v>
      </c>
      <c r="F689" s="6"/>
      <c r="G689" s="6"/>
      <c r="H689" s="11"/>
      <c r="I68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89" t="str">
        <f>IF(Table1[[#This Row],[Nationality]]="Nigeria",Table1[[#This Row],[EMJM Scholarship]],"Not Applicable")</f>
        <v>Not Applicable</v>
      </c>
    </row>
    <row r="690" spans="1:10" ht="19.25" hidden="1" customHeight="1" x14ac:dyDescent="0.3">
      <c r="A690" s="8">
        <v>2440262</v>
      </c>
      <c r="B690" s="6" t="s">
        <v>80</v>
      </c>
      <c r="C690" s="1" t="s">
        <v>9</v>
      </c>
      <c r="D690" s="1" t="s">
        <v>9</v>
      </c>
      <c r="E690" s="1" t="s">
        <v>9</v>
      </c>
      <c r="F690" s="6"/>
      <c r="G690" s="6"/>
      <c r="H690" s="11"/>
      <c r="I69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90" t="str">
        <f>IF(Table1[[#This Row],[Nationality]]="Nigeria",Table1[[#This Row],[EMJM Scholarship]],"Not Applicable")</f>
        <v>Not Applicable</v>
      </c>
    </row>
    <row r="691" spans="1:10" ht="19.25" hidden="1" customHeight="1" x14ac:dyDescent="0.3">
      <c r="A691" s="8">
        <v>2440305</v>
      </c>
      <c r="B691" s="6" t="s">
        <v>80</v>
      </c>
      <c r="C691" s="1" t="s">
        <v>9</v>
      </c>
      <c r="D691" s="1" t="s">
        <v>9</v>
      </c>
      <c r="E691" s="1" t="s">
        <v>9</v>
      </c>
      <c r="F691" s="6"/>
      <c r="G691" s="6"/>
      <c r="H691" s="11"/>
      <c r="I69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91" t="str">
        <f>IF(Table1[[#This Row],[Nationality]]="Nigeria",Table1[[#This Row],[EMJM Scholarship]],"Not Applicable")</f>
        <v>Not Applicable</v>
      </c>
    </row>
    <row r="692" spans="1:10" ht="19.25" hidden="1" customHeight="1" x14ac:dyDescent="0.3">
      <c r="A692" s="8">
        <v>2440339</v>
      </c>
      <c r="B692" s="6" t="s">
        <v>80</v>
      </c>
      <c r="C692" s="1" t="s">
        <v>9</v>
      </c>
      <c r="D692" s="1" t="s">
        <v>9</v>
      </c>
      <c r="E692" s="1" t="s">
        <v>9</v>
      </c>
      <c r="F692" s="6"/>
      <c r="G692" s="6"/>
      <c r="H692" s="11"/>
      <c r="I69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92" t="str">
        <f>IF(Table1[[#This Row],[Nationality]]="Nigeria",Table1[[#This Row],[EMJM Scholarship]],"Not Applicable")</f>
        <v>Not Applicable</v>
      </c>
    </row>
    <row r="693" spans="1:10" ht="19.25" hidden="1" customHeight="1" x14ac:dyDescent="0.3">
      <c r="A693" s="8">
        <v>2440395</v>
      </c>
      <c r="B693" s="6" t="s">
        <v>80</v>
      </c>
      <c r="C693" s="1" t="s">
        <v>9</v>
      </c>
      <c r="D693" s="1" t="s">
        <v>9</v>
      </c>
      <c r="E693" s="1" t="s">
        <v>9</v>
      </c>
      <c r="F693" s="6"/>
      <c r="G693" s="6"/>
      <c r="H693" s="11"/>
      <c r="I69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93" t="str">
        <f>IF(Table1[[#This Row],[Nationality]]="Nigeria",Table1[[#This Row],[EMJM Scholarship]],"Not Applicable")</f>
        <v>Not Applicable</v>
      </c>
    </row>
    <row r="694" spans="1:10" ht="19.25" hidden="1" customHeight="1" x14ac:dyDescent="0.3">
      <c r="A694" s="8">
        <v>2440399</v>
      </c>
      <c r="B694" s="6" t="s">
        <v>80</v>
      </c>
      <c r="C694" s="1" t="s">
        <v>9</v>
      </c>
      <c r="D694" s="1" t="s">
        <v>9</v>
      </c>
      <c r="E694" s="1" t="s">
        <v>9</v>
      </c>
      <c r="F694" s="6"/>
      <c r="G694" s="6"/>
      <c r="H694" s="11"/>
      <c r="I69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94" t="str">
        <f>IF(Table1[[#This Row],[Nationality]]="Nigeria",Table1[[#This Row],[EMJM Scholarship]],"Not Applicable")</f>
        <v>Not Applicable</v>
      </c>
    </row>
    <row r="695" spans="1:10" ht="19.25" hidden="1" customHeight="1" x14ac:dyDescent="0.3">
      <c r="A695" s="8">
        <v>2440447</v>
      </c>
      <c r="B695" s="6" t="s">
        <v>80</v>
      </c>
      <c r="C695" s="1" t="s">
        <v>9</v>
      </c>
      <c r="D695" s="1" t="s">
        <v>9</v>
      </c>
      <c r="E695" s="1" t="s">
        <v>9</v>
      </c>
      <c r="F695" s="6"/>
      <c r="G695" s="6"/>
      <c r="H695" s="11"/>
      <c r="I69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95" t="str">
        <f>IF(Table1[[#This Row],[Nationality]]="Nigeria",Table1[[#This Row],[EMJM Scholarship]],"Not Applicable")</f>
        <v>Not Applicable</v>
      </c>
    </row>
    <row r="696" spans="1:10" ht="19.25" hidden="1" customHeight="1" x14ac:dyDescent="0.3">
      <c r="A696" s="8">
        <v>2440638</v>
      </c>
      <c r="B696" s="6" t="s">
        <v>80</v>
      </c>
      <c r="C696" s="1" t="s">
        <v>9</v>
      </c>
      <c r="D696" s="1" t="s">
        <v>9</v>
      </c>
      <c r="E696" s="1" t="s">
        <v>9</v>
      </c>
      <c r="F696" s="6"/>
      <c r="G696" s="6"/>
      <c r="H696" s="11"/>
      <c r="I69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96" t="str">
        <f>IF(Table1[[#This Row],[Nationality]]="Nigeria",Table1[[#This Row],[EMJM Scholarship]],"Not Applicable")</f>
        <v>Not Applicable</v>
      </c>
    </row>
    <row r="697" spans="1:10" ht="19.25" hidden="1" customHeight="1" x14ac:dyDescent="0.3">
      <c r="A697" s="8">
        <v>2441050</v>
      </c>
      <c r="B697" s="6" t="s">
        <v>80</v>
      </c>
      <c r="C697" s="1" t="s">
        <v>9</v>
      </c>
      <c r="D697" s="1" t="s">
        <v>9</v>
      </c>
      <c r="E697" s="1" t="s">
        <v>9</v>
      </c>
      <c r="F697" s="6"/>
      <c r="G697" s="6"/>
      <c r="H697" s="11"/>
      <c r="I69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97" t="str">
        <f>IF(Table1[[#This Row],[Nationality]]="Nigeria",Table1[[#This Row],[EMJM Scholarship]],"Not Applicable")</f>
        <v>Not Applicable</v>
      </c>
    </row>
    <row r="698" spans="1:10" ht="19.25" hidden="1" customHeight="1" x14ac:dyDescent="0.3">
      <c r="A698" s="8">
        <v>2441126</v>
      </c>
      <c r="B698" s="6" t="s">
        <v>80</v>
      </c>
      <c r="C698" s="1" t="s">
        <v>9</v>
      </c>
      <c r="D698" s="1" t="s">
        <v>9</v>
      </c>
      <c r="E698" s="1" t="s">
        <v>9</v>
      </c>
      <c r="F698" s="6"/>
      <c r="G698" s="6"/>
      <c r="H698" s="11"/>
      <c r="I69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98" t="str">
        <f>IF(Table1[[#This Row],[Nationality]]="Nigeria",Table1[[#This Row],[EMJM Scholarship]],"Not Applicable")</f>
        <v>Not Applicable</v>
      </c>
    </row>
    <row r="699" spans="1:10" ht="19.25" hidden="1" customHeight="1" x14ac:dyDescent="0.3">
      <c r="A699" s="8">
        <v>2441162</v>
      </c>
      <c r="B699" s="6" t="s">
        <v>80</v>
      </c>
      <c r="C699" s="1" t="s">
        <v>9</v>
      </c>
      <c r="D699" s="1" t="s">
        <v>9</v>
      </c>
      <c r="E699" s="1" t="s">
        <v>9</v>
      </c>
      <c r="F699" s="6"/>
      <c r="G699" s="6"/>
      <c r="H699" s="11"/>
      <c r="I69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699" t="str">
        <f>IF(Table1[[#This Row],[Nationality]]="Nigeria",Table1[[#This Row],[EMJM Scholarship]],"Not Applicable")</f>
        <v>Not Applicable</v>
      </c>
    </row>
    <row r="700" spans="1:10" ht="19.25" hidden="1" customHeight="1" x14ac:dyDescent="0.3">
      <c r="A700" s="8">
        <v>2441377</v>
      </c>
      <c r="B700" s="6" t="s">
        <v>80</v>
      </c>
      <c r="C700" s="1" t="s">
        <v>9</v>
      </c>
      <c r="D700" s="1" t="s">
        <v>9</v>
      </c>
      <c r="E700" s="1" t="s">
        <v>9</v>
      </c>
      <c r="F700" s="6"/>
      <c r="G700" s="6"/>
      <c r="H700" s="11"/>
      <c r="I70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00" t="str">
        <f>IF(Table1[[#This Row],[Nationality]]="Nigeria",Table1[[#This Row],[EMJM Scholarship]],"Not Applicable")</f>
        <v>Not Applicable</v>
      </c>
    </row>
    <row r="701" spans="1:10" ht="19.25" hidden="1" customHeight="1" x14ac:dyDescent="0.3">
      <c r="A701" s="8">
        <v>2441581</v>
      </c>
      <c r="B701" s="6" t="s">
        <v>80</v>
      </c>
      <c r="C701" s="1" t="s">
        <v>9</v>
      </c>
      <c r="D701" s="1" t="s">
        <v>9</v>
      </c>
      <c r="E701" s="1" t="s">
        <v>9</v>
      </c>
      <c r="F701" s="6"/>
      <c r="G701" s="6"/>
      <c r="H701" s="11"/>
      <c r="I70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01" t="str">
        <f>IF(Table1[[#This Row],[Nationality]]="Nigeria",Table1[[#This Row],[EMJM Scholarship]],"Not Applicable")</f>
        <v>Not Applicable</v>
      </c>
    </row>
    <row r="702" spans="1:10" ht="19.25" hidden="1" customHeight="1" x14ac:dyDescent="0.3">
      <c r="A702" s="8">
        <v>2441683</v>
      </c>
      <c r="B702" s="6" t="s">
        <v>80</v>
      </c>
      <c r="C702" s="1" t="s">
        <v>9</v>
      </c>
      <c r="D702" s="1" t="s">
        <v>9</v>
      </c>
      <c r="E702" s="1" t="s">
        <v>9</v>
      </c>
      <c r="F702" s="6"/>
      <c r="G702" s="6"/>
      <c r="H702" s="11"/>
      <c r="I70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02" t="str">
        <f>IF(Table1[[#This Row],[Nationality]]="Nigeria",Table1[[#This Row],[EMJM Scholarship]],"Not Applicable")</f>
        <v>Not Applicable</v>
      </c>
    </row>
    <row r="703" spans="1:10" ht="19.25" hidden="1" customHeight="1" x14ac:dyDescent="0.3">
      <c r="A703" s="8">
        <v>2441720</v>
      </c>
      <c r="B703" s="6" t="s">
        <v>80</v>
      </c>
      <c r="C703" s="1" t="s">
        <v>9</v>
      </c>
      <c r="D703" s="1" t="s">
        <v>9</v>
      </c>
      <c r="E703" s="1" t="s">
        <v>9</v>
      </c>
      <c r="F703" s="6"/>
      <c r="G703" s="6"/>
      <c r="H703" s="11"/>
      <c r="I70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03" t="str">
        <f>IF(Table1[[#This Row],[Nationality]]="Nigeria",Table1[[#This Row],[EMJM Scholarship]],"Not Applicable")</f>
        <v>Not Applicable</v>
      </c>
    </row>
    <row r="704" spans="1:10" ht="19.25" hidden="1" customHeight="1" x14ac:dyDescent="0.3">
      <c r="A704" s="8">
        <v>2441812</v>
      </c>
      <c r="B704" s="6" t="s">
        <v>80</v>
      </c>
      <c r="C704" s="1" t="s">
        <v>9</v>
      </c>
      <c r="D704" s="1" t="s">
        <v>9</v>
      </c>
      <c r="E704" s="1" t="s">
        <v>9</v>
      </c>
      <c r="F704" s="6"/>
      <c r="G704" s="6"/>
      <c r="H704" s="11"/>
      <c r="I70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04" t="str">
        <f>IF(Table1[[#This Row],[Nationality]]="Nigeria",Table1[[#This Row],[EMJM Scholarship]],"Not Applicable")</f>
        <v>Not Applicable</v>
      </c>
    </row>
    <row r="705" spans="1:10" ht="19.25" hidden="1" customHeight="1" x14ac:dyDescent="0.3">
      <c r="A705" s="8">
        <v>2442077</v>
      </c>
      <c r="B705" s="6" t="s">
        <v>80</v>
      </c>
      <c r="C705" s="1" t="s">
        <v>9</v>
      </c>
      <c r="D705" s="1" t="s">
        <v>9</v>
      </c>
      <c r="E705" s="1" t="s">
        <v>9</v>
      </c>
      <c r="F705" s="6"/>
      <c r="G705" s="6"/>
      <c r="H705" s="11"/>
      <c r="I70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05" t="str">
        <f>IF(Table1[[#This Row],[Nationality]]="Nigeria",Table1[[#This Row],[EMJM Scholarship]],"Not Applicable")</f>
        <v>Not Applicable</v>
      </c>
    </row>
    <row r="706" spans="1:10" ht="19.25" hidden="1" customHeight="1" x14ac:dyDescent="0.3">
      <c r="A706" s="8">
        <v>2442155</v>
      </c>
      <c r="B706" s="6" t="s">
        <v>80</v>
      </c>
      <c r="C706" s="1" t="s">
        <v>9</v>
      </c>
      <c r="D706" s="1" t="s">
        <v>9</v>
      </c>
      <c r="E706" s="1" t="s">
        <v>9</v>
      </c>
      <c r="F706" s="6"/>
      <c r="G706" s="6"/>
      <c r="H706" s="11"/>
      <c r="I70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06" t="str">
        <f>IF(Table1[[#This Row],[Nationality]]="Nigeria",Table1[[#This Row],[EMJM Scholarship]],"Not Applicable")</f>
        <v>Not Applicable</v>
      </c>
    </row>
    <row r="707" spans="1:10" ht="19.25" hidden="1" customHeight="1" x14ac:dyDescent="0.3">
      <c r="A707" s="8">
        <v>2442164</v>
      </c>
      <c r="B707" s="6" t="s">
        <v>80</v>
      </c>
      <c r="C707" s="1" t="s">
        <v>9</v>
      </c>
      <c r="D707" s="1" t="s">
        <v>9</v>
      </c>
      <c r="E707" s="1" t="s">
        <v>9</v>
      </c>
      <c r="F707" s="6"/>
      <c r="G707" s="6"/>
      <c r="H707" s="11"/>
      <c r="I70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07" t="str">
        <f>IF(Table1[[#This Row],[Nationality]]="Nigeria",Table1[[#This Row],[EMJM Scholarship]],"Not Applicable")</f>
        <v>Not Applicable</v>
      </c>
    </row>
    <row r="708" spans="1:10" ht="19.25" hidden="1" customHeight="1" x14ac:dyDescent="0.3">
      <c r="A708" s="8">
        <v>2442241</v>
      </c>
      <c r="B708" s="6" t="s">
        <v>80</v>
      </c>
      <c r="C708" s="1" t="s">
        <v>9</v>
      </c>
      <c r="D708" s="1" t="s">
        <v>9</v>
      </c>
      <c r="E708" s="1" t="s">
        <v>9</v>
      </c>
      <c r="F708" s="6"/>
      <c r="G708" s="6"/>
      <c r="H708" s="11"/>
      <c r="I70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08" t="str">
        <f>IF(Table1[[#This Row],[Nationality]]="Nigeria",Table1[[#This Row],[EMJM Scholarship]],"Not Applicable")</f>
        <v>Not Applicable</v>
      </c>
    </row>
    <row r="709" spans="1:10" ht="19.25" hidden="1" customHeight="1" x14ac:dyDescent="0.3">
      <c r="A709" s="8">
        <v>2442244</v>
      </c>
      <c r="B709" s="6" t="s">
        <v>80</v>
      </c>
      <c r="C709" s="1" t="s">
        <v>9</v>
      </c>
      <c r="D709" s="1" t="s">
        <v>9</v>
      </c>
      <c r="E709" s="1" t="s">
        <v>9</v>
      </c>
      <c r="F709" s="6"/>
      <c r="G709" s="6"/>
      <c r="H709" s="11"/>
      <c r="I70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09" t="str">
        <f>IF(Table1[[#This Row],[Nationality]]="Nigeria",Table1[[#This Row],[EMJM Scholarship]],"Not Applicable")</f>
        <v>Not Applicable</v>
      </c>
    </row>
    <row r="710" spans="1:10" ht="19.25" hidden="1" customHeight="1" x14ac:dyDescent="0.3">
      <c r="A710" s="8">
        <v>2442291</v>
      </c>
      <c r="B710" s="6" t="s">
        <v>80</v>
      </c>
      <c r="C710" s="1" t="s">
        <v>9</v>
      </c>
      <c r="D710" s="1" t="s">
        <v>9</v>
      </c>
      <c r="E710" s="1" t="s">
        <v>9</v>
      </c>
      <c r="F710" s="6"/>
      <c r="G710" s="6"/>
      <c r="H710" s="11"/>
      <c r="I71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10" t="str">
        <f>IF(Table1[[#This Row],[Nationality]]="Nigeria",Table1[[#This Row],[EMJM Scholarship]],"Not Applicable")</f>
        <v>Not Applicable</v>
      </c>
    </row>
    <row r="711" spans="1:10" ht="19.25" hidden="1" customHeight="1" x14ac:dyDescent="0.3">
      <c r="A711" s="8">
        <v>2442540</v>
      </c>
      <c r="B711" s="6" t="s">
        <v>80</v>
      </c>
      <c r="C711" s="1" t="s">
        <v>9</v>
      </c>
      <c r="D711" s="1" t="s">
        <v>9</v>
      </c>
      <c r="E711" s="1" t="s">
        <v>9</v>
      </c>
      <c r="F711" s="6"/>
      <c r="G711" s="6"/>
      <c r="H711" s="11"/>
      <c r="I71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11" t="str">
        <f>IF(Table1[[#This Row],[Nationality]]="Nigeria",Table1[[#This Row],[EMJM Scholarship]],"Not Applicable")</f>
        <v>Not Applicable</v>
      </c>
    </row>
    <row r="712" spans="1:10" ht="19.25" hidden="1" customHeight="1" x14ac:dyDescent="0.3">
      <c r="A712" s="8">
        <v>2442647</v>
      </c>
      <c r="B712" s="6" t="s">
        <v>80</v>
      </c>
      <c r="C712" s="1" t="s">
        <v>9</v>
      </c>
      <c r="D712" s="1" t="s">
        <v>9</v>
      </c>
      <c r="E712" s="1" t="s">
        <v>9</v>
      </c>
      <c r="F712" s="6"/>
      <c r="G712" s="6"/>
      <c r="H712" s="11"/>
      <c r="I71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12" t="str">
        <f>IF(Table1[[#This Row],[Nationality]]="Nigeria",Table1[[#This Row],[EMJM Scholarship]],"Not Applicable")</f>
        <v>Not Applicable</v>
      </c>
    </row>
    <row r="713" spans="1:10" ht="19.25" hidden="1" customHeight="1" x14ac:dyDescent="0.3">
      <c r="A713" s="8">
        <v>2442736</v>
      </c>
      <c r="B713" s="6" t="s">
        <v>80</v>
      </c>
      <c r="C713" s="1" t="s">
        <v>9</v>
      </c>
      <c r="D713" s="1" t="s">
        <v>9</v>
      </c>
      <c r="E713" s="1" t="s">
        <v>9</v>
      </c>
      <c r="F713" s="6"/>
      <c r="G713" s="6"/>
      <c r="H713" s="11"/>
      <c r="I71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13" t="str">
        <f>IF(Table1[[#This Row],[Nationality]]="Nigeria",Table1[[#This Row],[EMJM Scholarship]],"Not Applicable")</f>
        <v>Not Applicable</v>
      </c>
    </row>
    <row r="714" spans="1:10" ht="19.25" hidden="1" customHeight="1" x14ac:dyDescent="0.3">
      <c r="A714" s="8">
        <v>2442773</v>
      </c>
      <c r="B714" s="6" t="s">
        <v>80</v>
      </c>
      <c r="C714" s="1" t="s">
        <v>9</v>
      </c>
      <c r="D714" s="1" t="s">
        <v>9</v>
      </c>
      <c r="E714" s="1" t="s">
        <v>9</v>
      </c>
      <c r="F714" s="6"/>
      <c r="G714" s="6"/>
      <c r="H714" s="11"/>
      <c r="I71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14" t="str">
        <f>IF(Table1[[#This Row],[Nationality]]="Nigeria",Table1[[#This Row],[EMJM Scholarship]],"Not Applicable")</f>
        <v>Not Applicable</v>
      </c>
    </row>
    <row r="715" spans="1:10" ht="19.25" hidden="1" customHeight="1" x14ac:dyDescent="0.3">
      <c r="A715" s="8">
        <v>2442786</v>
      </c>
      <c r="B715" s="6" t="s">
        <v>80</v>
      </c>
      <c r="C715" s="1" t="s">
        <v>9</v>
      </c>
      <c r="D715" s="1" t="s">
        <v>9</v>
      </c>
      <c r="E715" s="1" t="s">
        <v>9</v>
      </c>
      <c r="F715" s="6"/>
      <c r="G715" s="6"/>
      <c r="H715" s="11"/>
      <c r="I71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15" t="str">
        <f>IF(Table1[[#This Row],[Nationality]]="Nigeria",Table1[[#This Row],[EMJM Scholarship]],"Not Applicable")</f>
        <v>Not Applicable</v>
      </c>
    </row>
    <row r="716" spans="1:10" ht="19.25" hidden="1" customHeight="1" x14ac:dyDescent="0.3">
      <c r="A716" s="8">
        <v>2442960</v>
      </c>
      <c r="B716" s="6" t="s">
        <v>80</v>
      </c>
      <c r="C716" s="1" t="s">
        <v>9</v>
      </c>
      <c r="D716" s="1" t="s">
        <v>9</v>
      </c>
      <c r="E716" s="1" t="s">
        <v>9</v>
      </c>
      <c r="F716" s="6"/>
      <c r="G716" s="6"/>
      <c r="H716" s="11"/>
      <c r="I71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16" t="str">
        <f>IF(Table1[[#This Row],[Nationality]]="Nigeria",Table1[[#This Row],[EMJM Scholarship]],"Not Applicable")</f>
        <v>Not Applicable</v>
      </c>
    </row>
    <row r="717" spans="1:10" ht="19.25" hidden="1" customHeight="1" x14ac:dyDescent="0.3">
      <c r="A717" s="8">
        <v>2443076</v>
      </c>
      <c r="B717" s="6" t="s">
        <v>80</v>
      </c>
      <c r="C717" s="1" t="s">
        <v>9</v>
      </c>
      <c r="D717" s="1" t="s">
        <v>9</v>
      </c>
      <c r="E717" s="1" t="s">
        <v>9</v>
      </c>
      <c r="F717" s="6"/>
      <c r="G717" s="6"/>
      <c r="H717" s="11"/>
      <c r="I71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17" t="str">
        <f>IF(Table1[[#This Row],[Nationality]]="Nigeria",Table1[[#This Row],[EMJM Scholarship]],"Not Applicable")</f>
        <v>Not Applicable</v>
      </c>
    </row>
    <row r="718" spans="1:10" ht="19.25" hidden="1" customHeight="1" x14ac:dyDescent="0.3">
      <c r="A718" s="8">
        <v>2443164</v>
      </c>
      <c r="B718" s="6" t="s">
        <v>80</v>
      </c>
      <c r="C718" s="1" t="s">
        <v>9</v>
      </c>
      <c r="D718" s="1" t="s">
        <v>9</v>
      </c>
      <c r="E718" s="1" t="s">
        <v>9</v>
      </c>
      <c r="F718" s="6"/>
      <c r="G718" s="6"/>
      <c r="H718" s="11"/>
      <c r="I71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18" t="str">
        <f>IF(Table1[[#This Row],[Nationality]]="Nigeria",Table1[[#This Row],[EMJM Scholarship]],"Not Applicable")</f>
        <v>Not Applicable</v>
      </c>
    </row>
    <row r="719" spans="1:10" ht="19.25" hidden="1" customHeight="1" x14ac:dyDescent="0.3">
      <c r="A719" s="8">
        <v>2443525</v>
      </c>
      <c r="B719" s="6" t="s">
        <v>80</v>
      </c>
      <c r="C719" s="1" t="s">
        <v>9</v>
      </c>
      <c r="D719" s="1" t="s">
        <v>9</v>
      </c>
      <c r="E719" s="1" t="s">
        <v>9</v>
      </c>
      <c r="F719" s="6"/>
      <c r="G719" s="6"/>
      <c r="H719" s="11"/>
      <c r="I71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19" t="str">
        <f>IF(Table1[[#This Row],[Nationality]]="Nigeria",Table1[[#This Row],[EMJM Scholarship]],"Not Applicable")</f>
        <v>Not Applicable</v>
      </c>
    </row>
    <row r="720" spans="1:10" ht="19.25" hidden="1" customHeight="1" x14ac:dyDescent="0.3">
      <c r="A720" s="8">
        <v>2443545</v>
      </c>
      <c r="B720" s="6" t="s">
        <v>80</v>
      </c>
      <c r="C720" s="1" t="s">
        <v>9</v>
      </c>
      <c r="D720" s="1" t="s">
        <v>9</v>
      </c>
      <c r="E720" s="1" t="s">
        <v>9</v>
      </c>
      <c r="F720" s="6"/>
      <c r="G720" s="6"/>
      <c r="H720" s="11"/>
      <c r="I72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20" t="str">
        <f>IF(Table1[[#This Row],[Nationality]]="Nigeria",Table1[[#This Row],[EMJM Scholarship]],"Not Applicable")</f>
        <v>Not Applicable</v>
      </c>
    </row>
    <row r="721" spans="1:10" ht="19.25" hidden="1" customHeight="1" x14ac:dyDescent="0.3">
      <c r="A721" s="8">
        <v>2443688</v>
      </c>
      <c r="B721" s="6" t="s">
        <v>80</v>
      </c>
      <c r="C721" s="1" t="s">
        <v>9</v>
      </c>
      <c r="D721" s="1" t="s">
        <v>9</v>
      </c>
      <c r="E721" s="1" t="s">
        <v>9</v>
      </c>
      <c r="F721" s="6"/>
      <c r="G721" s="6"/>
      <c r="H721" s="11"/>
      <c r="I72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21" t="str">
        <f>IF(Table1[[#This Row],[Nationality]]="Nigeria",Table1[[#This Row],[EMJM Scholarship]],"Not Applicable")</f>
        <v>Not Applicable</v>
      </c>
    </row>
    <row r="722" spans="1:10" ht="19.25" hidden="1" customHeight="1" x14ac:dyDescent="0.3">
      <c r="A722" s="8">
        <v>2443719</v>
      </c>
      <c r="B722" s="6" t="s">
        <v>80</v>
      </c>
      <c r="C722" s="1" t="s">
        <v>9</v>
      </c>
      <c r="D722" s="1" t="s">
        <v>9</v>
      </c>
      <c r="E722" s="1" t="s">
        <v>9</v>
      </c>
      <c r="F722" s="6"/>
      <c r="G722" s="6"/>
      <c r="H722" s="11"/>
      <c r="I72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22" t="str">
        <f>IF(Table1[[#This Row],[Nationality]]="Nigeria",Table1[[#This Row],[EMJM Scholarship]],"Not Applicable")</f>
        <v>Not Applicable</v>
      </c>
    </row>
    <row r="723" spans="1:10" ht="19.25" hidden="1" customHeight="1" x14ac:dyDescent="0.3">
      <c r="A723" s="8">
        <v>2443787</v>
      </c>
      <c r="B723" s="6" t="s">
        <v>80</v>
      </c>
      <c r="C723" s="1" t="s">
        <v>9</v>
      </c>
      <c r="D723" s="1" t="s">
        <v>9</v>
      </c>
      <c r="E723" s="1" t="s">
        <v>9</v>
      </c>
      <c r="F723" s="6"/>
      <c r="G723" s="6"/>
      <c r="H723" s="11"/>
      <c r="I72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23" t="str">
        <f>IF(Table1[[#This Row],[Nationality]]="Nigeria",Table1[[#This Row],[EMJM Scholarship]],"Not Applicable")</f>
        <v>Not Applicable</v>
      </c>
    </row>
    <row r="724" spans="1:10" ht="19.25" hidden="1" customHeight="1" x14ac:dyDescent="0.3">
      <c r="A724" s="8">
        <v>2443808</v>
      </c>
      <c r="B724" s="6" t="s">
        <v>80</v>
      </c>
      <c r="C724" s="1" t="s">
        <v>9</v>
      </c>
      <c r="D724" s="1" t="s">
        <v>9</v>
      </c>
      <c r="E724" s="1" t="s">
        <v>9</v>
      </c>
      <c r="F724" s="6"/>
      <c r="G724" s="6"/>
      <c r="H724" s="11"/>
      <c r="I72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24" t="str">
        <f>IF(Table1[[#This Row],[Nationality]]="Nigeria",Table1[[#This Row],[EMJM Scholarship]],"Not Applicable")</f>
        <v>Not Applicable</v>
      </c>
    </row>
    <row r="725" spans="1:10" ht="19.25" hidden="1" customHeight="1" x14ac:dyDescent="0.3">
      <c r="A725" s="8">
        <v>2443822</v>
      </c>
      <c r="B725" s="6" t="s">
        <v>80</v>
      </c>
      <c r="C725" s="1" t="s">
        <v>9</v>
      </c>
      <c r="D725" s="1" t="s">
        <v>9</v>
      </c>
      <c r="E725" s="1" t="s">
        <v>9</v>
      </c>
      <c r="F725" s="6"/>
      <c r="G725" s="6"/>
      <c r="H725" s="11"/>
      <c r="I72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25" t="str">
        <f>IF(Table1[[#This Row],[Nationality]]="Nigeria",Table1[[#This Row],[EMJM Scholarship]],"Not Applicable")</f>
        <v>Not Applicable</v>
      </c>
    </row>
    <row r="726" spans="1:10" ht="19.25" hidden="1" customHeight="1" x14ac:dyDescent="0.3">
      <c r="A726" s="8">
        <v>2443897</v>
      </c>
      <c r="B726" s="6" t="s">
        <v>80</v>
      </c>
      <c r="C726" s="1" t="s">
        <v>9</v>
      </c>
      <c r="D726" s="1" t="s">
        <v>9</v>
      </c>
      <c r="E726" s="1" t="s">
        <v>9</v>
      </c>
      <c r="F726" s="6"/>
      <c r="G726" s="6"/>
      <c r="H726" s="11"/>
      <c r="I72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26" t="str">
        <f>IF(Table1[[#This Row],[Nationality]]="Nigeria",Table1[[#This Row],[EMJM Scholarship]],"Not Applicable")</f>
        <v>Not Applicable</v>
      </c>
    </row>
    <row r="727" spans="1:10" ht="19.25" hidden="1" customHeight="1" x14ac:dyDescent="0.3">
      <c r="A727" s="8">
        <v>2443912</v>
      </c>
      <c r="B727" s="6" t="s">
        <v>80</v>
      </c>
      <c r="C727" s="1" t="s">
        <v>9</v>
      </c>
      <c r="D727" s="1" t="s">
        <v>9</v>
      </c>
      <c r="E727" s="1" t="s">
        <v>9</v>
      </c>
      <c r="F727" s="6"/>
      <c r="G727" s="6"/>
      <c r="H727" s="11"/>
      <c r="I72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27" t="str">
        <f>IF(Table1[[#This Row],[Nationality]]="Nigeria",Table1[[#This Row],[EMJM Scholarship]],"Not Applicable")</f>
        <v>Not Applicable</v>
      </c>
    </row>
    <row r="728" spans="1:10" ht="19.25" hidden="1" customHeight="1" x14ac:dyDescent="0.3">
      <c r="A728" s="8">
        <v>2444043</v>
      </c>
      <c r="B728" s="6" t="s">
        <v>80</v>
      </c>
      <c r="C728" s="1" t="s">
        <v>9</v>
      </c>
      <c r="D728" s="1" t="s">
        <v>9</v>
      </c>
      <c r="E728" s="1" t="s">
        <v>9</v>
      </c>
      <c r="F728" s="6"/>
      <c r="G728" s="6"/>
      <c r="H728" s="11"/>
      <c r="I72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28" t="str">
        <f>IF(Table1[[#This Row],[Nationality]]="Nigeria",Table1[[#This Row],[EMJM Scholarship]],"Not Applicable")</f>
        <v>Not Applicable</v>
      </c>
    </row>
    <row r="729" spans="1:10" ht="19.25" hidden="1" customHeight="1" x14ac:dyDescent="0.3">
      <c r="A729" s="8">
        <v>2444133</v>
      </c>
      <c r="B729" s="6" t="s">
        <v>80</v>
      </c>
      <c r="C729" s="1" t="s">
        <v>9</v>
      </c>
      <c r="D729" s="1" t="s">
        <v>9</v>
      </c>
      <c r="E729" s="1" t="s">
        <v>9</v>
      </c>
      <c r="F729" s="6"/>
      <c r="G729" s="6"/>
      <c r="H729" s="11"/>
      <c r="I72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29" t="str">
        <f>IF(Table1[[#This Row],[Nationality]]="Nigeria",Table1[[#This Row],[EMJM Scholarship]],"Not Applicable")</f>
        <v>Not Applicable</v>
      </c>
    </row>
    <row r="730" spans="1:10" ht="19.25" hidden="1" customHeight="1" x14ac:dyDescent="0.3">
      <c r="A730" s="8">
        <v>2444280</v>
      </c>
      <c r="B730" s="6" t="s">
        <v>80</v>
      </c>
      <c r="C730" s="1" t="s">
        <v>9</v>
      </c>
      <c r="D730" s="1" t="s">
        <v>9</v>
      </c>
      <c r="E730" s="1" t="s">
        <v>9</v>
      </c>
      <c r="F730" s="6"/>
      <c r="G730" s="6"/>
      <c r="H730" s="11"/>
      <c r="I73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30" t="str">
        <f>IF(Table1[[#This Row],[Nationality]]="Nigeria",Table1[[#This Row],[EMJM Scholarship]],"Not Applicable")</f>
        <v>Not Applicable</v>
      </c>
    </row>
    <row r="731" spans="1:10" ht="19.25" hidden="1" customHeight="1" x14ac:dyDescent="0.3">
      <c r="A731" s="8">
        <v>2444317</v>
      </c>
      <c r="B731" s="6" t="s">
        <v>80</v>
      </c>
      <c r="C731" s="1" t="s">
        <v>9</v>
      </c>
      <c r="D731" s="1" t="s">
        <v>9</v>
      </c>
      <c r="E731" s="1" t="s">
        <v>9</v>
      </c>
      <c r="F731" s="6"/>
      <c r="G731" s="6"/>
      <c r="H731" s="11"/>
      <c r="I73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31" t="str">
        <f>IF(Table1[[#This Row],[Nationality]]="Nigeria",Table1[[#This Row],[EMJM Scholarship]],"Not Applicable")</f>
        <v>Not Applicable</v>
      </c>
    </row>
    <row r="732" spans="1:10" ht="19.25" hidden="1" customHeight="1" x14ac:dyDescent="0.3">
      <c r="A732" s="8">
        <v>2444439</v>
      </c>
      <c r="B732" s="6" t="s">
        <v>80</v>
      </c>
      <c r="C732" s="1" t="s">
        <v>9</v>
      </c>
      <c r="D732" s="1" t="s">
        <v>9</v>
      </c>
      <c r="E732" s="1" t="s">
        <v>9</v>
      </c>
      <c r="F732" s="6"/>
      <c r="G732" s="6"/>
      <c r="H732" s="11"/>
      <c r="I73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32" t="str">
        <f>IF(Table1[[#This Row],[Nationality]]="Nigeria",Table1[[#This Row],[EMJM Scholarship]],"Not Applicable")</f>
        <v>Not Applicable</v>
      </c>
    </row>
    <row r="733" spans="1:10" ht="19.25" hidden="1" customHeight="1" x14ac:dyDescent="0.3">
      <c r="A733" s="8">
        <v>2444453</v>
      </c>
      <c r="B733" s="6" t="s">
        <v>80</v>
      </c>
      <c r="C733" s="1" t="s">
        <v>9</v>
      </c>
      <c r="D733" s="1" t="s">
        <v>9</v>
      </c>
      <c r="E733" s="1" t="s">
        <v>9</v>
      </c>
      <c r="F733" s="6"/>
      <c r="G733" s="6"/>
      <c r="H733" s="11"/>
      <c r="I73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33" t="str">
        <f>IF(Table1[[#This Row],[Nationality]]="Nigeria",Table1[[#This Row],[EMJM Scholarship]],"Not Applicable")</f>
        <v>Not Applicable</v>
      </c>
    </row>
    <row r="734" spans="1:10" ht="19.25" hidden="1" customHeight="1" x14ac:dyDescent="0.3">
      <c r="A734" s="8">
        <v>2444463</v>
      </c>
      <c r="B734" s="6" t="s">
        <v>80</v>
      </c>
      <c r="C734" s="1" t="s">
        <v>9</v>
      </c>
      <c r="D734" s="1" t="s">
        <v>9</v>
      </c>
      <c r="E734" s="1" t="s">
        <v>9</v>
      </c>
      <c r="F734" s="6"/>
      <c r="G734" s="6"/>
      <c r="H734" s="11"/>
      <c r="I73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34" t="str">
        <f>IF(Table1[[#This Row],[Nationality]]="Nigeria",Table1[[#This Row],[EMJM Scholarship]],"Not Applicable")</f>
        <v>Not Applicable</v>
      </c>
    </row>
    <row r="735" spans="1:10" ht="19.25" hidden="1" customHeight="1" x14ac:dyDescent="0.3">
      <c r="A735" s="8">
        <v>2444600</v>
      </c>
      <c r="B735" s="6" t="s">
        <v>80</v>
      </c>
      <c r="C735" s="1" t="s">
        <v>9</v>
      </c>
      <c r="D735" s="1" t="s">
        <v>9</v>
      </c>
      <c r="E735" s="1" t="s">
        <v>9</v>
      </c>
      <c r="F735" s="6"/>
      <c r="G735" s="6"/>
      <c r="H735" s="11"/>
      <c r="I73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35" t="str">
        <f>IF(Table1[[#This Row],[Nationality]]="Nigeria",Table1[[#This Row],[EMJM Scholarship]],"Not Applicable")</f>
        <v>Not Applicable</v>
      </c>
    </row>
    <row r="736" spans="1:10" ht="19.25" hidden="1" customHeight="1" x14ac:dyDescent="0.3">
      <c r="A736" s="8">
        <v>2444612</v>
      </c>
      <c r="B736" s="6" t="s">
        <v>80</v>
      </c>
      <c r="C736" s="1" t="s">
        <v>9</v>
      </c>
      <c r="D736" s="1" t="s">
        <v>9</v>
      </c>
      <c r="E736" s="1" t="s">
        <v>9</v>
      </c>
      <c r="F736" s="6"/>
      <c r="G736" s="6"/>
      <c r="H736" s="11"/>
      <c r="I73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36" t="str">
        <f>IF(Table1[[#This Row],[Nationality]]="Nigeria",Table1[[#This Row],[EMJM Scholarship]],"Not Applicable")</f>
        <v>Not Applicable</v>
      </c>
    </row>
    <row r="737" spans="1:10" ht="19.25" hidden="1" customHeight="1" x14ac:dyDescent="0.3">
      <c r="A737" s="8">
        <v>2444642</v>
      </c>
      <c r="B737" s="6" t="s">
        <v>80</v>
      </c>
      <c r="C737" s="1" t="s">
        <v>9</v>
      </c>
      <c r="D737" s="1" t="s">
        <v>9</v>
      </c>
      <c r="E737" s="1" t="s">
        <v>9</v>
      </c>
      <c r="F737" s="6"/>
      <c r="G737" s="6"/>
      <c r="H737" s="11"/>
      <c r="I73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37" t="str">
        <f>IF(Table1[[#This Row],[Nationality]]="Nigeria",Table1[[#This Row],[EMJM Scholarship]],"Not Applicable")</f>
        <v>Not Applicable</v>
      </c>
    </row>
    <row r="738" spans="1:10" ht="19.25" hidden="1" customHeight="1" x14ac:dyDescent="0.3">
      <c r="A738" s="8">
        <v>2444651</v>
      </c>
      <c r="B738" s="6" t="s">
        <v>80</v>
      </c>
      <c r="C738" s="1" t="s">
        <v>9</v>
      </c>
      <c r="D738" s="1" t="s">
        <v>9</v>
      </c>
      <c r="E738" s="1" t="s">
        <v>9</v>
      </c>
      <c r="F738" s="6"/>
      <c r="G738" s="6"/>
      <c r="H738" s="11"/>
      <c r="I73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38" t="str">
        <f>IF(Table1[[#This Row],[Nationality]]="Nigeria",Table1[[#This Row],[EMJM Scholarship]],"Not Applicable")</f>
        <v>Not Applicable</v>
      </c>
    </row>
    <row r="739" spans="1:10" ht="19.25" hidden="1" customHeight="1" x14ac:dyDescent="0.3">
      <c r="A739" s="8">
        <v>2444718</v>
      </c>
      <c r="B739" s="6" t="s">
        <v>80</v>
      </c>
      <c r="C739" s="1" t="s">
        <v>9</v>
      </c>
      <c r="D739" s="1" t="s">
        <v>9</v>
      </c>
      <c r="E739" s="1" t="s">
        <v>9</v>
      </c>
      <c r="F739" s="6"/>
      <c r="G739" s="6"/>
      <c r="H739" s="11"/>
      <c r="I73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39" t="str">
        <f>IF(Table1[[#This Row],[Nationality]]="Nigeria",Table1[[#This Row],[EMJM Scholarship]],"Not Applicable")</f>
        <v>Not Applicable</v>
      </c>
    </row>
    <row r="740" spans="1:10" ht="19.25" hidden="1" customHeight="1" x14ac:dyDescent="0.3">
      <c r="A740" s="8">
        <v>2444740</v>
      </c>
      <c r="B740" s="6" t="s">
        <v>80</v>
      </c>
      <c r="C740" s="1" t="s">
        <v>9</v>
      </c>
      <c r="D740" s="1" t="s">
        <v>9</v>
      </c>
      <c r="E740" s="1" t="s">
        <v>9</v>
      </c>
      <c r="F740" s="6"/>
      <c r="G740" s="6"/>
      <c r="H740" s="11"/>
      <c r="I74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40" t="str">
        <f>IF(Table1[[#This Row],[Nationality]]="Nigeria",Table1[[#This Row],[EMJM Scholarship]],"Not Applicable")</f>
        <v>Not Applicable</v>
      </c>
    </row>
    <row r="741" spans="1:10" ht="19.25" hidden="1" customHeight="1" x14ac:dyDescent="0.3">
      <c r="A741" s="8">
        <v>2444756</v>
      </c>
      <c r="B741" s="6" t="s">
        <v>80</v>
      </c>
      <c r="C741" s="1" t="s">
        <v>9</v>
      </c>
      <c r="D741" s="1" t="s">
        <v>9</v>
      </c>
      <c r="E741" s="1" t="s">
        <v>9</v>
      </c>
      <c r="F741" s="6"/>
      <c r="G741" s="6"/>
      <c r="H741" s="11"/>
      <c r="I74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41" t="str">
        <f>IF(Table1[[#This Row],[Nationality]]="Nigeria",Table1[[#This Row],[EMJM Scholarship]],"Not Applicable")</f>
        <v>Not Applicable</v>
      </c>
    </row>
    <row r="742" spans="1:10" ht="19.25" hidden="1" customHeight="1" x14ac:dyDescent="0.3">
      <c r="A742" s="8">
        <v>2444759</v>
      </c>
      <c r="B742" s="6" t="s">
        <v>80</v>
      </c>
      <c r="C742" s="1" t="s">
        <v>9</v>
      </c>
      <c r="D742" s="1" t="s">
        <v>9</v>
      </c>
      <c r="E742" s="1" t="s">
        <v>9</v>
      </c>
      <c r="F742" s="6"/>
      <c r="G742" s="6"/>
      <c r="H742" s="11"/>
      <c r="I74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42" t="str">
        <f>IF(Table1[[#This Row],[Nationality]]="Nigeria",Table1[[#This Row],[EMJM Scholarship]],"Not Applicable")</f>
        <v>Not Applicable</v>
      </c>
    </row>
    <row r="743" spans="1:10" ht="19.25" hidden="1" customHeight="1" x14ac:dyDescent="0.3">
      <c r="A743" s="8">
        <v>2444793</v>
      </c>
      <c r="B743" s="6" t="s">
        <v>80</v>
      </c>
      <c r="C743" s="1" t="s">
        <v>9</v>
      </c>
      <c r="D743" s="1" t="s">
        <v>9</v>
      </c>
      <c r="E743" s="1" t="s">
        <v>9</v>
      </c>
      <c r="F743" s="6"/>
      <c r="G743" s="6"/>
      <c r="H743" s="11"/>
      <c r="I74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43" t="str">
        <f>IF(Table1[[#This Row],[Nationality]]="Nigeria",Table1[[#This Row],[EMJM Scholarship]],"Not Applicable")</f>
        <v>Not Applicable</v>
      </c>
    </row>
    <row r="744" spans="1:10" ht="19.25" hidden="1" customHeight="1" x14ac:dyDescent="0.3">
      <c r="A744" s="8">
        <v>2444947</v>
      </c>
      <c r="B744" s="6" t="s">
        <v>80</v>
      </c>
      <c r="C744" s="1" t="s">
        <v>9</v>
      </c>
      <c r="D744" s="1" t="s">
        <v>9</v>
      </c>
      <c r="E744" s="1" t="s">
        <v>9</v>
      </c>
      <c r="F744" s="6"/>
      <c r="G744" s="6"/>
      <c r="H744" s="11"/>
      <c r="I74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44" t="str">
        <f>IF(Table1[[#This Row],[Nationality]]="Nigeria",Table1[[#This Row],[EMJM Scholarship]],"Not Applicable")</f>
        <v>Not Applicable</v>
      </c>
    </row>
    <row r="745" spans="1:10" ht="19.25" hidden="1" customHeight="1" x14ac:dyDescent="0.3">
      <c r="A745" s="8">
        <v>2445112</v>
      </c>
      <c r="B745" s="6" t="s">
        <v>80</v>
      </c>
      <c r="C745" s="1" t="s">
        <v>9</v>
      </c>
      <c r="D745" s="1" t="s">
        <v>9</v>
      </c>
      <c r="E745" s="1" t="s">
        <v>9</v>
      </c>
      <c r="F745" s="6"/>
      <c r="G745" s="6"/>
      <c r="H745" s="11"/>
      <c r="I74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45" t="str">
        <f>IF(Table1[[#This Row],[Nationality]]="Nigeria",Table1[[#This Row],[EMJM Scholarship]],"Not Applicable")</f>
        <v>Not Applicable</v>
      </c>
    </row>
    <row r="746" spans="1:10" ht="19.25" hidden="1" customHeight="1" x14ac:dyDescent="0.3">
      <c r="A746" s="8">
        <v>2445211</v>
      </c>
      <c r="B746" s="6" t="s">
        <v>80</v>
      </c>
      <c r="C746" s="1" t="s">
        <v>9</v>
      </c>
      <c r="D746" s="1" t="s">
        <v>9</v>
      </c>
      <c r="E746" s="1" t="s">
        <v>9</v>
      </c>
      <c r="F746" s="6"/>
      <c r="G746" s="6"/>
      <c r="H746" s="11"/>
      <c r="I74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46" t="str">
        <f>IF(Table1[[#This Row],[Nationality]]="Nigeria",Table1[[#This Row],[EMJM Scholarship]],"Not Applicable")</f>
        <v>Not Applicable</v>
      </c>
    </row>
    <row r="747" spans="1:10" ht="19.25" hidden="1" customHeight="1" x14ac:dyDescent="0.3">
      <c r="A747" s="8">
        <v>2445214</v>
      </c>
      <c r="B747" s="6" t="s">
        <v>80</v>
      </c>
      <c r="C747" s="1" t="s">
        <v>9</v>
      </c>
      <c r="D747" s="1" t="s">
        <v>9</v>
      </c>
      <c r="E747" s="1" t="s">
        <v>9</v>
      </c>
      <c r="F747" s="6"/>
      <c r="G747" s="6"/>
      <c r="H747" s="11"/>
      <c r="I74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47" t="str">
        <f>IF(Table1[[#This Row],[Nationality]]="Nigeria",Table1[[#This Row],[EMJM Scholarship]],"Not Applicable")</f>
        <v>Not Applicable</v>
      </c>
    </row>
    <row r="748" spans="1:10" ht="19.25" hidden="1" customHeight="1" x14ac:dyDescent="0.3">
      <c r="A748" s="8">
        <v>2445443</v>
      </c>
      <c r="B748" s="6" t="s">
        <v>80</v>
      </c>
      <c r="C748" s="1" t="s">
        <v>9</v>
      </c>
      <c r="D748" s="1" t="s">
        <v>9</v>
      </c>
      <c r="E748" s="1" t="s">
        <v>9</v>
      </c>
      <c r="F748" s="6"/>
      <c r="G748" s="6"/>
      <c r="H748" s="11"/>
      <c r="I74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48" t="str">
        <f>IF(Table1[[#This Row],[Nationality]]="Nigeria",Table1[[#This Row],[EMJM Scholarship]],"Not Applicable")</f>
        <v>Not Applicable</v>
      </c>
    </row>
    <row r="749" spans="1:10" ht="19.25" hidden="1" customHeight="1" x14ac:dyDescent="0.3">
      <c r="A749" s="8">
        <v>2445522</v>
      </c>
      <c r="B749" s="6" t="s">
        <v>80</v>
      </c>
      <c r="C749" s="1" t="s">
        <v>9</v>
      </c>
      <c r="D749" s="1" t="s">
        <v>9</v>
      </c>
      <c r="E749" s="1" t="s">
        <v>9</v>
      </c>
      <c r="F749" s="6"/>
      <c r="G749" s="6"/>
      <c r="H749" s="11"/>
      <c r="I74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49" t="str">
        <f>IF(Table1[[#This Row],[Nationality]]="Nigeria",Table1[[#This Row],[EMJM Scholarship]],"Not Applicable")</f>
        <v>Not Applicable</v>
      </c>
    </row>
    <row r="750" spans="1:10" ht="19.25" hidden="1" customHeight="1" x14ac:dyDescent="0.3">
      <c r="A750" s="8">
        <v>2445529</v>
      </c>
      <c r="B750" s="6" t="s">
        <v>80</v>
      </c>
      <c r="C750" s="1" t="s">
        <v>9</v>
      </c>
      <c r="D750" s="1" t="s">
        <v>9</v>
      </c>
      <c r="E750" s="1" t="s">
        <v>9</v>
      </c>
      <c r="F750" s="6"/>
      <c r="G750" s="6"/>
      <c r="H750" s="11"/>
      <c r="I75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50" t="str">
        <f>IF(Table1[[#This Row],[Nationality]]="Nigeria",Table1[[#This Row],[EMJM Scholarship]],"Not Applicable")</f>
        <v>Not Applicable</v>
      </c>
    </row>
    <row r="751" spans="1:10" ht="19.25" hidden="1" customHeight="1" x14ac:dyDescent="0.3">
      <c r="A751" s="8">
        <v>2445561</v>
      </c>
      <c r="B751" s="6" t="s">
        <v>80</v>
      </c>
      <c r="C751" s="1" t="s">
        <v>9</v>
      </c>
      <c r="D751" s="1" t="s">
        <v>9</v>
      </c>
      <c r="E751" s="1" t="s">
        <v>9</v>
      </c>
      <c r="F751" s="6"/>
      <c r="G751" s="6"/>
      <c r="H751" s="11"/>
      <c r="I75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51" t="str">
        <f>IF(Table1[[#This Row],[Nationality]]="Nigeria",Table1[[#This Row],[EMJM Scholarship]],"Not Applicable")</f>
        <v>Not Applicable</v>
      </c>
    </row>
    <row r="752" spans="1:10" ht="19.25" hidden="1" customHeight="1" x14ac:dyDescent="0.3">
      <c r="A752" s="8">
        <v>2445600</v>
      </c>
      <c r="B752" s="6" t="s">
        <v>80</v>
      </c>
      <c r="C752" s="1" t="s">
        <v>9</v>
      </c>
      <c r="D752" s="1" t="s">
        <v>9</v>
      </c>
      <c r="E752" s="1" t="s">
        <v>9</v>
      </c>
      <c r="F752" s="6"/>
      <c r="G752" s="6"/>
      <c r="H752" s="11"/>
      <c r="I75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52" t="str">
        <f>IF(Table1[[#This Row],[Nationality]]="Nigeria",Table1[[#This Row],[EMJM Scholarship]],"Not Applicable")</f>
        <v>Not Applicable</v>
      </c>
    </row>
    <row r="753" spans="1:10" ht="19.25" hidden="1" customHeight="1" x14ac:dyDescent="0.3">
      <c r="A753" s="8">
        <v>2445739</v>
      </c>
      <c r="B753" s="6" t="s">
        <v>80</v>
      </c>
      <c r="C753" s="1" t="s">
        <v>9</v>
      </c>
      <c r="D753" s="1" t="s">
        <v>9</v>
      </c>
      <c r="E753" s="1" t="s">
        <v>9</v>
      </c>
      <c r="F753" s="6"/>
      <c r="G753" s="6"/>
      <c r="H753" s="11"/>
      <c r="I75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53" t="str">
        <f>IF(Table1[[#This Row],[Nationality]]="Nigeria",Table1[[#This Row],[EMJM Scholarship]],"Not Applicable")</f>
        <v>Not Applicable</v>
      </c>
    </row>
    <row r="754" spans="1:10" ht="19.25" hidden="1" customHeight="1" x14ac:dyDescent="0.3">
      <c r="A754" s="8">
        <v>2445781</v>
      </c>
      <c r="B754" s="6" t="s">
        <v>80</v>
      </c>
      <c r="C754" s="1" t="s">
        <v>9</v>
      </c>
      <c r="D754" s="1" t="s">
        <v>9</v>
      </c>
      <c r="E754" s="1" t="s">
        <v>9</v>
      </c>
      <c r="F754" s="6"/>
      <c r="G754" s="6"/>
      <c r="H754" s="11"/>
      <c r="I75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54" t="str">
        <f>IF(Table1[[#This Row],[Nationality]]="Nigeria",Table1[[#This Row],[EMJM Scholarship]],"Not Applicable")</f>
        <v>Not Applicable</v>
      </c>
    </row>
    <row r="755" spans="1:10" ht="19.25" hidden="1" customHeight="1" x14ac:dyDescent="0.3">
      <c r="A755" s="8">
        <v>2445792</v>
      </c>
      <c r="B755" s="6" t="s">
        <v>80</v>
      </c>
      <c r="C755" s="1" t="s">
        <v>9</v>
      </c>
      <c r="D755" s="1" t="s">
        <v>9</v>
      </c>
      <c r="E755" s="1" t="s">
        <v>9</v>
      </c>
      <c r="F755" s="6"/>
      <c r="G755" s="6"/>
      <c r="H755" s="11"/>
      <c r="I75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55" t="str">
        <f>IF(Table1[[#This Row],[Nationality]]="Nigeria",Table1[[#This Row],[EMJM Scholarship]],"Not Applicable")</f>
        <v>Not Applicable</v>
      </c>
    </row>
    <row r="756" spans="1:10" ht="19.25" hidden="1" customHeight="1" x14ac:dyDescent="0.3">
      <c r="A756" s="8">
        <v>2445911</v>
      </c>
      <c r="B756" s="6" t="s">
        <v>80</v>
      </c>
      <c r="C756" s="1" t="s">
        <v>9</v>
      </c>
      <c r="D756" s="1" t="s">
        <v>9</v>
      </c>
      <c r="E756" s="1" t="s">
        <v>9</v>
      </c>
      <c r="F756" s="6"/>
      <c r="G756" s="6"/>
      <c r="H756" s="11"/>
      <c r="I75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56" t="str">
        <f>IF(Table1[[#This Row],[Nationality]]="Nigeria",Table1[[#This Row],[EMJM Scholarship]],"Not Applicable")</f>
        <v>Not Applicable</v>
      </c>
    </row>
    <row r="757" spans="1:10" ht="19.25" hidden="1" customHeight="1" x14ac:dyDescent="0.3">
      <c r="A757" s="8">
        <v>2445924</v>
      </c>
      <c r="B757" s="6" t="s">
        <v>80</v>
      </c>
      <c r="C757" s="1" t="s">
        <v>9</v>
      </c>
      <c r="D757" s="1" t="s">
        <v>9</v>
      </c>
      <c r="E757" s="1" t="s">
        <v>9</v>
      </c>
      <c r="F757" s="6"/>
      <c r="G757" s="6"/>
      <c r="H757" s="11"/>
      <c r="I75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57" t="str">
        <f>IF(Table1[[#This Row],[Nationality]]="Nigeria",Table1[[#This Row],[EMJM Scholarship]],"Not Applicable")</f>
        <v>Not Applicable</v>
      </c>
    </row>
    <row r="758" spans="1:10" ht="19.25" hidden="1" customHeight="1" x14ac:dyDescent="0.3">
      <c r="A758" s="8">
        <v>2445936</v>
      </c>
      <c r="B758" s="6" t="s">
        <v>80</v>
      </c>
      <c r="C758" s="1" t="s">
        <v>9</v>
      </c>
      <c r="D758" s="1" t="s">
        <v>9</v>
      </c>
      <c r="E758" s="1" t="s">
        <v>9</v>
      </c>
      <c r="F758" s="6"/>
      <c r="G758" s="6"/>
      <c r="H758" s="11"/>
      <c r="I75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58" t="str">
        <f>IF(Table1[[#This Row],[Nationality]]="Nigeria",Table1[[#This Row],[EMJM Scholarship]],"Not Applicable")</f>
        <v>Not Applicable</v>
      </c>
    </row>
    <row r="759" spans="1:10" ht="19.25" hidden="1" customHeight="1" x14ac:dyDescent="0.3">
      <c r="A759" s="8">
        <v>2445938</v>
      </c>
      <c r="B759" s="6" t="s">
        <v>80</v>
      </c>
      <c r="C759" s="1" t="s">
        <v>9</v>
      </c>
      <c r="D759" s="1" t="s">
        <v>9</v>
      </c>
      <c r="E759" s="1" t="s">
        <v>9</v>
      </c>
      <c r="F759" s="6"/>
      <c r="G759" s="6"/>
      <c r="H759" s="11"/>
      <c r="I75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59" t="str">
        <f>IF(Table1[[#This Row],[Nationality]]="Nigeria",Table1[[#This Row],[EMJM Scholarship]],"Not Applicable")</f>
        <v>Not Applicable</v>
      </c>
    </row>
    <row r="760" spans="1:10" ht="19.25" hidden="1" customHeight="1" x14ac:dyDescent="0.3">
      <c r="A760" s="8">
        <v>2445952</v>
      </c>
      <c r="B760" s="6" t="s">
        <v>80</v>
      </c>
      <c r="C760" s="1" t="s">
        <v>9</v>
      </c>
      <c r="D760" s="1" t="s">
        <v>9</v>
      </c>
      <c r="E760" s="1" t="s">
        <v>9</v>
      </c>
      <c r="F760" s="6"/>
      <c r="G760" s="6"/>
      <c r="H760" s="11"/>
      <c r="I76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60" t="str">
        <f>IF(Table1[[#This Row],[Nationality]]="Nigeria",Table1[[#This Row],[EMJM Scholarship]],"Not Applicable")</f>
        <v>Not Applicable</v>
      </c>
    </row>
    <row r="761" spans="1:10" ht="19.25" hidden="1" customHeight="1" x14ac:dyDescent="0.3">
      <c r="A761" s="8">
        <v>2445986</v>
      </c>
      <c r="B761" s="6" t="s">
        <v>80</v>
      </c>
      <c r="C761" s="1" t="s">
        <v>9</v>
      </c>
      <c r="D761" s="1" t="s">
        <v>9</v>
      </c>
      <c r="E761" s="1" t="s">
        <v>9</v>
      </c>
      <c r="F761" s="6"/>
      <c r="G761" s="6"/>
      <c r="H761" s="11"/>
      <c r="I76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61" t="str">
        <f>IF(Table1[[#This Row],[Nationality]]="Nigeria",Table1[[#This Row],[EMJM Scholarship]],"Not Applicable")</f>
        <v>Not Applicable</v>
      </c>
    </row>
    <row r="762" spans="1:10" ht="19.25" hidden="1" customHeight="1" x14ac:dyDescent="0.3">
      <c r="A762" s="8">
        <v>2446106</v>
      </c>
      <c r="B762" s="6" t="s">
        <v>80</v>
      </c>
      <c r="C762" s="1" t="s">
        <v>9</v>
      </c>
      <c r="D762" s="1" t="s">
        <v>9</v>
      </c>
      <c r="E762" s="1" t="s">
        <v>9</v>
      </c>
      <c r="F762" s="6"/>
      <c r="G762" s="6"/>
      <c r="H762" s="11"/>
      <c r="I76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62" t="str">
        <f>IF(Table1[[#This Row],[Nationality]]="Nigeria",Table1[[#This Row],[EMJM Scholarship]],"Not Applicable")</f>
        <v>Not Applicable</v>
      </c>
    </row>
    <row r="763" spans="1:10" ht="19.25" hidden="1" customHeight="1" x14ac:dyDescent="0.3">
      <c r="A763" s="8">
        <v>2446199</v>
      </c>
      <c r="B763" s="6" t="s">
        <v>80</v>
      </c>
      <c r="C763" s="1" t="s">
        <v>9</v>
      </c>
      <c r="D763" s="1" t="s">
        <v>9</v>
      </c>
      <c r="E763" s="1" t="s">
        <v>9</v>
      </c>
      <c r="F763" s="6"/>
      <c r="G763" s="6"/>
      <c r="H763" s="11"/>
      <c r="I76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63" t="str">
        <f>IF(Table1[[#This Row],[Nationality]]="Nigeria",Table1[[#This Row],[EMJM Scholarship]],"Not Applicable")</f>
        <v>Not Applicable</v>
      </c>
    </row>
    <row r="764" spans="1:10" ht="19.25" hidden="1" customHeight="1" x14ac:dyDescent="0.3">
      <c r="A764" s="8">
        <v>2446298</v>
      </c>
      <c r="B764" s="6" t="s">
        <v>80</v>
      </c>
      <c r="C764" s="1" t="s">
        <v>9</v>
      </c>
      <c r="D764" s="1" t="s">
        <v>9</v>
      </c>
      <c r="E764" s="1" t="s">
        <v>9</v>
      </c>
      <c r="F764" s="6"/>
      <c r="G764" s="6"/>
      <c r="H764" s="11"/>
      <c r="I76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64" t="str">
        <f>IF(Table1[[#This Row],[Nationality]]="Nigeria",Table1[[#This Row],[EMJM Scholarship]],"Not Applicable")</f>
        <v>Not Applicable</v>
      </c>
    </row>
    <row r="765" spans="1:10" ht="19.25" hidden="1" customHeight="1" x14ac:dyDescent="0.3">
      <c r="A765" s="8">
        <v>2446322</v>
      </c>
      <c r="B765" s="6" t="s">
        <v>80</v>
      </c>
      <c r="C765" s="1" t="s">
        <v>9</v>
      </c>
      <c r="D765" s="1" t="s">
        <v>9</v>
      </c>
      <c r="E765" s="1" t="s">
        <v>9</v>
      </c>
      <c r="F765" s="6"/>
      <c r="G765" s="6"/>
      <c r="H765" s="11"/>
      <c r="I76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65" t="str">
        <f>IF(Table1[[#This Row],[Nationality]]="Nigeria",Table1[[#This Row],[EMJM Scholarship]],"Not Applicable")</f>
        <v>Not Applicable</v>
      </c>
    </row>
    <row r="766" spans="1:10" ht="19.25" hidden="1" customHeight="1" x14ac:dyDescent="0.3">
      <c r="A766" s="8">
        <v>2446345</v>
      </c>
      <c r="B766" s="6" t="s">
        <v>80</v>
      </c>
      <c r="C766" s="1" t="s">
        <v>9</v>
      </c>
      <c r="D766" s="1" t="s">
        <v>9</v>
      </c>
      <c r="E766" s="1" t="s">
        <v>9</v>
      </c>
      <c r="F766" s="6"/>
      <c r="G766" s="6"/>
      <c r="H766" s="11"/>
      <c r="I76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66" t="str">
        <f>IF(Table1[[#This Row],[Nationality]]="Nigeria",Table1[[#This Row],[EMJM Scholarship]],"Not Applicable")</f>
        <v>Not Applicable</v>
      </c>
    </row>
    <row r="767" spans="1:10" ht="19.25" hidden="1" customHeight="1" x14ac:dyDescent="0.3">
      <c r="A767" s="8">
        <v>2446606</v>
      </c>
      <c r="B767" s="6" t="s">
        <v>80</v>
      </c>
      <c r="C767" s="1" t="s">
        <v>9</v>
      </c>
      <c r="D767" s="1" t="s">
        <v>9</v>
      </c>
      <c r="E767" s="1" t="s">
        <v>9</v>
      </c>
      <c r="F767" s="6"/>
      <c r="G767" s="6"/>
      <c r="H767" s="11"/>
      <c r="I76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67" t="str">
        <f>IF(Table1[[#This Row],[Nationality]]="Nigeria",Table1[[#This Row],[EMJM Scholarship]],"Not Applicable")</f>
        <v>Not Applicable</v>
      </c>
    </row>
    <row r="768" spans="1:10" ht="19.25" hidden="1" customHeight="1" x14ac:dyDescent="0.3">
      <c r="A768" s="8">
        <v>2446742</v>
      </c>
      <c r="B768" s="6" t="s">
        <v>80</v>
      </c>
      <c r="C768" s="1" t="s">
        <v>9</v>
      </c>
      <c r="D768" s="1" t="s">
        <v>9</v>
      </c>
      <c r="E768" s="1" t="s">
        <v>9</v>
      </c>
      <c r="F768" s="6"/>
      <c r="G768" s="6"/>
      <c r="H768" s="11"/>
      <c r="I76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68" t="str">
        <f>IF(Table1[[#This Row],[Nationality]]="Nigeria",Table1[[#This Row],[EMJM Scholarship]],"Not Applicable")</f>
        <v>Not Applicable</v>
      </c>
    </row>
    <row r="769" spans="1:10" ht="19.25" hidden="1" customHeight="1" x14ac:dyDescent="0.3">
      <c r="A769" s="8">
        <v>2446776</v>
      </c>
      <c r="B769" s="6" t="s">
        <v>80</v>
      </c>
      <c r="C769" s="1" t="s">
        <v>9</v>
      </c>
      <c r="D769" s="1" t="s">
        <v>9</v>
      </c>
      <c r="E769" s="1" t="s">
        <v>9</v>
      </c>
      <c r="F769" s="6"/>
      <c r="G769" s="6"/>
      <c r="H769" s="11"/>
      <c r="I76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69" t="str">
        <f>IF(Table1[[#This Row],[Nationality]]="Nigeria",Table1[[#This Row],[EMJM Scholarship]],"Not Applicable")</f>
        <v>Not Applicable</v>
      </c>
    </row>
    <row r="770" spans="1:10" ht="19.25" hidden="1" customHeight="1" x14ac:dyDescent="0.3">
      <c r="A770" s="8">
        <v>2446786</v>
      </c>
      <c r="B770" s="6" t="s">
        <v>80</v>
      </c>
      <c r="C770" s="1" t="s">
        <v>9</v>
      </c>
      <c r="D770" s="1" t="s">
        <v>9</v>
      </c>
      <c r="E770" s="1" t="s">
        <v>9</v>
      </c>
      <c r="F770" s="6"/>
      <c r="G770" s="6"/>
      <c r="H770" s="11"/>
      <c r="I77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70" t="str">
        <f>IF(Table1[[#This Row],[Nationality]]="Nigeria",Table1[[#This Row],[EMJM Scholarship]],"Not Applicable")</f>
        <v>Not Applicable</v>
      </c>
    </row>
    <row r="771" spans="1:10" ht="19.25" hidden="1" customHeight="1" x14ac:dyDescent="0.3">
      <c r="A771" s="8">
        <v>2446810</v>
      </c>
      <c r="B771" s="6" t="s">
        <v>80</v>
      </c>
      <c r="C771" s="1" t="s">
        <v>9</v>
      </c>
      <c r="D771" s="1" t="s">
        <v>9</v>
      </c>
      <c r="E771" s="1" t="s">
        <v>9</v>
      </c>
      <c r="F771" s="6"/>
      <c r="G771" s="6"/>
      <c r="H771" s="11"/>
      <c r="I77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71" t="str">
        <f>IF(Table1[[#This Row],[Nationality]]="Nigeria",Table1[[#This Row],[EMJM Scholarship]],"Not Applicable")</f>
        <v>Not Applicable</v>
      </c>
    </row>
    <row r="772" spans="1:10" ht="19.25" hidden="1" customHeight="1" x14ac:dyDescent="0.3">
      <c r="A772" s="8">
        <v>2446822</v>
      </c>
      <c r="B772" s="6" t="s">
        <v>80</v>
      </c>
      <c r="C772" s="1" t="s">
        <v>9</v>
      </c>
      <c r="D772" s="1" t="s">
        <v>9</v>
      </c>
      <c r="E772" s="1" t="s">
        <v>9</v>
      </c>
      <c r="F772" s="6"/>
      <c r="G772" s="6"/>
      <c r="H772" s="11"/>
      <c r="I77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72" t="str">
        <f>IF(Table1[[#This Row],[Nationality]]="Nigeria",Table1[[#This Row],[EMJM Scholarship]],"Not Applicable")</f>
        <v>Not Applicable</v>
      </c>
    </row>
    <row r="773" spans="1:10" ht="19.25" hidden="1" customHeight="1" x14ac:dyDescent="0.3">
      <c r="A773" s="8">
        <v>2446889</v>
      </c>
      <c r="B773" s="6" t="s">
        <v>80</v>
      </c>
      <c r="C773" s="1" t="s">
        <v>9</v>
      </c>
      <c r="D773" s="1" t="s">
        <v>9</v>
      </c>
      <c r="E773" s="1" t="s">
        <v>9</v>
      </c>
      <c r="F773" s="6"/>
      <c r="G773" s="6"/>
      <c r="H773" s="11"/>
      <c r="I77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73" t="str">
        <f>IF(Table1[[#This Row],[Nationality]]="Nigeria",Table1[[#This Row],[EMJM Scholarship]],"Not Applicable")</f>
        <v>Not Applicable</v>
      </c>
    </row>
    <row r="774" spans="1:10" ht="19.25" hidden="1" customHeight="1" x14ac:dyDescent="0.3">
      <c r="A774" s="8">
        <v>2447310</v>
      </c>
      <c r="B774" s="6" t="s">
        <v>80</v>
      </c>
      <c r="C774" s="1" t="s">
        <v>9</v>
      </c>
      <c r="D774" s="1" t="s">
        <v>9</v>
      </c>
      <c r="E774" s="1" t="s">
        <v>9</v>
      </c>
      <c r="F774" s="6"/>
      <c r="G774" s="6"/>
      <c r="H774" s="11"/>
      <c r="I77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74" t="str">
        <f>IF(Table1[[#This Row],[Nationality]]="Nigeria",Table1[[#This Row],[EMJM Scholarship]],"Not Applicable")</f>
        <v>Not Applicable</v>
      </c>
    </row>
    <row r="775" spans="1:10" ht="19.25" hidden="1" customHeight="1" x14ac:dyDescent="0.3">
      <c r="A775" s="8">
        <v>2447521</v>
      </c>
      <c r="B775" s="6" t="s">
        <v>80</v>
      </c>
      <c r="C775" s="1" t="s">
        <v>9</v>
      </c>
      <c r="D775" s="1" t="s">
        <v>9</v>
      </c>
      <c r="E775" s="1" t="s">
        <v>9</v>
      </c>
      <c r="F775" s="6"/>
      <c r="G775" s="6"/>
      <c r="H775" s="11"/>
      <c r="I77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75" t="str">
        <f>IF(Table1[[#This Row],[Nationality]]="Nigeria",Table1[[#This Row],[EMJM Scholarship]],"Not Applicable")</f>
        <v>Not Applicable</v>
      </c>
    </row>
    <row r="776" spans="1:10" ht="19.25" hidden="1" customHeight="1" x14ac:dyDescent="0.3">
      <c r="A776" s="8">
        <v>2448007</v>
      </c>
      <c r="B776" s="6" t="s">
        <v>80</v>
      </c>
      <c r="C776" s="1" t="s">
        <v>9</v>
      </c>
      <c r="D776" s="1" t="s">
        <v>9</v>
      </c>
      <c r="E776" s="1" t="s">
        <v>9</v>
      </c>
      <c r="F776" s="6"/>
      <c r="G776" s="6"/>
      <c r="H776" s="11"/>
      <c r="I77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76" t="str">
        <f>IF(Table1[[#This Row],[Nationality]]="Nigeria",Table1[[#This Row],[EMJM Scholarship]],"Not Applicable")</f>
        <v>Not Applicable</v>
      </c>
    </row>
    <row r="777" spans="1:10" ht="19.25" hidden="1" customHeight="1" x14ac:dyDescent="0.3">
      <c r="A777" s="8">
        <v>2448043</v>
      </c>
      <c r="B777" s="6" t="s">
        <v>80</v>
      </c>
      <c r="C777" s="1" t="s">
        <v>9</v>
      </c>
      <c r="D777" s="1" t="s">
        <v>9</v>
      </c>
      <c r="E777" s="1" t="s">
        <v>9</v>
      </c>
      <c r="F777" s="6"/>
      <c r="G777" s="6"/>
      <c r="H777" s="11"/>
      <c r="I77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77" t="str">
        <f>IF(Table1[[#This Row],[Nationality]]="Nigeria",Table1[[#This Row],[EMJM Scholarship]],"Not Applicable")</f>
        <v>Not Applicable</v>
      </c>
    </row>
    <row r="778" spans="1:10" ht="19.25" hidden="1" customHeight="1" x14ac:dyDescent="0.3">
      <c r="A778" s="8">
        <v>2448077</v>
      </c>
      <c r="B778" s="6" t="s">
        <v>80</v>
      </c>
      <c r="C778" s="1" t="s">
        <v>9</v>
      </c>
      <c r="D778" s="1" t="s">
        <v>9</v>
      </c>
      <c r="E778" s="1" t="s">
        <v>9</v>
      </c>
      <c r="F778" s="6"/>
      <c r="G778" s="6"/>
      <c r="H778" s="11"/>
      <c r="I77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78" t="str">
        <f>IF(Table1[[#This Row],[Nationality]]="Nigeria",Table1[[#This Row],[EMJM Scholarship]],"Not Applicable")</f>
        <v>Not Applicable</v>
      </c>
    </row>
    <row r="779" spans="1:10" ht="19.25" hidden="1" customHeight="1" x14ac:dyDescent="0.3">
      <c r="A779" s="8">
        <v>2448103</v>
      </c>
      <c r="B779" s="6" t="s">
        <v>80</v>
      </c>
      <c r="C779" s="1" t="s">
        <v>9</v>
      </c>
      <c r="D779" s="1" t="s">
        <v>9</v>
      </c>
      <c r="E779" s="1" t="s">
        <v>9</v>
      </c>
      <c r="F779" s="6"/>
      <c r="G779" s="6"/>
      <c r="H779" s="11"/>
      <c r="I77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79" t="str">
        <f>IF(Table1[[#This Row],[Nationality]]="Nigeria",Table1[[#This Row],[EMJM Scholarship]],"Not Applicable")</f>
        <v>Not Applicable</v>
      </c>
    </row>
    <row r="780" spans="1:10" ht="19.25" hidden="1" customHeight="1" x14ac:dyDescent="0.3">
      <c r="A780" s="8">
        <v>2448318</v>
      </c>
      <c r="B780" s="6" t="s">
        <v>80</v>
      </c>
      <c r="C780" s="1" t="s">
        <v>9</v>
      </c>
      <c r="D780" s="1" t="s">
        <v>9</v>
      </c>
      <c r="E780" s="1" t="s">
        <v>9</v>
      </c>
      <c r="F780" s="6"/>
      <c r="G780" s="6"/>
      <c r="H780" s="11"/>
      <c r="I78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80" t="str">
        <f>IF(Table1[[#This Row],[Nationality]]="Nigeria",Table1[[#This Row],[EMJM Scholarship]],"Not Applicable")</f>
        <v>Not Applicable</v>
      </c>
    </row>
    <row r="781" spans="1:10" ht="19.25" hidden="1" customHeight="1" x14ac:dyDescent="0.3">
      <c r="A781" s="8">
        <v>2448358</v>
      </c>
      <c r="B781" s="6" t="s">
        <v>80</v>
      </c>
      <c r="C781" s="1" t="s">
        <v>9</v>
      </c>
      <c r="D781" s="1" t="s">
        <v>9</v>
      </c>
      <c r="E781" s="1" t="s">
        <v>9</v>
      </c>
      <c r="F781" s="6"/>
      <c r="G781" s="6"/>
      <c r="H781" s="11"/>
      <c r="I78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81" t="str">
        <f>IF(Table1[[#This Row],[Nationality]]="Nigeria",Table1[[#This Row],[EMJM Scholarship]],"Not Applicable")</f>
        <v>Not Applicable</v>
      </c>
    </row>
    <row r="782" spans="1:10" ht="19.25" hidden="1" customHeight="1" x14ac:dyDescent="0.3">
      <c r="A782" s="8">
        <v>2448366</v>
      </c>
      <c r="B782" s="6" t="s">
        <v>80</v>
      </c>
      <c r="C782" s="1" t="s">
        <v>9</v>
      </c>
      <c r="D782" s="1" t="s">
        <v>9</v>
      </c>
      <c r="E782" s="1" t="s">
        <v>9</v>
      </c>
      <c r="F782" s="6"/>
      <c r="G782" s="6"/>
      <c r="H782" s="11"/>
      <c r="I78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82" t="str">
        <f>IF(Table1[[#This Row],[Nationality]]="Nigeria",Table1[[#This Row],[EMJM Scholarship]],"Not Applicable")</f>
        <v>Not Applicable</v>
      </c>
    </row>
    <row r="783" spans="1:10" ht="19.25" hidden="1" customHeight="1" x14ac:dyDescent="0.3">
      <c r="A783" s="8">
        <v>2448377</v>
      </c>
      <c r="B783" s="6" t="s">
        <v>80</v>
      </c>
      <c r="C783" s="1" t="s">
        <v>9</v>
      </c>
      <c r="D783" s="1" t="s">
        <v>9</v>
      </c>
      <c r="E783" s="1" t="s">
        <v>9</v>
      </c>
      <c r="F783" s="6"/>
      <c r="G783" s="6"/>
      <c r="H783" s="11"/>
      <c r="I78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83" t="str">
        <f>IF(Table1[[#This Row],[Nationality]]="Nigeria",Table1[[#This Row],[EMJM Scholarship]],"Not Applicable")</f>
        <v>Not Applicable</v>
      </c>
    </row>
    <row r="784" spans="1:10" ht="19.25" hidden="1" customHeight="1" x14ac:dyDescent="0.3">
      <c r="A784" s="8">
        <v>2448554</v>
      </c>
      <c r="B784" s="6" t="s">
        <v>80</v>
      </c>
      <c r="C784" s="1" t="s">
        <v>9</v>
      </c>
      <c r="D784" s="1" t="s">
        <v>9</v>
      </c>
      <c r="E784" s="1" t="s">
        <v>9</v>
      </c>
      <c r="F784" s="6"/>
      <c r="G784" s="6"/>
      <c r="H784" s="11"/>
      <c r="I78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84" t="str">
        <f>IF(Table1[[#This Row],[Nationality]]="Nigeria",Table1[[#This Row],[EMJM Scholarship]],"Not Applicable")</f>
        <v>Not Applicable</v>
      </c>
    </row>
    <row r="785" spans="1:10" ht="19.25" hidden="1" customHeight="1" x14ac:dyDescent="0.3">
      <c r="A785" s="8">
        <v>2448815</v>
      </c>
      <c r="B785" s="6" t="s">
        <v>80</v>
      </c>
      <c r="C785" s="1" t="s">
        <v>9</v>
      </c>
      <c r="D785" s="1" t="s">
        <v>9</v>
      </c>
      <c r="E785" s="1" t="s">
        <v>9</v>
      </c>
      <c r="F785" s="6"/>
      <c r="G785" s="6"/>
      <c r="H785" s="11"/>
      <c r="I78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85" t="str">
        <f>IF(Table1[[#This Row],[Nationality]]="Nigeria",Table1[[#This Row],[EMJM Scholarship]],"Not Applicable")</f>
        <v>Not Applicable</v>
      </c>
    </row>
    <row r="786" spans="1:10" ht="19.25" hidden="1" customHeight="1" x14ac:dyDescent="0.3">
      <c r="A786" s="8">
        <v>2449008</v>
      </c>
      <c r="B786" s="6" t="s">
        <v>80</v>
      </c>
      <c r="C786" s="1" t="s">
        <v>9</v>
      </c>
      <c r="D786" s="1" t="s">
        <v>9</v>
      </c>
      <c r="E786" s="1" t="s">
        <v>9</v>
      </c>
      <c r="F786" s="6"/>
      <c r="G786" s="6"/>
      <c r="H786" s="11"/>
      <c r="I78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86" t="str">
        <f>IF(Table1[[#This Row],[Nationality]]="Nigeria",Table1[[#This Row],[EMJM Scholarship]],"Not Applicable")</f>
        <v>Not Applicable</v>
      </c>
    </row>
    <row r="787" spans="1:10" ht="19.25" hidden="1" customHeight="1" x14ac:dyDescent="0.3">
      <c r="A787" s="8">
        <v>2449063</v>
      </c>
      <c r="B787" s="6" t="s">
        <v>80</v>
      </c>
      <c r="C787" s="1" t="s">
        <v>9</v>
      </c>
      <c r="D787" s="1" t="s">
        <v>9</v>
      </c>
      <c r="E787" s="1" t="s">
        <v>9</v>
      </c>
      <c r="F787" s="6"/>
      <c r="G787" s="6"/>
      <c r="H787" s="11"/>
      <c r="I78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87" t="str">
        <f>IF(Table1[[#This Row],[Nationality]]="Nigeria",Table1[[#This Row],[EMJM Scholarship]],"Not Applicable")</f>
        <v>Not Applicable</v>
      </c>
    </row>
    <row r="788" spans="1:10" ht="19.25" hidden="1" customHeight="1" x14ac:dyDescent="0.3">
      <c r="A788" s="8">
        <v>2449125</v>
      </c>
      <c r="B788" s="6" t="s">
        <v>80</v>
      </c>
      <c r="C788" s="1" t="s">
        <v>9</v>
      </c>
      <c r="D788" s="1" t="s">
        <v>9</v>
      </c>
      <c r="E788" s="1" t="s">
        <v>9</v>
      </c>
      <c r="F788" s="6"/>
      <c r="G788" s="6"/>
      <c r="H788" s="11"/>
      <c r="I78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88" t="str">
        <f>IF(Table1[[#This Row],[Nationality]]="Nigeria",Table1[[#This Row],[EMJM Scholarship]],"Not Applicable")</f>
        <v>Not Applicable</v>
      </c>
    </row>
    <row r="789" spans="1:10" ht="19.25" hidden="1" customHeight="1" x14ac:dyDescent="0.3">
      <c r="A789" s="8">
        <v>2449132</v>
      </c>
      <c r="B789" s="6" t="s">
        <v>80</v>
      </c>
      <c r="C789" s="1" t="s">
        <v>9</v>
      </c>
      <c r="D789" s="1" t="s">
        <v>9</v>
      </c>
      <c r="E789" s="1" t="s">
        <v>9</v>
      </c>
      <c r="F789" s="6"/>
      <c r="G789" s="6"/>
      <c r="H789" s="11"/>
      <c r="I78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89" t="str">
        <f>IF(Table1[[#This Row],[Nationality]]="Nigeria",Table1[[#This Row],[EMJM Scholarship]],"Not Applicable")</f>
        <v>Not Applicable</v>
      </c>
    </row>
    <row r="790" spans="1:10" ht="19.25" hidden="1" customHeight="1" x14ac:dyDescent="0.3">
      <c r="A790" s="8">
        <v>2449210</v>
      </c>
      <c r="B790" s="6" t="s">
        <v>80</v>
      </c>
      <c r="C790" s="1" t="s">
        <v>9</v>
      </c>
      <c r="D790" s="1" t="s">
        <v>9</v>
      </c>
      <c r="E790" s="1" t="s">
        <v>9</v>
      </c>
      <c r="F790" s="6"/>
      <c r="G790" s="6"/>
      <c r="H790" s="11"/>
      <c r="I79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90" t="str">
        <f>IF(Table1[[#This Row],[Nationality]]="Nigeria",Table1[[#This Row],[EMJM Scholarship]],"Not Applicable")</f>
        <v>Not Applicable</v>
      </c>
    </row>
    <row r="791" spans="1:10" ht="19.25" hidden="1" customHeight="1" x14ac:dyDescent="0.3">
      <c r="A791" s="8">
        <v>2449328</v>
      </c>
      <c r="B791" s="6" t="s">
        <v>80</v>
      </c>
      <c r="C791" s="1" t="s">
        <v>9</v>
      </c>
      <c r="D791" s="1" t="s">
        <v>9</v>
      </c>
      <c r="E791" s="1" t="s">
        <v>9</v>
      </c>
      <c r="F791" s="6"/>
      <c r="G791" s="6"/>
      <c r="H791" s="11"/>
      <c r="I79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91" t="str">
        <f>IF(Table1[[#This Row],[Nationality]]="Nigeria",Table1[[#This Row],[EMJM Scholarship]],"Not Applicable")</f>
        <v>Not Applicable</v>
      </c>
    </row>
    <row r="792" spans="1:10" ht="19.25" hidden="1" customHeight="1" x14ac:dyDescent="0.3">
      <c r="A792" s="8">
        <v>2449376</v>
      </c>
      <c r="B792" s="6" t="s">
        <v>80</v>
      </c>
      <c r="C792" s="1" t="s">
        <v>9</v>
      </c>
      <c r="D792" s="1" t="s">
        <v>9</v>
      </c>
      <c r="E792" s="1" t="s">
        <v>9</v>
      </c>
      <c r="F792" s="6"/>
      <c r="G792" s="6"/>
      <c r="H792" s="11"/>
      <c r="I79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92" t="str">
        <f>IF(Table1[[#This Row],[Nationality]]="Nigeria",Table1[[#This Row],[EMJM Scholarship]],"Not Applicable")</f>
        <v>Not Applicable</v>
      </c>
    </row>
    <row r="793" spans="1:10" ht="19.25" hidden="1" customHeight="1" x14ac:dyDescent="0.3">
      <c r="A793" s="8">
        <v>2449545</v>
      </c>
      <c r="B793" s="6" t="s">
        <v>80</v>
      </c>
      <c r="C793" s="1" t="s">
        <v>9</v>
      </c>
      <c r="D793" s="1" t="s">
        <v>9</v>
      </c>
      <c r="E793" s="1" t="s">
        <v>9</v>
      </c>
      <c r="F793" s="6"/>
      <c r="G793" s="6"/>
      <c r="H793" s="11"/>
      <c r="I79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93" t="str">
        <f>IF(Table1[[#This Row],[Nationality]]="Nigeria",Table1[[#This Row],[EMJM Scholarship]],"Not Applicable")</f>
        <v>Not Applicable</v>
      </c>
    </row>
    <row r="794" spans="1:10" ht="19.25" hidden="1" customHeight="1" x14ac:dyDescent="0.3">
      <c r="A794" s="8">
        <v>2449953</v>
      </c>
      <c r="B794" s="6" t="s">
        <v>80</v>
      </c>
      <c r="C794" s="1" t="s">
        <v>9</v>
      </c>
      <c r="D794" s="1" t="s">
        <v>9</v>
      </c>
      <c r="E794" s="1" t="s">
        <v>9</v>
      </c>
      <c r="F794" s="6"/>
      <c r="G794" s="6"/>
      <c r="H794" s="11"/>
      <c r="I79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94" t="str">
        <f>IF(Table1[[#This Row],[Nationality]]="Nigeria",Table1[[#This Row],[EMJM Scholarship]],"Not Applicable")</f>
        <v>Not Applicable</v>
      </c>
    </row>
    <row r="795" spans="1:10" ht="19.25" hidden="1" customHeight="1" x14ac:dyDescent="0.3">
      <c r="A795" s="8">
        <v>2450047</v>
      </c>
      <c r="B795" s="6" t="s">
        <v>80</v>
      </c>
      <c r="C795" s="1" t="s">
        <v>9</v>
      </c>
      <c r="D795" s="1" t="s">
        <v>9</v>
      </c>
      <c r="E795" s="1" t="s">
        <v>9</v>
      </c>
      <c r="F795" s="6"/>
      <c r="G795" s="6"/>
      <c r="H795" s="11"/>
      <c r="I79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95" t="str">
        <f>IF(Table1[[#This Row],[Nationality]]="Nigeria",Table1[[#This Row],[EMJM Scholarship]],"Not Applicable")</f>
        <v>Not Applicable</v>
      </c>
    </row>
    <row r="796" spans="1:10" ht="19.25" hidden="1" customHeight="1" x14ac:dyDescent="0.3">
      <c r="A796" s="8">
        <v>2450083</v>
      </c>
      <c r="B796" s="6" t="s">
        <v>80</v>
      </c>
      <c r="C796" s="1" t="s">
        <v>9</v>
      </c>
      <c r="D796" s="1" t="s">
        <v>9</v>
      </c>
      <c r="E796" s="1" t="s">
        <v>9</v>
      </c>
      <c r="F796" s="6"/>
      <c r="G796" s="6"/>
      <c r="H796" s="11"/>
      <c r="I79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96" t="str">
        <f>IF(Table1[[#This Row],[Nationality]]="Nigeria",Table1[[#This Row],[EMJM Scholarship]],"Not Applicable")</f>
        <v>Not Applicable</v>
      </c>
    </row>
    <row r="797" spans="1:10" ht="19.25" hidden="1" customHeight="1" x14ac:dyDescent="0.3">
      <c r="A797" s="8">
        <v>2450111</v>
      </c>
      <c r="B797" s="6" t="s">
        <v>80</v>
      </c>
      <c r="C797" s="1" t="s">
        <v>9</v>
      </c>
      <c r="D797" s="1" t="s">
        <v>9</v>
      </c>
      <c r="E797" s="1" t="s">
        <v>9</v>
      </c>
      <c r="F797" s="6"/>
      <c r="G797" s="6"/>
      <c r="H797" s="11"/>
      <c r="I79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97" t="str">
        <f>IF(Table1[[#This Row],[Nationality]]="Nigeria",Table1[[#This Row],[EMJM Scholarship]],"Not Applicable")</f>
        <v>Not Applicable</v>
      </c>
    </row>
    <row r="798" spans="1:10" ht="19.25" hidden="1" customHeight="1" x14ac:dyDescent="0.3">
      <c r="A798" s="8">
        <v>2450267</v>
      </c>
      <c r="B798" s="6" t="s">
        <v>80</v>
      </c>
      <c r="C798" s="1" t="s">
        <v>9</v>
      </c>
      <c r="D798" s="1" t="s">
        <v>9</v>
      </c>
      <c r="E798" s="1" t="s">
        <v>9</v>
      </c>
      <c r="F798" s="6"/>
      <c r="G798" s="6"/>
      <c r="H798" s="11"/>
      <c r="I79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98" t="str">
        <f>IF(Table1[[#This Row],[Nationality]]="Nigeria",Table1[[#This Row],[EMJM Scholarship]],"Not Applicable")</f>
        <v>Not Applicable</v>
      </c>
    </row>
    <row r="799" spans="1:10" ht="19.25" hidden="1" customHeight="1" x14ac:dyDescent="0.3">
      <c r="A799" s="8">
        <v>2450308</v>
      </c>
      <c r="B799" s="6" t="s">
        <v>80</v>
      </c>
      <c r="C799" s="1" t="s">
        <v>9</v>
      </c>
      <c r="D799" s="1" t="s">
        <v>9</v>
      </c>
      <c r="E799" s="1" t="s">
        <v>9</v>
      </c>
      <c r="F799" s="6"/>
      <c r="G799" s="6"/>
      <c r="H799" s="11"/>
      <c r="I79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799" t="str">
        <f>IF(Table1[[#This Row],[Nationality]]="Nigeria",Table1[[#This Row],[EMJM Scholarship]],"Not Applicable")</f>
        <v>Not Applicable</v>
      </c>
    </row>
    <row r="800" spans="1:10" ht="19.25" hidden="1" customHeight="1" x14ac:dyDescent="0.3">
      <c r="A800" s="8">
        <v>2450494</v>
      </c>
      <c r="B800" s="6" t="s">
        <v>80</v>
      </c>
      <c r="C800" s="1" t="s">
        <v>9</v>
      </c>
      <c r="D800" s="1" t="s">
        <v>9</v>
      </c>
      <c r="E800" s="1" t="s">
        <v>9</v>
      </c>
      <c r="F800" s="6"/>
      <c r="G800" s="6"/>
      <c r="H800" s="11"/>
      <c r="I80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00" t="str">
        <f>IF(Table1[[#This Row],[Nationality]]="Nigeria",Table1[[#This Row],[EMJM Scholarship]],"Not Applicable")</f>
        <v>Not Applicable</v>
      </c>
    </row>
    <row r="801" spans="1:10" ht="19.25" hidden="1" customHeight="1" x14ac:dyDescent="0.3">
      <c r="A801" s="8">
        <v>2450515</v>
      </c>
      <c r="B801" s="6" t="s">
        <v>80</v>
      </c>
      <c r="C801" s="1" t="s">
        <v>9</v>
      </c>
      <c r="D801" s="1" t="s">
        <v>9</v>
      </c>
      <c r="E801" s="1" t="s">
        <v>9</v>
      </c>
      <c r="F801" s="6"/>
      <c r="G801" s="6"/>
      <c r="H801" s="11"/>
      <c r="I80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01" t="str">
        <f>IF(Table1[[#This Row],[Nationality]]="Nigeria",Table1[[#This Row],[EMJM Scholarship]],"Not Applicable")</f>
        <v>Not Applicable</v>
      </c>
    </row>
    <row r="802" spans="1:10" ht="19.25" hidden="1" customHeight="1" x14ac:dyDescent="0.3">
      <c r="A802" s="8">
        <v>2450599</v>
      </c>
      <c r="B802" s="6" t="s">
        <v>80</v>
      </c>
      <c r="C802" s="1" t="s">
        <v>9</v>
      </c>
      <c r="D802" s="1" t="s">
        <v>9</v>
      </c>
      <c r="E802" s="1" t="s">
        <v>9</v>
      </c>
      <c r="F802" s="6"/>
      <c r="G802" s="6"/>
      <c r="H802" s="11"/>
      <c r="I80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02" t="str">
        <f>IF(Table1[[#This Row],[Nationality]]="Nigeria",Table1[[#This Row],[EMJM Scholarship]],"Not Applicable")</f>
        <v>Not Applicable</v>
      </c>
    </row>
    <row r="803" spans="1:10" ht="19.25" hidden="1" customHeight="1" x14ac:dyDescent="0.3">
      <c r="A803" s="8">
        <v>2450895</v>
      </c>
      <c r="B803" s="6" t="s">
        <v>80</v>
      </c>
      <c r="C803" s="1" t="s">
        <v>9</v>
      </c>
      <c r="D803" s="1" t="s">
        <v>9</v>
      </c>
      <c r="E803" s="1" t="s">
        <v>9</v>
      </c>
      <c r="F803" s="6"/>
      <c r="G803" s="6"/>
      <c r="H803" s="11"/>
      <c r="I80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03" t="str">
        <f>IF(Table1[[#This Row],[Nationality]]="Nigeria",Table1[[#This Row],[EMJM Scholarship]],"Not Applicable")</f>
        <v>Not Applicable</v>
      </c>
    </row>
    <row r="804" spans="1:10" ht="19.25" hidden="1" customHeight="1" x14ac:dyDescent="0.3">
      <c r="A804" s="8">
        <v>2451038</v>
      </c>
      <c r="B804" s="6" t="s">
        <v>80</v>
      </c>
      <c r="C804" s="1" t="s">
        <v>9</v>
      </c>
      <c r="D804" s="1" t="s">
        <v>9</v>
      </c>
      <c r="E804" s="1" t="s">
        <v>9</v>
      </c>
      <c r="F804" s="6"/>
      <c r="G804" s="6"/>
      <c r="H804" s="11"/>
      <c r="I80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04" t="str">
        <f>IF(Table1[[#This Row],[Nationality]]="Nigeria",Table1[[#This Row],[EMJM Scholarship]],"Not Applicable")</f>
        <v>Not Applicable</v>
      </c>
    </row>
    <row r="805" spans="1:10" ht="19.25" hidden="1" customHeight="1" x14ac:dyDescent="0.3">
      <c r="A805" s="8">
        <v>2451140</v>
      </c>
      <c r="B805" s="6" t="s">
        <v>80</v>
      </c>
      <c r="C805" s="1" t="s">
        <v>9</v>
      </c>
      <c r="D805" s="1" t="s">
        <v>9</v>
      </c>
      <c r="E805" s="1" t="s">
        <v>9</v>
      </c>
      <c r="F805" s="6"/>
      <c r="G805" s="6"/>
      <c r="H805" s="11"/>
      <c r="I80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05" t="str">
        <f>IF(Table1[[#This Row],[Nationality]]="Nigeria",Table1[[#This Row],[EMJM Scholarship]],"Not Applicable")</f>
        <v>Not Applicable</v>
      </c>
    </row>
    <row r="806" spans="1:10" ht="19.25" hidden="1" customHeight="1" x14ac:dyDescent="0.3">
      <c r="A806" s="8">
        <v>2451174</v>
      </c>
      <c r="B806" s="6" t="s">
        <v>80</v>
      </c>
      <c r="C806" s="1" t="s">
        <v>9</v>
      </c>
      <c r="D806" s="1" t="s">
        <v>9</v>
      </c>
      <c r="E806" s="1" t="s">
        <v>9</v>
      </c>
      <c r="F806" s="6"/>
      <c r="G806" s="6"/>
      <c r="H806" s="11"/>
      <c r="I80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06" t="str">
        <f>IF(Table1[[#This Row],[Nationality]]="Nigeria",Table1[[#This Row],[EMJM Scholarship]],"Not Applicable")</f>
        <v>Not Applicable</v>
      </c>
    </row>
    <row r="807" spans="1:10" ht="19.25" hidden="1" customHeight="1" x14ac:dyDescent="0.3">
      <c r="A807" s="8">
        <v>2451308</v>
      </c>
      <c r="B807" s="6" t="s">
        <v>80</v>
      </c>
      <c r="C807" s="1" t="s">
        <v>9</v>
      </c>
      <c r="D807" s="1" t="s">
        <v>9</v>
      </c>
      <c r="E807" s="1" t="s">
        <v>9</v>
      </c>
      <c r="F807" s="6"/>
      <c r="G807" s="6"/>
      <c r="H807" s="11"/>
      <c r="I80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07" t="str">
        <f>IF(Table1[[#This Row],[Nationality]]="Nigeria",Table1[[#This Row],[EMJM Scholarship]],"Not Applicable")</f>
        <v>Not Applicable</v>
      </c>
    </row>
    <row r="808" spans="1:10" ht="19.25" hidden="1" customHeight="1" x14ac:dyDescent="0.3">
      <c r="A808" s="8">
        <v>2451477</v>
      </c>
      <c r="B808" s="6" t="s">
        <v>80</v>
      </c>
      <c r="C808" s="1" t="s">
        <v>9</v>
      </c>
      <c r="D808" s="1" t="s">
        <v>9</v>
      </c>
      <c r="E808" s="1" t="s">
        <v>9</v>
      </c>
      <c r="F808" s="6"/>
      <c r="G808" s="6"/>
      <c r="H808" s="11"/>
      <c r="I80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08" t="str">
        <f>IF(Table1[[#This Row],[Nationality]]="Nigeria",Table1[[#This Row],[EMJM Scholarship]],"Not Applicable")</f>
        <v>Not Applicable</v>
      </c>
    </row>
    <row r="809" spans="1:10" ht="19.25" hidden="1" customHeight="1" x14ac:dyDescent="0.3">
      <c r="A809" s="8">
        <v>2451516</v>
      </c>
      <c r="B809" s="6" t="s">
        <v>80</v>
      </c>
      <c r="C809" s="1" t="s">
        <v>9</v>
      </c>
      <c r="D809" s="1" t="s">
        <v>9</v>
      </c>
      <c r="E809" s="1" t="s">
        <v>9</v>
      </c>
      <c r="F809" s="6"/>
      <c r="G809" s="6"/>
      <c r="H809" s="11"/>
      <c r="I80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09" t="str">
        <f>IF(Table1[[#This Row],[Nationality]]="Nigeria",Table1[[#This Row],[EMJM Scholarship]],"Not Applicable")</f>
        <v>Not Applicable</v>
      </c>
    </row>
    <row r="810" spans="1:10" ht="19.25" hidden="1" customHeight="1" x14ac:dyDescent="0.3">
      <c r="A810" s="8">
        <v>2451560</v>
      </c>
      <c r="B810" s="6" t="s">
        <v>80</v>
      </c>
      <c r="C810" s="1" t="s">
        <v>9</v>
      </c>
      <c r="D810" s="1" t="s">
        <v>9</v>
      </c>
      <c r="E810" s="1" t="s">
        <v>9</v>
      </c>
      <c r="F810" s="6"/>
      <c r="G810" s="6"/>
      <c r="H810" s="11"/>
      <c r="I81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10" t="str">
        <f>IF(Table1[[#This Row],[Nationality]]="Nigeria",Table1[[#This Row],[EMJM Scholarship]],"Not Applicable")</f>
        <v>Not Applicable</v>
      </c>
    </row>
    <row r="811" spans="1:10" ht="19.25" hidden="1" customHeight="1" x14ac:dyDescent="0.3">
      <c r="A811" s="8">
        <v>2451901</v>
      </c>
      <c r="B811" s="6" t="s">
        <v>80</v>
      </c>
      <c r="C811" s="1" t="s">
        <v>9</v>
      </c>
      <c r="D811" s="1" t="s">
        <v>9</v>
      </c>
      <c r="E811" s="1" t="s">
        <v>9</v>
      </c>
      <c r="F811" s="6"/>
      <c r="G811" s="6"/>
      <c r="H811" s="11"/>
      <c r="I81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11" t="str">
        <f>IF(Table1[[#This Row],[Nationality]]="Nigeria",Table1[[#This Row],[EMJM Scholarship]],"Not Applicable")</f>
        <v>Not Applicable</v>
      </c>
    </row>
    <row r="812" spans="1:10" ht="19.25" hidden="1" customHeight="1" x14ac:dyDescent="0.3">
      <c r="A812" s="8">
        <v>2451922</v>
      </c>
      <c r="B812" s="6" t="s">
        <v>80</v>
      </c>
      <c r="C812" s="1" t="s">
        <v>9</v>
      </c>
      <c r="D812" s="1" t="s">
        <v>9</v>
      </c>
      <c r="E812" s="1" t="s">
        <v>9</v>
      </c>
      <c r="F812" s="6"/>
      <c r="G812" s="6"/>
      <c r="H812" s="11"/>
      <c r="I81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12" t="str">
        <f>IF(Table1[[#This Row],[Nationality]]="Nigeria",Table1[[#This Row],[EMJM Scholarship]],"Not Applicable")</f>
        <v>Not Applicable</v>
      </c>
    </row>
    <row r="813" spans="1:10" ht="19.25" hidden="1" customHeight="1" x14ac:dyDescent="0.3">
      <c r="A813" s="8">
        <v>2451940</v>
      </c>
      <c r="B813" s="6" t="s">
        <v>80</v>
      </c>
      <c r="C813" s="1" t="s">
        <v>9</v>
      </c>
      <c r="D813" s="1" t="s">
        <v>9</v>
      </c>
      <c r="E813" s="1" t="s">
        <v>9</v>
      </c>
      <c r="F813" s="6"/>
      <c r="G813" s="6"/>
      <c r="H813" s="11"/>
      <c r="I81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13" t="str">
        <f>IF(Table1[[#This Row],[Nationality]]="Nigeria",Table1[[#This Row],[EMJM Scholarship]],"Not Applicable")</f>
        <v>Not Applicable</v>
      </c>
    </row>
    <row r="814" spans="1:10" ht="19.25" hidden="1" customHeight="1" x14ac:dyDescent="0.3">
      <c r="A814" s="8">
        <v>2452169</v>
      </c>
      <c r="B814" s="6" t="s">
        <v>80</v>
      </c>
      <c r="C814" s="1" t="s">
        <v>9</v>
      </c>
      <c r="D814" s="1" t="s">
        <v>9</v>
      </c>
      <c r="E814" s="1" t="s">
        <v>9</v>
      </c>
      <c r="F814" s="6"/>
      <c r="G814" s="6"/>
      <c r="H814" s="11"/>
      <c r="I81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14" t="str">
        <f>IF(Table1[[#This Row],[Nationality]]="Nigeria",Table1[[#This Row],[EMJM Scholarship]],"Not Applicable")</f>
        <v>Not Applicable</v>
      </c>
    </row>
    <row r="815" spans="1:10" ht="19.25" hidden="1" customHeight="1" x14ac:dyDescent="0.3">
      <c r="A815" s="8">
        <v>2452173</v>
      </c>
      <c r="B815" s="6" t="s">
        <v>80</v>
      </c>
      <c r="C815" s="1" t="s">
        <v>9</v>
      </c>
      <c r="D815" s="1" t="s">
        <v>9</v>
      </c>
      <c r="E815" s="1" t="s">
        <v>9</v>
      </c>
      <c r="F815" s="6"/>
      <c r="G815" s="6"/>
      <c r="H815" s="11"/>
      <c r="I81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15" t="str">
        <f>IF(Table1[[#This Row],[Nationality]]="Nigeria",Table1[[#This Row],[EMJM Scholarship]],"Not Applicable")</f>
        <v>Not Applicable</v>
      </c>
    </row>
    <row r="816" spans="1:10" ht="19.25" hidden="1" customHeight="1" x14ac:dyDescent="0.3">
      <c r="A816" s="8">
        <v>2452207</v>
      </c>
      <c r="B816" s="6" t="s">
        <v>80</v>
      </c>
      <c r="C816" s="1" t="s">
        <v>9</v>
      </c>
      <c r="D816" s="1" t="s">
        <v>9</v>
      </c>
      <c r="E816" s="1" t="s">
        <v>9</v>
      </c>
      <c r="F816" s="6"/>
      <c r="G816" s="6"/>
      <c r="H816" s="11"/>
      <c r="I81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16" t="str">
        <f>IF(Table1[[#This Row],[Nationality]]="Nigeria",Table1[[#This Row],[EMJM Scholarship]],"Not Applicable")</f>
        <v>Not Applicable</v>
      </c>
    </row>
    <row r="817" spans="1:10" ht="19.25" hidden="1" customHeight="1" x14ac:dyDescent="0.3">
      <c r="A817" s="8">
        <v>2452229</v>
      </c>
      <c r="B817" s="6" t="s">
        <v>80</v>
      </c>
      <c r="C817" s="1" t="s">
        <v>9</v>
      </c>
      <c r="D817" s="1" t="s">
        <v>9</v>
      </c>
      <c r="E817" s="1" t="s">
        <v>9</v>
      </c>
      <c r="F817" s="6"/>
      <c r="G817" s="6"/>
      <c r="H817" s="11"/>
      <c r="I81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17" t="str">
        <f>IF(Table1[[#This Row],[Nationality]]="Nigeria",Table1[[#This Row],[EMJM Scholarship]],"Not Applicable")</f>
        <v>Not Applicable</v>
      </c>
    </row>
    <row r="818" spans="1:10" ht="19.25" hidden="1" customHeight="1" x14ac:dyDescent="0.3">
      <c r="A818" s="8">
        <v>2452469</v>
      </c>
      <c r="B818" s="6" t="s">
        <v>80</v>
      </c>
      <c r="C818" s="1" t="s">
        <v>9</v>
      </c>
      <c r="D818" s="1" t="s">
        <v>9</v>
      </c>
      <c r="E818" s="1" t="s">
        <v>9</v>
      </c>
      <c r="F818" s="6"/>
      <c r="G818" s="6"/>
      <c r="H818" s="11"/>
      <c r="I81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18" t="str">
        <f>IF(Table1[[#This Row],[Nationality]]="Nigeria",Table1[[#This Row],[EMJM Scholarship]],"Not Applicable")</f>
        <v>Not Applicable</v>
      </c>
    </row>
    <row r="819" spans="1:10" ht="19.25" hidden="1" customHeight="1" x14ac:dyDescent="0.3">
      <c r="A819" s="8">
        <v>2452535</v>
      </c>
      <c r="B819" s="6" t="s">
        <v>80</v>
      </c>
      <c r="C819" s="1" t="s">
        <v>9</v>
      </c>
      <c r="D819" s="1" t="s">
        <v>9</v>
      </c>
      <c r="E819" s="1" t="s">
        <v>9</v>
      </c>
      <c r="F819" s="6"/>
      <c r="G819" s="6"/>
      <c r="H819" s="11"/>
      <c r="I81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19" t="str">
        <f>IF(Table1[[#This Row],[Nationality]]="Nigeria",Table1[[#This Row],[EMJM Scholarship]],"Not Applicable")</f>
        <v>Not Applicable</v>
      </c>
    </row>
    <row r="820" spans="1:10" ht="19.25" hidden="1" customHeight="1" x14ac:dyDescent="0.3">
      <c r="A820" s="8">
        <v>2452546</v>
      </c>
      <c r="B820" s="6" t="s">
        <v>80</v>
      </c>
      <c r="C820" s="1" t="s">
        <v>9</v>
      </c>
      <c r="D820" s="1" t="s">
        <v>9</v>
      </c>
      <c r="E820" s="1" t="s">
        <v>9</v>
      </c>
      <c r="F820" s="6"/>
      <c r="G820" s="6"/>
      <c r="H820" s="11"/>
      <c r="I82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20" t="str">
        <f>IF(Table1[[#This Row],[Nationality]]="Nigeria",Table1[[#This Row],[EMJM Scholarship]],"Not Applicable")</f>
        <v>Not Applicable</v>
      </c>
    </row>
    <row r="821" spans="1:10" ht="19.25" hidden="1" customHeight="1" x14ac:dyDescent="0.3">
      <c r="A821" s="8">
        <v>2452565</v>
      </c>
      <c r="B821" s="6" t="s">
        <v>80</v>
      </c>
      <c r="C821" s="1" t="s">
        <v>9</v>
      </c>
      <c r="D821" s="1" t="s">
        <v>9</v>
      </c>
      <c r="E821" s="1" t="s">
        <v>9</v>
      </c>
      <c r="F821" s="6"/>
      <c r="G821" s="6"/>
      <c r="H821" s="11"/>
      <c r="I82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21" t="str">
        <f>IF(Table1[[#This Row],[Nationality]]="Nigeria",Table1[[#This Row],[EMJM Scholarship]],"Not Applicable")</f>
        <v>Not Applicable</v>
      </c>
    </row>
    <row r="822" spans="1:10" ht="19.25" hidden="1" customHeight="1" x14ac:dyDescent="0.3">
      <c r="A822" s="8">
        <v>2452688</v>
      </c>
      <c r="B822" s="6" t="s">
        <v>80</v>
      </c>
      <c r="C822" s="1" t="s">
        <v>9</v>
      </c>
      <c r="D822" s="1" t="s">
        <v>9</v>
      </c>
      <c r="E822" s="1" t="s">
        <v>9</v>
      </c>
      <c r="F822" s="6"/>
      <c r="G822" s="6"/>
      <c r="H822" s="11"/>
      <c r="I82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22" t="str">
        <f>IF(Table1[[#This Row],[Nationality]]="Nigeria",Table1[[#This Row],[EMJM Scholarship]],"Not Applicable")</f>
        <v>Not Applicable</v>
      </c>
    </row>
    <row r="823" spans="1:10" ht="19.25" hidden="1" customHeight="1" x14ac:dyDescent="0.3">
      <c r="A823" s="8">
        <v>2452869</v>
      </c>
      <c r="B823" s="6" t="s">
        <v>80</v>
      </c>
      <c r="C823" s="1" t="s">
        <v>9</v>
      </c>
      <c r="D823" s="1" t="s">
        <v>9</v>
      </c>
      <c r="E823" s="1" t="s">
        <v>9</v>
      </c>
      <c r="F823" s="6"/>
      <c r="G823" s="6"/>
      <c r="H823" s="11"/>
      <c r="I82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23" t="str">
        <f>IF(Table1[[#This Row],[Nationality]]="Nigeria",Table1[[#This Row],[EMJM Scholarship]],"Not Applicable")</f>
        <v>Not Applicable</v>
      </c>
    </row>
    <row r="824" spans="1:10" ht="19.25" hidden="1" customHeight="1" x14ac:dyDescent="0.3">
      <c r="A824" s="8">
        <v>2453032</v>
      </c>
      <c r="B824" s="6" t="s">
        <v>80</v>
      </c>
      <c r="C824" s="1" t="s">
        <v>9</v>
      </c>
      <c r="D824" s="1" t="s">
        <v>9</v>
      </c>
      <c r="E824" s="1" t="s">
        <v>9</v>
      </c>
      <c r="F824" s="6"/>
      <c r="G824" s="6"/>
      <c r="H824" s="11"/>
      <c r="I82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24" t="str">
        <f>IF(Table1[[#This Row],[Nationality]]="Nigeria",Table1[[#This Row],[EMJM Scholarship]],"Not Applicable")</f>
        <v>Not Applicable</v>
      </c>
    </row>
    <row r="825" spans="1:10" ht="19.25" hidden="1" customHeight="1" x14ac:dyDescent="0.3">
      <c r="A825" s="8">
        <v>2453086</v>
      </c>
      <c r="B825" s="6" t="s">
        <v>80</v>
      </c>
      <c r="C825" s="1" t="s">
        <v>9</v>
      </c>
      <c r="D825" s="1" t="s">
        <v>9</v>
      </c>
      <c r="E825" s="1" t="s">
        <v>9</v>
      </c>
      <c r="F825" s="6"/>
      <c r="G825" s="6"/>
      <c r="H825" s="11"/>
      <c r="I82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25" t="str">
        <f>IF(Table1[[#This Row],[Nationality]]="Nigeria",Table1[[#This Row],[EMJM Scholarship]],"Not Applicable")</f>
        <v>Not Applicable</v>
      </c>
    </row>
    <row r="826" spans="1:10" ht="19.25" hidden="1" customHeight="1" x14ac:dyDescent="0.3">
      <c r="A826" s="8">
        <v>2453151</v>
      </c>
      <c r="B826" s="6" t="s">
        <v>80</v>
      </c>
      <c r="C826" s="1" t="s">
        <v>9</v>
      </c>
      <c r="D826" s="1" t="s">
        <v>9</v>
      </c>
      <c r="E826" s="1" t="s">
        <v>9</v>
      </c>
      <c r="F826" s="6"/>
      <c r="G826" s="6"/>
      <c r="H826" s="11"/>
      <c r="I82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26" t="str">
        <f>IF(Table1[[#This Row],[Nationality]]="Nigeria",Table1[[#This Row],[EMJM Scholarship]],"Not Applicable")</f>
        <v>Not Applicable</v>
      </c>
    </row>
    <row r="827" spans="1:10" ht="19.25" hidden="1" customHeight="1" x14ac:dyDescent="0.3">
      <c r="A827" s="8">
        <v>2453214</v>
      </c>
      <c r="B827" s="6" t="s">
        <v>80</v>
      </c>
      <c r="C827" s="1" t="s">
        <v>9</v>
      </c>
      <c r="D827" s="1" t="s">
        <v>9</v>
      </c>
      <c r="E827" s="1" t="s">
        <v>9</v>
      </c>
      <c r="F827" s="6"/>
      <c r="G827" s="6"/>
      <c r="H827" s="11"/>
      <c r="I82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27" t="str">
        <f>IF(Table1[[#This Row],[Nationality]]="Nigeria",Table1[[#This Row],[EMJM Scholarship]],"Not Applicable")</f>
        <v>Not Applicable</v>
      </c>
    </row>
    <row r="828" spans="1:10" ht="19.25" hidden="1" customHeight="1" x14ac:dyDescent="0.3">
      <c r="A828" s="8">
        <v>2453253</v>
      </c>
      <c r="B828" s="6" t="s">
        <v>80</v>
      </c>
      <c r="C828" s="1" t="s">
        <v>9</v>
      </c>
      <c r="D828" s="1" t="s">
        <v>9</v>
      </c>
      <c r="E828" s="1" t="s">
        <v>9</v>
      </c>
      <c r="F828" s="6"/>
      <c r="G828" s="6"/>
      <c r="H828" s="11"/>
      <c r="I82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28" t="str">
        <f>IF(Table1[[#This Row],[Nationality]]="Nigeria",Table1[[#This Row],[EMJM Scholarship]],"Not Applicable")</f>
        <v>Not Applicable</v>
      </c>
    </row>
    <row r="829" spans="1:10" ht="19.25" hidden="1" customHeight="1" x14ac:dyDescent="0.3">
      <c r="A829" s="8">
        <v>2453329</v>
      </c>
      <c r="B829" s="6" t="s">
        <v>80</v>
      </c>
      <c r="C829" s="1" t="s">
        <v>9</v>
      </c>
      <c r="D829" s="1" t="s">
        <v>9</v>
      </c>
      <c r="E829" s="1" t="s">
        <v>9</v>
      </c>
      <c r="F829" s="6"/>
      <c r="G829" s="6"/>
      <c r="H829" s="11"/>
      <c r="I82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29" t="str">
        <f>IF(Table1[[#This Row],[Nationality]]="Nigeria",Table1[[#This Row],[EMJM Scholarship]],"Not Applicable")</f>
        <v>Not Applicable</v>
      </c>
    </row>
    <row r="830" spans="1:10" ht="19.25" hidden="1" customHeight="1" x14ac:dyDescent="0.3">
      <c r="A830" s="8">
        <v>2453360</v>
      </c>
      <c r="B830" s="6" t="s">
        <v>80</v>
      </c>
      <c r="C830" s="1" t="s">
        <v>9</v>
      </c>
      <c r="D830" s="1" t="s">
        <v>9</v>
      </c>
      <c r="E830" s="1" t="s">
        <v>9</v>
      </c>
      <c r="F830" s="6"/>
      <c r="G830" s="6"/>
      <c r="H830" s="11"/>
      <c r="I83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30" t="str">
        <f>IF(Table1[[#This Row],[Nationality]]="Nigeria",Table1[[#This Row],[EMJM Scholarship]],"Not Applicable")</f>
        <v>Not Applicable</v>
      </c>
    </row>
    <row r="831" spans="1:10" ht="19.25" hidden="1" customHeight="1" x14ac:dyDescent="0.3">
      <c r="A831" s="8">
        <v>2453492</v>
      </c>
      <c r="B831" s="6" t="s">
        <v>80</v>
      </c>
      <c r="C831" s="1" t="s">
        <v>9</v>
      </c>
      <c r="D831" s="1" t="s">
        <v>9</v>
      </c>
      <c r="E831" s="1" t="s">
        <v>9</v>
      </c>
      <c r="F831" s="6"/>
      <c r="G831" s="6"/>
      <c r="H831" s="11"/>
      <c r="I83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31" t="str">
        <f>IF(Table1[[#This Row],[Nationality]]="Nigeria",Table1[[#This Row],[EMJM Scholarship]],"Not Applicable")</f>
        <v>Not Applicable</v>
      </c>
    </row>
    <row r="832" spans="1:10" ht="19.25" hidden="1" customHeight="1" x14ac:dyDescent="0.3">
      <c r="A832" s="8">
        <v>2453528</v>
      </c>
      <c r="B832" s="6" t="s">
        <v>80</v>
      </c>
      <c r="C832" s="1" t="s">
        <v>9</v>
      </c>
      <c r="D832" s="1" t="s">
        <v>9</v>
      </c>
      <c r="E832" s="1" t="s">
        <v>9</v>
      </c>
      <c r="F832" s="6"/>
      <c r="G832" s="6"/>
      <c r="H832" s="11"/>
      <c r="I83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32" t="str">
        <f>IF(Table1[[#This Row],[Nationality]]="Nigeria",Table1[[#This Row],[EMJM Scholarship]],"Not Applicable")</f>
        <v>Not Applicable</v>
      </c>
    </row>
    <row r="833" spans="1:10" ht="19.25" hidden="1" customHeight="1" x14ac:dyDescent="0.3">
      <c r="A833" s="8">
        <v>2453548</v>
      </c>
      <c r="B833" s="6" t="s">
        <v>80</v>
      </c>
      <c r="C833" s="1" t="s">
        <v>9</v>
      </c>
      <c r="D833" s="1" t="s">
        <v>9</v>
      </c>
      <c r="E833" s="1" t="s">
        <v>9</v>
      </c>
      <c r="F833" s="6"/>
      <c r="G833" s="6"/>
      <c r="H833" s="11"/>
      <c r="I83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33" t="str">
        <f>IF(Table1[[#This Row],[Nationality]]="Nigeria",Table1[[#This Row],[EMJM Scholarship]],"Not Applicable")</f>
        <v>Not Applicable</v>
      </c>
    </row>
    <row r="834" spans="1:10" ht="19.25" hidden="1" customHeight="1" x14ac:dyDescent="0.3">
      <c r="A834" s="8">
        <v>2453564</v>
      </c>
      <c r="B834" s="6" t="s">
        <v>80</v>
      </c>
      <c r="C834" s="1" t="s">
        <v>9</v>
      </c>
      <c r="D834" s="1" t="s">
        <v>9</v>
      </c>
      <c r="E834" s="1" t="s">
        <v>9</v>
      </c>
      <c r="F834" s="6"/>
      <c r="G834" s="6"/>
      <c r="H834" s="11"/>
      <c r="I83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34" t="str">
        <f>IF(Table1[[#This Row],[Nationality]]="Nigeria",Table1[[#This Row],[EMJM Scholarship]],"Not Applicable")</f>
        <v>Not Applicable</v>
      </c>
    </row>
    <row r="835" spans="1:10" ht="19.25" hidden="1" customHeight="1" x14ac:dyDescent="0.3">
      <c r="A835" s="8">
        <v>2453612</v>
      </c>
      <c r="B835" s="6" t="s">
        <v>80</v>
      </c>
      <c r="C835" s="1" t="s">
        <v>9</v>
      </c>
      <c r="D835" s="1" t="s">
        <v>9</v>
      </c>
      <c r="E835" s="1" t="s">
        <v>9</v>
      </c>
      <c r="F835" s="6"/>
      <c r="G835" s="6"/>
      <c r="H835" s="11"/>
      <c r="I83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35" t="str">
        <f>IF(Table1[[#This Row],[Nationality]]="Nigeria",Table1[[#This Row],[EMJM Scholarship]],"Not Applicable")</f>
        <v>Not Applicable</v>
      </c>
    </row>
    <row r="836" spans="1:10" ht="19.25" hidden="1" customHeight="1" x14ac:dyDescent="0.3">
      <c r="A836" s="8">
        <v>2453621</v>
      </c>
      <c r="B836" s="6" t="s">
        <v>80</v>
      </c>
      <c r="C836" s="1" t="s">
        <v>9</v>
      </c>
      <c r="D836" s="1" t="s">
        <v>9</v>
      </c>
      <c r="E836" s="1" t="s">
        <v>9</v>
      </c>
      <c r="F836" s="6"/>
      <c r="G836" s="6"/>
      <c r="H836" s="11"/>
      <c r="I83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36" t="str">
        <f>IF(Table1[[#This Row],[Nationality]]="Nigeria",Table1[[#This Row],[EMJM Scholarship]],"Not Applicable")</f>
        <v>Not Applicable</v>
      </c>
    </row>
    <row r="837" spans="1:10" ht="19.25" hidden="1" customHeight="1" x14ac:dyDescent="0.3">
      <c r="A837" s="8">
        <v>2453629</v>
      </c>
      <c r="B837" s="6" t="s">
        <v>80</v>
      </c>
      <c r="C837" s="1" t="s">
        <v>9</v>
      </c>
      <c r="D837" s="1" t="s">
        <v>9</v>
      </c>
      <c r="E837" s="1" t="s">
        <v>9</v>
      </c>
      <c r="F837" s="6"/>
      <c r="G837" s="6"/>
      <c r="H837" s="11"/>
      <c r="I83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37" t="str">
        <f>IF(Table1[[#This Row],[Nationality]]="Nigeria",Table1[[#This Row],[EMJM Scholarship]],"Not Applicable")</f>
        <v>Not Applicable</v>
      </c>
    </row>
    <row r="838" spans="1:10" ht="19.25" hidden="1" customHeight="1" x14ac:dyDescent="0.3">
      <c r="A838" s="8">
        <v>2453697</v>
      </c>
      <c r="B838" s="6" t="s">
        <v>80</v>
      </c>
      <c r="C838" s="1" t="s">
        <v>9</v>
      </c>
      <c r="D838" s="1" t="s">
        <v>9</v>
      </c>
      <c r="E838" s="1" t="s">
        <v>9</v>
      </c>
      <c r="F838" s="6"/>
      <c r="G838" s="6"/>
      <c r="H838" s="11"/>
      <c r="I83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38" t="str">
        <f>IF(Table1[[#This Row],[Nationality]]="Nigeria",Table1[[#This Row],[EMJM Scholarship]],"Not Applicable")</f>
        <v>Not Applicable</v>
      </c>
    </row>
    <row r="839" spans="1:10" ht="19.25" hidden="1" customHeight="1" x14ac:dyDescent="0.3">
      <c r="A839" s="8">
        <v>2453796</v>
      </c>
      <c r="B839" s="6" t="s">
        <v>80</v>
      </c>
      <c r="C839" s="1" t="s">
        <v>9</v>
      </c>
      <c r="D839" s="1" t="s">
        <v>9</v>
      </c>
      <c r="E839" s="1" t="s">
        <v>9</v>
      </c>
      <c r="F839" s="6"/>
      <c r="G839" s="6"/>
      <c r="H839" s="11"/>
      <c r="I83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39" t="str">
        <f>IF(Table1[[#This Row],[Nationality]]="Nigeria",Table1[[#This Row],[EMJM Scholarship]],"Not Applicable")</f>
        <v>Not Applicable</v>
      </c>
    </row>
    <row r="840" spans="1:10" ht="19.25" hidden="1" customHeight="1" x14ac:dyDescent="0.3">
      <c r="A840" s="8">
        <v>2453845</v>
      </c>
      <c r="B840" s="6" t="s">
        <v>80</v>
      </c>
      <c r="C840" s="1" t="s">
        <v>9</v>
      </c>
      <c r="D840" s="1" t="s">
        <v>9</v>
      </c>
      <c r="E840" s="1" t="s">
        <v>9</v>
      </c>
      <c r="F840" s="6"/>
      <c r="G840" s="6"/>
      <c r="H840" s="11"/>
      <c r="I84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40" t="str">
        <f>IF(Table1[[#This Row],[Nationality]]="Nigeria",Table1[[#This Row],[EMJM Scholarship]],"Not Applicable")</f>
        <v>Not Applicable</v>
      </c>
    </row>
    <row r="841" spans="1:10" ht="19.25" hidden="1" customHeight="1" x14ac:dyDescent="0.3">
      <c r="A841" s="8">
        <v>2454171</v>
      </c>
      <c r="B841" s="6" t="s">
        <v>80</v>
      </c>
      <c r="C841" s="1" t="s">
        <v>9</v>
      </c>
      <c r="D841" s="1" t="s">
        <v>9</v>
      </c>
      <c r="E841" s="1" t="s">
        <v>9</v>
      </c>
      <c r="F841" s="6"/>
      <c r="G841" s="6"/>
      <c r="H841" s="11"/>
      <c r="I84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41" t="str">
        <f>IF(Table1[[#This Row],[Nationality]]="Nigeria",Table1[[#This Row],[EMJM Scholarship]],"Not Applicable")</f>
        <v>Not Applicable</v>
      </c>
    </row>
    <row r="842" spans="1:10" ht="19.25" hidden="1" customHeight="1" x14ac:dyDescent="0.3">
      <c r="A842" s="8">
        <v>2454558</v>
      </c>
      <c r="B842" s="6" t="s">
        <v>80</v>
      </c>
      <c r="C842" s="1" t="s">
        <v>9</v>
      </c>
      <c r="D842" s="1" t="s">
        <v>9</v>
      </c>
      <c r="E842" s="1" t="s">
        <v>9</v>
      </c>
      <c r="F842" s="6"/>
      <c r="G842" s="6"/>
      <c r="H842" s="11"/>
      <c r="I84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42" t="str">
        <f>IF(Table1[[#This Row],[Nationality]]="Nigeria",Table1[[#This Row],[EMJM Scholarship]],"Not Applicable")</f>
        <v>Not Applicable</v>
      </c>
    </row>
    <row r="843" spans="1:10" ht="19.25" hidden="1" customHeight="1" x14ac:dyDescent="0.3">
      <c r="A843" s="8">
        <v>2454692</v>
      </c>
      <c r="B843" s="6" t="s">
        <v>80</v>
      </c>
      <c r="C843" s="1" t="s">
        <v>9</v>
      </c>
      <c r="D843" s="1" t="s">
        <v>9</v>
      </c>
      <c r="E843" s="1" t="s">
        <v>9</v>
      </c>
      <c r="F843" s="6"/>
      <c r="G843" s="6"/>
      <c r="H843" s="11"/>
      <c r="I84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43" t="str">
        <f>IF(Table1[[#This Row],[Nationality]]="Nigeria",Table1[[#This Row],[EMJM Scholarship]],"Not Applicable")</f>
        <v>Not Applicable</v>
      </c>
    </row>
    <row r="844" spans="1:10" ht="19.25" hidden="1" customHeight="1" x14ac:dyDescent="0.3">
      <c r="A844" s="8">
        <v>2454747</v>
      </c>
      <c r="B844" s="6" t="s">
        <v>80</v>
      </c>
      <c r="C844" s="1" t="s">
        <v>9</v>
      </c>
      <c r="D844" s="1" t="s">
        <v>9</v>
      </c>
      <c r="E844" s="1" t="s">
        <v>9</v>
      </c>
      <c r="F844" s="6"/>
      <c r="G844" s="6"/>
      <c r="H844" s="11"/>
      <c r="I84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44" t="str">
        <f>IF(Table1[[#This Row],[Nationality]]="Nigeria",Table1[[#This Row],[EMJM Scholarship]],"Not Applicable")</f>
        <v>Not Applicable</v>
      </c>
    </row>
    <row r="845" spans="1:10" ht="19.25" hidden="1" customHeight="1" x14ac:dyDescent="0.3">
      <c r="A845" s="8">
        <v>2454762</v>
      </c>
      <c r="B845" s="6" t="s">
        <v>80</v>
      </c>
      <c r="C845" s="1" t="s">
        <v>9</v>
      </c>
      <c r="D845" s="1" t="s">
        <v>9</v>
      </c>
      <c r="E845" s="1" t="s">
        <v>9</v>
      </c>
      <c r="F845" s="6"/>
      <c r="G845" s="6"/>
      <c r="H845" s="11"/>
      <c r="I84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45" t="str">
        <f>IF(Table1[[#This Row],[Nationality]]="Nigeria",Table1[[#This Row],[EMJM Scholarship]],"Not Applicable")</f>
        <v>Not Applicable</v>
      </c>
    </row>
    <row r="846" spans="1:10" ht="19.25" hidden="1" customHeight="1" x14ac:dyDescent="0.3">
      <c r="A846" s="8">
        <v>2454764</v>
      </c>
      <c r="B846" s="6" t="s">
        <v>80</v>
      </c>
      <c r="C846" s="1" t="s">
        <v>9</v>
      </c>
      <c r="D846" s="1" t="s">
        <v>9</v>
      </c>
      <c r="E846" s="1" t="s">
        <v>9</v>
      </c>
      <c r="F846" s="6"/>
      <c r="G846" s="6"/>
      <c r="H846" s="11"/>
      <c r="I84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46" t="str">
        <f>IF(Table1[[#This Row],[Nationality]]="Nigeria",Table1[[#This Row],[EMJM Scholarship]],"Not Applicable")</f>
        <v>Not Applicable</v>
      </c>
    </row>
    <row r="847" spans="1:10" ht="19.25" hidden="1" customHeight="1" x14ac:dyDescent="0.3">
      <c r="A847" s="8">
        <v>2454878</v>
      </c>
      <c r="B847" s="6" t="s">
        <v>80</v>
      </c>
      <c r="C847" s="1" t="s">
        <v>9</v>
      </c>
      <c r="D847" s="1" t="s">
        <v>9</v>
      </c>
      <c r="E847" s="1" t="s">
        <v>9</v>
      </c>
      <c r="F847" s="6"/>
      <c r="G847" s="6"/>
      <c r="H847" s="11"/>
      <c r="I84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47" t="str">
        <f>IF(Table1[[#This Row],[Nationality]]="Nigeria",Table1[[#This Row],[EMJM Scholarship]],"Not Applicable")</f>
        <v>Not Applicable</v>
      </c>
    </row>
    <row r="848" spans="1:10" ht="19.25" hidden="1" customHeight="1" x14ac:dyDescent="0.3">
      <c r="A848" s="8">
        <v>2455242</v>
      </c>
      <c r="B848" s="6" t="s">
        <v>80</v>
      </c>
      <c r="C848" s="1" t="s">
        <v>9</v>
      </c>
      <c r="D848" s="1" t="s">
        <v>9</v>
      </c>
      <c r="E848" s="1" t="s">
        <v>9</v>
      </c>
      <c r="F848" s="6"/>
      <c r="G848" s="6"/>
      <c r="H848" s="11"/>
      <c r="I84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48" t="str">
        <f>IF(Table1[[#This Row],[Nationality]]="Nigeria",Table1[[#This Row],[EMJM Scholarship]],"Not Applicable")</f>
        <v>Not Applicable</v>
      </c>
    </row>
    <row r="849" spans="1:10" ht="19.25" hidden="1" customHeight="1" x14ac:dyDescent="0.3">
      <c r="A849" s="8">
        <v>2455445</v>
      </c>
      <c r="B849" s="6" t="s">
        <v>80</v>
      </c>
      <c r="C849" s="1" t="s">
        <v>9</v>
      </c>
      <c r="D849" s="1" t="s">
        <v>9</v>
      </c>
      <c r="E849" s="1" t="s">
        <v>9</v>
      </c>
      <c r="F849" s="6"/>
      <c r="G849" s="6"/>
      <c r="H849" s="11"/>
      <c r="I84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49" t="str">
        <f>IF(Table1[[#This Row],[Nationality]]="Nigeria",Table1[[#This Row],[EMJM Scholarship]],"Not Applicable")</f>
        <v>Not Applicable</v>
      </c>
    </row>
    <row r="850" spans="1:10" ht="19.25" hidden="1" customHeight="1" x14ac:dyDescent="0.3">
      <c r="A850" s="8">
        <v>2455525</v>
      </c>
      <c r="B850" s="6" t="s">
        <v>80</v>
      </c>
      <c r="C850" s="1" t="s">
        <v>9</v>
      </c>
      <c r="D850" s="1" t="s">
        <v>9</v>
      </c>
      <c r="E850" s="1" t="s">
        <v>9</v>
      </c>
      <c r="F850" s="6"/>
      <c r="G850" s="6"/>
      <c r="H850" s="11"/>
      <c r="I85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50" t="str">
        <f>IF(Table1[[#This Row],[Nationality]]="Nigeria",Table1[[#This Row],[EMJM Scholarship]],"Not Applicable")</f>
        <v>Not Applicable</v>
      </c>
    </row>
    <row r="851" spans="1:10" ht="19.25" hidden="1" customHeight="1" x14ac:dyDescent="0.3">
      <c r="A851" s="8">
        <v>2455557</v>
      </c>
      <c r="B851" s="6" t="s">
        <v>80</v>
      </c>
      <c r="C851" s="1" t="s">
        <v>9</v>
      </c>
      <c r="D851" s="1" t="s">
        <v>9</v>
      </c>
      <c r="E851" s="1" t="s">
        <v>9</v>
      </c>
      <c r="F851" s="6"/>
      <c r="G851" s="6"/>
      <c r="H851" s="11"/>
      <c r="I85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51" t="str">
        <f>IF(Table1[[#This Row],[Nationality]]="Nigeria",Table1[[#This Row],[EMJM Scholarship]],"Not Applicable")</f>
        <v>Not Applicable</v>
      </c>
    </row>
    <row r="852" spans="1:10" ht="19.25" hidden="1" customHeight="1" x14ac:dyDescent="0.3">
      <c r="A852" s="8">
        <v>2455608</v>
      </c>
      <c r="B852" s="6" t="s">
        <v>80</v>
      </c>
      <c r="C852" s="1" t="s">
        <v>9</v>
      </c>
      <c r="D852" s="1" t="s">
        <v>9</v>
      </c>
      <c r="E852" s="1" t="s">
        <v>9</v>
      </c>
      <c r="F852" s="6"/>
      <c r="G852" s="6"/>
      <c r="H852" s="11"/>
      <c r="I85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52" t="str">
        <f>IF(Table1[[#This Row],[Nationality]]="Nigeria",Table1[[#This Row],[EMJM Scholarship]],"Not Applicable")</f>
        <v>Not Applicable</v>
      </c>
    </row>
    <row r="853" spans="1:10" ht="19.25" hidden="1" customHeight="1" x14ac:dyDescent="0.3">
      <c r="A853" s="8">
        <v>2455743</v>
      </c>
      <c r="B853" s="6" t="s">
        <v>80</v>
      </c>
      <c r="C853" s="1" t="s">
        <v>9</v>
      </c>
      <c r="D853" s="1" t="s">
        <v>9</v>
      </c>
      <c r="E853" s="1" t="s">
        <v>9</v>
      </c>
      <c r="F853" s="6"/>
      <c r="G853" s="6"/>
      <c r="H853" s="11"/>
      <c r="I85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53" t="str">
        <f>IF(Table1[[#This Row],[Nationality]]="Nigeria",Table1[[#This Row],[EMJM Scholarship]],"Not Applicable")</f>
        <v>Not Applicable</v>
      </c>
    </row>
    <row r="854" spans="1:10" ht="19.25" hidden="1" customHeight="1" x14ac:dyDescent="0.3">
      <c r="A854" s="8">
        <v>2456179</v>
      </c>
      <c r="B854" s="6" t="s">
        <v>80</v>
      </c>
      <c r="C854" s="1" t="s">
        <v>9</v>
      </c>
      <c r="D854" s="1" t="s">
        <v>9</v>
      </c>
      <c r="E854" s="1" t="s">
        <v>9</v>
      </c>
      <c r="F854" s="6"/>
      <c r="G854" s="6"/>
      <c r="H854" s="11"/>
      <c r="I85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54" t="str">
        <f>IF(Table1[[#This Row],[Nationality]]="Nigeria",Table1[[#This Row],[EMJM Scholarship]],"Not Applicable")</f>
        <v>Not Applicable</v>
      </c>
    </row>
    <row r="855" spans="1:10" ht="19.25" hidden="1" customHeight="1" x14ac:dyDescent="0.3">
      <c r="A855" s="8">
        <v>2456183</v>
      </c>
      <c r="B855" s="6" t="s">
        <v>80</v>
      </c>
      <c r="C855" s="1" t="s">
        <v>9</v>
      </c>
      <c r="D855" s="1" t="s">
        <v>9</v>
      </c>
      <c r="E855" s="1" t="s">
        <v>9</v>
      </c>
      <c r="F855" s="6"/>
      <c r="G855" s="6"/>
      <c r="H855" s="11"/>
      <c r="I85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55" t="str">
        <f>IF(Table1[[#This Row],[Nationality]]="Nigeria",Table1[[#This Row],[EMJM Scholarship]],"Not Applicable")</f>
        <v>Not Applicable</v>
      </c>
    </row>
    <row r="856" spans="1:10" ht="19.25" hidden="1" customHeight="1" x14ac:dyDescent="0.3">
      <c r="A856" s="8">
        <v>2456332</v>
      </c>
      <c r="B856" s="6" t="s">
        <v>80</v>
      </c>
      <c r="C856" s="1" t="s">
        <v>9</v>
      </c>
      <c r="D856" s="1" t="s">
        <v>9</v>
      </c>
      <c r="E856" s="1" t="s">
        <v>9</v>
      </c>
      <c r="F856" s="6"/>
      <c r="G856" s="6"/>
      <c r="H856" s="11"/>
      <c r="I85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56" t="str">
        <f>IF(Table1[[#This Row],[Nationality]]="Nigeria",Table1[[#This Row],[EMJM Scholarship]],"Not Applicable")</f>
        <v>Not Applicable</v>
      </c>
    </row>
    <row r="857" spans="1:10" ht="19.25" hidden="1" customHeight="1" x14ac:dyDescent="0.3">
      <c r="A857" s="8">
        <v>2456447</v>
      </c>
      <c r="B857" s="6" t="s">
        <v>80</v>
      </c>
      <c r="C857" s="1" t="s">
        <v>9</v>
      </c>
      <c r="D857" s="1" t="s">
        <v>9</v>
      </c>
      <c r="E857" s="1" t="s">
        <v>9</v>
      </c>
      <c r="F857" s="6"/>
      <c r="G857" s="6"/>
      <c r="H857" s="11"/>
      <c r="I85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57" t="str">
        <f>IF(Table1[[#This Row],[Nationality]]="Nigeria",Table1[[#This Row],[EMJM Scholarship]],"Not Applicable")</f>
        <v>Not Applicable</v>
      </c>
    </row>
    <row r="858" spans="1:10" ht="19.25" hidden="1" customHeight="1" x14ac:dyDescent="0.3">
      <c r="A858" s="8">
        <v>2456481</v>
      </c>
      <c r="B858" s="6" t="s">
        <v>80</v>
      </c>
      <c r="C858" s="1" t="s">
        <v>9</v>
      </c>
      <c r="D858" s="1" t="s">
        <v>9</v>
      </c>
      <c r="E858" s="1" t="s">
        <v>9</v>
      </c>
      <c r="F858" s="6"/>
      <c r="G858" s="6"/>
      <c r="H858" s="11"/>
      <c r="I85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58" t="str">
        <f>IF(Table1[[#This Row],[Nationality]]="Nigeria",Table1[[#This Row],[EMJM Scholarship]],"Not Applicable")</f>
        <v>Not Applicable</v>
      </c>
    </row>
    <row r="859" spans="1:10" ht="19.25" hidden="1" customHeight="1" x14ac:dyDescent="0.3">
      <c r="A859" s="8">
        <v>2456501</v>
      </c>
      <c r="B859" s="6" t="s">
        <v>80</v>
      </c>
      <c r="C859" s="1" t="s">
        <v>9</v>
      </c>
      <c r="D859" s="1" t="s">
        <v>9</v>
      </c>
      <c r="E859" s="1" t="s">
        <v>9</v>
      </c>
      <c r="F859" s="6"/>
      <c r="G859" s="6"/>
      <c r="H859" s="11"/>
      <c r="I85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59" t="str">
        <f>IF(Table1[[#This Row],[Nationality]]="Nigeria",Table1[[#This Row],[EMJM Scholarship]],"Not Applicable")</f>
        <v>Not Applicable</v>
      </c>
    </row>
    <row r="860" spans="1:10" ht="19.25" hidden="1" customHeight="1" x14ac:dyDescent="0.3">
      <c r="A860" s="8">
        <v>2456506</v>
      </c>
      <c r="B860" s="6" t="s">
        <v>80</v>
      </c>
      <c r="C860" s="1" t="s">
        <v>9</v>
      </c>
      <c r="D860" s="1" t="s">
        <v>9</v>
      </c>
      <c r="E860" s="1" t="s">
        <v>9</v>
      </c>
      <c r="F860" s="6"/>
      <c r="G860" s="6"/>
      <c r="H860" s="11"/>
      <c r="I86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60" t="str">
        <f>IF(Table1[[#This Row],[Nationality]]="Nigeria",Table1[[#This Row],[EMJM Scholarship]],"Not Applicable")</f>
        <v>Not Applicable</v>
      </c>
    </row>
    <row r="861" spans="1:10" ht="19.25" hidden="1" customHeight="1" x14ac:dyDescent="0.3">
      <c r="A861" s="8">
        <v>2456547</v>
      </c>
      <c r="B861" s="6" t="s">
        <v>80</v>
      </c>
      <c r="C861" s="1" t="s">
        <v>9</v>
      </c>
      <c r="D861" s="1" t="s">
        <v>9</v>
      </c>
      <c r="E861" s="1" t="s">
        <v>9</v>
      </c>
      <c r="F861" s="6"/>
      <c r="G861" s="6"/>
      <c r="H861" s="11"/>
      <c r="I86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61" t="str">
        <f>IF(Table1[[#This Row],[Nationality]]="Nigeria",Table1[[#This Row],[EMJM Scholarship]],"Not Applicable")</f>
        <v>Not Applicable</v>
      </c>
    </row>
    <row r="862" spans="1:10" ht="19.25" hidden="1" customHeight="1" x14ac:dyDescent="0.3">
      <c r="A862" s="8">
        <v>2456550</v>
      </c>
      <c r="B862" s="6" t="s">
        <v>80</v>
      </c>
      <c r="C862" s="1" t="s">
        <v>9</v>
      </c>
      <c r="D862" s="1" t="s">
        <v>9</v>
      </c>
      <c r="E862" s="1" t="s">
        <v>9</v>
      </c>
      <c r="F862" s="6"/>
      <c r="G862" s="6"/>
      <c r="H862" s="11"/>
      <c r="I86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62" t="str">
        <f>IF(Table1[[#This Row],[Nationality]]="Nigeria",Table1[[#This Row],[EMJM Scholarship]],"Not Applicable")</f>
        <v>Not Applicable</v>
      </c>
    </row>
    <row r="863" spans="1:10" ht="19.25" hidden="1" customHeight="1" x14ac:dyDescent="0.3">
      <c r="A863" s="8">
        <v>2456583</v>
      </c>
      <c r="B863" s="6" t="s">
        <v>80</v>
      </c>
      <c r="C863" s="1" t="s">
        <v>9</v>
      </c>
      <c r="D863" s="1" t="s">
        <v>9</v>
      </c>
      <c r="E863" s="1" t="s">
        <v>9</v>
      </c>
      <c r="F863" s="6"/>
      <c r="G863" s="6"/>
      <c r="H863" s="11"/>
      <c r="I86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63" t="str">
        <f>IF(Table1[[#This Row],[Nationality]]="Nigeria",Table1[[#This Row],[EMJM Scholarship]],"Not Applicable")</f>
        <v>Not Applicable</v>
      </c>
    </row>
    <row r="864" spans="1:10" ht="19.25" hidden="1" customHeight="1" x14ac:dyDescent="0.3">
      <c r="A864" s="8">
        <v>2456653</v>
      </c>
      <c r="B864" s="6" t="s">
        <v>80</v>
      </c>
      <c r="C864" s="1" t="s">
        <v>9</v>
      </c>
      <c r="D864" s="1" t="s">
        <v>9</v>
      </c>
      <c r="E864" s="1" t="s">
        <v>9</v>
      </c>
      <c r="F864" s="6"/>
      <c r="G864" s="6"/>
      <c r="H864" s="11"/>
      <c r="I86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64" t="str">
        <f>IF(Table1[[#This Row],[Nationality]]="Nigeria",Table1[[#This Row],[EMJM Scholarship]],"Not Applicable")</f>
        <v>Not Applicable</v>
      </c>
    </row>
    <row r="865" spans="1:10" ht="19.25" hidden="1" customHeight="1" x14ac:dyDescent="0.3">
      <c r="A865" s="8">
        <v>2456678</v>
      </c>
      <c r="B865" s="6" t="s">
        <v>80</v>
      </c>
      <c r="C865" s="1" t="s">
        <v>9</v>
      </c>
      <c r="D865" s="1" t="s">
        <v>9</v>
      </c>
      <c r="E865" s="1" t="s">
        <v>9</v>
      </c>
      <c r="F865" s="6"/>
      <c r="G865" s="6"/>
      <c r="H865" s="11"/>
      <c r="I86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65" t="str">
        <f>IF(Table1[[#This Row],[Nationality]]="Nigeria",Table1[[#This Row],[EMJM Scholarship]],"Not Applicable")</f>
        <v>Not Applicable</v>
      </c>
    </row>
    <row r="866" spans="1:10" ht="19.25" hidden="1" customHeight="1" x14ac:dyDescent="0.3">
      <c r="A866" s="8">
        <v>2456738</v>
      </c>
      <c r="B866" s="6" t="s">
        <v>80</v>
      </c>
      <c r="C866" s="1" t="s">
        <v>9</v>
      </c>
      <c r="D866" s="1" t="s">
        <v>9</v>
      </c>
      <c r="E866" s="1" t="s">
        <v>9</v>
      </c>
      <c r="F866" s="6"/>
      <c r="G866" s="6"/>
      <c r="H866" s="11"/>
      <c r="I86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66" t="str">
        <f>IF(Table1[[#This Row],[Nationality]]="Nigeria",Table1[[#This Row],[EMJM Scholarship]],"Not Applicable")</f>
        <v>Not Applicable</v>
      </c>
    </row>
    <row r="867" spans="1:10" ht="19.25" hidden="1" customHeight="1" x14ac:dyDescent="0.3">
      <c r="A867" s="8">
        <v>2456821</v>
      </c>
      <c r="B867" s="6" t="s">
        <v>80</v>
      </c>
      <c r="C867" s="1" t="s">
        <v>9</v>
      </c>
      <c r="D867" s="1" t="s">
        <v>9</v>
      </c>
      <c r="E867" s="1" t="s">
        <v>9</v>
      </c>
      <c r="F867" s="6"/>
      <c r="G867" s="6"/>
      <c r="H867" s="11"/>
      <c r="I86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67" t="str">
        <f>IF(Table1[[#This Row],[Nationality]]="Nigeria",Table1[[#This Row],[EMJM Scholarship]],"Not Applicable")</f>
        <v>Not Applicable</v>
      </c>
    </row>
    <row r="868" spans="1:10" ht="19.25" hidden="1" customHeight="1" x14ac:dyDescent="0.3">
      <c r="A868" s="8">
        <v>2456867</v>
      </c>
      <c r="B868" s="6" t="s">
        <v>80</v>
      </c>
      <c r="C868" s="1" t="s">
        <v>9</v>
      </c>
      <c r="D868" s="1" t="s">
        <v>9</v>
      </c>
      <c r="E868" s="1" t="s">
        <v>9</v>
      </c>
      <c r="F868" s="6"/>
      <c r="G868" s="6"/>
      <c r="H868" s="11"/>
      <c r="I86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68" t="str">
        <f>IF(Table1[[#This Row],[Nationality]]="Nigeria",Table1[[#This Row],[EMJM Scholarship]],"Not Applicable")</f>
        <v>Not Applicable</v>
      </c>
    </row>
    <row r="869" spans="1:10" ht="19.25" hidden="1" customHeight="1" x14ac:dyDescent="0.3">
      <c r="A869" s="8">
        <v>2456890</v>
      </c>
      <c r="B869" s="6" t="s">
        <v>80</v>
      </c>
      <c r="C869" s="1" t="s">
        <v>9</v>
      </c>
      <c r="D869" s="1" t="s">
        <v>9</v>
      </c>
      <c r="E869" s="1" t="s">
        <v>9</v>
      </c>
      <c r="F869" s="6"/>
      <c r="G869" s="6"/>
      <c r="H869" s="11"/>
      <c r="I86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69" t="str">
        <f>IF(Table1[[#This Row],[Nationality]]="Nigeria",Table1[[#This Row],[EMJM Scholarship]],"Not Applicable")</f>
        <v>Not Applicable</v>
      </c>
    </row>
    <row r="870" spans="1:10" ht="19.25" hidden="1" customHeight="1" x14ac:dyDescent="0.3">
      <c r="A870" s="8">
        <v>2456923</v>
      </c>
      <c r="B870" s="6" t="s">
        <v>80</v>
      </c>
      <c r="C870" s="1" t="s">
        <v>9</v>
      </c>
      <c r="D870" s="1" t="s">
        <v>9</v>
      </c>
      <c r="E870" s="1" t="s">
        <v>9</v>
      </c>
      <c r="F870" s="6"/>
      <c r="G870" s="6"/>
      <c r="H870" s="11"/>
      <c r="I87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70" t="str">
        <f>IF(Table1[[#This Row],[Nationality]]="Nigeria",Table1[[#This Row],[EMJM Scholarship]],"Not Applicable")</f>
        <v>Not Applicable</v>
      </c>
    </row>
    <row r="871" spans="1:10" ht="19.25" hidden="1" customHeight="1" x14ac:dyDescent="0.3">
      <c r="A871" s="8">
        <v>2456944</v>
      </c>
      <c r="B871" s="6" t="s">
        <v>80</v>
      </c>
      <c r="C871" s="1" t="s">
        <v>9</v>
      </c>
      <c r="D871" s="1" t="s">
        <v>9</v>
      </c>
      <c r="E871" s="1" t="s">
        <v>9</v>
      </c>
      <c r="F871" s="6"/>
      <c r="G871" s="6"/>
      <c r="H871" s="11"/>
      <c r="I87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71" t="str">
        <f>IF(Table1[[#This Row],[Nationality]]="Nigeria",Table1[[#This Row],[EMJM Scholarship]],"Not Applicable")</f>
        <v>Not Applicable</v>
      </c>
    </row>
    <row r="872" spans="1:10" ht="19.25" hidden="1" customHeight="1" x14ac:dyDescent="0.3">
      <c r="A872" s="8">
        <v>2457153</v>
      </c>
      <c r="B872" s="6" t="s">
        <v>80</v>
      </c>
      <c r="C872" s="1" t="s">
        <v>9</v>
      </c>
      <c r="D872" s="1" t="s">
        <v>9</v>
      </c>
      <c r="E872" s="1" t="s">
        <v>9</v>
      </c>
      <c r="F872" s="6"/>
      <c r="G872" s="6"/>
      <c r="H872" s="11"/>
      <c r="I87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72" t="str">
        <f>IF(Table1[[#This Row],[Nationality]]="Nigeria",Table1[[#This Row],[EMJM Scholarship]],"Not Applicable")</f>
        <v>Not Applicable</v>
      </c>
    </row>
    <row r="873" spans="1:10" ht="19.25" hidden="1" customHeight="1" x14ac:dyDescent="0.3">
      <c r="A873" s="8">
        <v>2457176</v>
      </c>
      <c r="B873" s="6" t="s">
        <v>80</v>
      </c>
      <c r="C873" s="1" t="s">
        <v>9</v>
      </c>
      <c r="D873" s="1" t="s">
        <v>9</v>
      </c>
      <c r="E873" s="1" t="s">
        <v>9</v>
      </c>
      <c r="F873" s="6"/>
      <c r="G873" s="6"/>
      <c r="H873" s="11"/>
      <c r="I87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73" t="str">
        <f>IF(Table1[[#This Row],[Nationality]]="Nigeria",Table1[[#This Row],[EMJM Scholarship]],"Not Applicable")</f>
        <v>Not Applicable</v>
      </c>
    </row>
    <row r="874" spans="1:10" ht="19.25" hidden="1" customHeight="1" x14ac:dyDescent="0.3">
      <c r="A874" s="8">
        <v>2457220</v>
      </c>
      <c r="B874" s="6" t="s">
        <v>80</v>
      </c>
      <c r="C874" s="1" t="s">
        <v>9</v>
      </c>
      <c r="D874" s="1" t="s">
        <v>9</v>
      </c>
      <c r="E874" s="1" t="s">
        <v>9</v>
      </c>
      <c r="F874" s="6"/>
      <c r="G874" s="6"/>
      <c r="H874" s="11"/>
      <c r="I87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74" t="str">
        <f>IF(Table1[[#This Row],[Nationality]]="Nigeria",Table1[[#This Row],[EMJM Scholarship]],"Not Applicable")</f>
        <v>Not Applicable</v>
      </c>
    </row>
    <row r="875" spans="1:10" ht="19.25" hidden="1" customHeight="1" x14ac:dyDescent="0.3">
      <c r="A875" s="8">
        <v>2457231</v>
      </c>
      <c r="B875" s="6" t="s">
        <v>80</v>
      </c>
      <c r="C875" s="1" t="s">
        <v>9</v>
      </c>
      <c r="D875" s="1" t="s">
        <v>9</v>
      </c>
      <c r="E875" s="1" t="s">
        <v>9</v>
      </c>
      <c r="F875" s="6"/>
      <c r="G875" s="6"/>
      <c r="H875" s="11"/>
      <c r="I87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75" t="str">
        <f>IF(Table1[[#This Row],[Nationality]]="Nigeria",Table1[[#This Row],[EMJM Scholarship]],"Not Applicable")</f>
        <v>Not Applicable</v>
      </c>
    </row>
    <row r="876" spans="1:10" ht="19.25" hidden="1" customHeight="1" x14ac:dyDescent="0.3">
      <c r="A876" s="8">
        <v>2457308</v>
      </c>
      <c r="B876" s="6" t="s">
        <v>80</v>
      </c>
      <c r="C876" s="1" t="s">
        <v>9</v>
      </c>
      <c r="D876" s="1" t="s">
        <v>9</v>
      </c>
      <c r="E876" s="1" t="s">
        <v>9</v>
      </c>
      <c r="F876" s="6"/>
      <c r="G876" s="6"/>
      <c r="H876" s="11"/>
      <c r="I87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76" t="str">
        <f>IF(Table1[[#This Row],[Nationality]]="Nigeria",Table1[[#This Row],[EMJM Scholarship]],"Not Applicable")</f>
        <v>Not Applicable</v>
      </c>
    </row>
    <row r="877" spans="1:10" ht="19.25" hidden="1" customHeight="1" x14ac:dyDescent="0.3">
      <c r="A877" s="8">
        <v>2457358</v>
      </c>
      <c r="B877" s="6" t="s">
        <v>80</v>
      </c>
      <c r="C877" s="1" t="s">
        <v>9</v>
      </c>
      <c r="D877" s="1" t="s">
        <v>9</v>
      </c>
      <c r="E877" s="1" t="s">
        <v>9</v>
      </c>
      <c r="F877" s="6"/>
      <c r="G877" s="6"/>
      <c r="H877" s="11"/>
      <c r="I87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77" t="str">
        <f>IF(Table1[[#This Row],[Nationality]]="Nigeria",Table1[[#This Row],[EMJM Scholarship]],"Not Applicable")</f>
        <v>Not Applicable</v>
      </c>
    </row>
    <row r="878" spans="1:10" ht="19.25" hidden="1" customHeight="1" x14ac:dyDescent="0.3">
      <c r="A878" s="8">
        <v>2457375</v>
      </c>
      <c r="B878" s="6" t="s">
        <v>80</v>
      </c>
      <c r="C878" s="1" t="s">
        <v>9</v>
      </c>
      <c r="D878" s="1" t="s">
        <v>9</v>
      </c>
      <c r="E878" s="1" t="s">
        <v>9</v>
      </c>
      <c r="F878" s="6"/>
      <c r="G878" s="6"/>
      <c r="H878" s="11"/>
      <c r="I87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78" t="str">
        <f>IF(Table1[[#This Row],[Nationality]]="Nigeria",Table1[[#This Row],[EMJM Scholarship]],"Not Applicable")</f>
        <v>Not Applicable</v>
      </c>
    </row>
    <row r="879" spans="1:10" ht="19.25" hidden="1" customHeight="1" x14ac:dyDescent="0.3">
      <c r="A879" s="8">
        <v>2457380</v>
      </c>
      <c r="B879" s="6" t="s">
        <v>80</v>
      </c>
      <c r="C879" s="1" t="s">
        <v>9</v>
      </c>
      <c r="D879" s="1" t="s">
        <v>9</v>
      </c>
      <c r="E879" s="1" t="s">
        <v>9</v>
      </c>
      <c r="F879" s="6"/>
      <c r="G879" s="6"/>
      <c r="H879" s="11"/>
      <c r="I87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79" t="str">
        <f>IF(Table1[[#This Row],[Nationality]]="Nigeria",Table1[[#This Row],[EMJM Scholarship]],"Not Applicable")</f>
        <v>Not Applicable</v>
      </c>
    </row>
    <row r="880" spans="1:10" ht="19.25" hidden="1" customHeight="1" x14ac:dyDescent="0.3">
      <c r="A880" s="8">
        <v>2457388</v>
      </c>
      <c r="B880" s="6" t="s">
        <v>80</v>
      </c>
      <c r="C880" s="1" t="s">
        <v>9</v>
      </c>
      <c r="D880" s="1" t="s">
        <v>9</v>
      </c>
      <c r="E880" s="1" t="s">
        <v>9</v>
      </c>
      <c r="F880" s="6"/>
      <c r="G880" s="6"/>
      <c r="H880" s="11"/>
      <c r="I88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80" t="str">
        <f>IF(Table1[[#This Row],[Nationality]]="Nigeria",Table1[[#This Row],[EMJM Scholarship]],"Not Applicable")</f>
        <v>Not Applicable</v>
      </c>
    </row>
    <row r="881" spans="1:10" ht="19.25" hidden="1" customHeight="1" x14ac:dyDescent="0.3">
      <c r="A881" s="8">
        <v>2457433</v>
      </c>
      <c r="B881" s="6" t="s">
        <v>80</v>
      </c>
      <c r="C881" s="1" t="s">
        <v>9</v>
      </c>
      <c r="D881" s="1" t="s">
        <v>9</v>
      </c>
      <c r="E881" s="1" t="s">
        <v>9</v>
      </c>
      <c r="F881" s="6"/>
      <c r="G881" s="6"/>
      <c r="H881" s="11"/>
      <c r="I88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81" t="str">
        <f>IF(Table1[[#This Row],[Nationality]]="Nigeria",Table1[[#This Row],[EMJM Scholarship]],"Not Applicable")</f>
        <v>Not Applicable</v>
      </c>
    </row>
    <row r="882" spans="1:10" ht="19.25" hidden="1" customHeight="1" x14ac:dyDescent="0.3">
      <c r="A882" s="8">
        <v>2457453</v>
      </c>
      <c r="B882" s="6" t="s">
        <v>80</v>
      </c>
      <c r="C882" s="1" t="s">
        <v>9</v>
      </c>
      <c r="D882" s="1" t="s">
        <v>9</v>
      </c>
      <c r="E882" s="1" t="s">
        <v>9</v>
      </c>
      <c r="F882" s="6"/>
      <c r="G882" s="6"/>
      <c r="H882" s="11"/>
      <c r="I88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82" t="str">
        <f>IF(Table1[[#This Row],[Nationality]]="Nigeria",Table1[[#This Row],[EMJM Scholarship]],"Not Applicable")</f>
        <v>Not Applicable</v>
      </c>
    </row>
    <row r="883" spans="1:10" ht="19.25" hidden="1" customHeight="1" x14ac:dyDescent="0.3">
      <c r="A883" s="8">
        <v>2457472</v>
      </c>
      <c r="B883" s="6" t="s">
        <v>80</v>
      </c>
      <c r="C883" s="1" t="s">
        <v>9</v>
      </c>
      <c r="D883" s="1" t="s">
        <v>9</v>
      </c>
      <c r="E883" s="1" t="s">
        <v>9</v>
      </c>
      <c r="F883" s="6"/>
      <c r="G883" s="6"/>
      <c r="H883" s="11"/>
      <c r="I88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83" t="str">
        <f>IF(Table1[[#This Row],[Nationality]]="Nigeria",Table1[[#This Row],[EMJM Scholarship]],"Not Applicable")</f>
        <v>Not Applicable</v>
      </c>
    </row>
    <row r="884" spans="1:10" ht="19.25" hidden="1" customHeight="1" x14ac:dyDescent="0.3">
      <c r="A884" s="8">
        <v>2457511</v>
      </c>
      <c r="B884" s="6" t="s">
        <v>80</v>
      </c>
      <c r="C884" s="1" t="s">
        <v>9</v>
      </c>
      <c r="D884" s="1" t="s">
        <v>9</v>
      </c>
      <c r="E884" s="1" t="s">
        <v>9</v>
      </c>
      <c r="F884" s="6"/>
      <c r="G884" s="6"/>
      <c r="H884" s="11"/>
      <c r="I88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84" t="str">
        <f>IF(Table1[[#This Row],[Nationality]]="Nigeria",Table1[[#This Row],[EMJM Scholarship]],"Not Applicable")</f>
        <v>Not Applicable</v>
      </c>
    </row>
    <row r="885" spans="1:10" ht="19.25" hidden="1" customHeight="1" x14ac:dyDescent="0.3">
      <c r="A885" s="8">
        <v>2457580</v>
      </c>
      <c r="B885" s="6" t="s">
        <v>80</v>
      </c>
      <c r="C885" s="1" t="s">
        <v>9</v>
      </c>
      <c r="D885" s="1" t="s">
        <v>9</v>
      </c>
      <c r="E885" s="1" t="s">
        <v>9</v>
      </c>
      <c r="F885" s="6"/>
      <c r="G885" s="6"/>
      <c r="H885" s="11"/>
      <c r="I88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85" t="str">
        <f>IF(Table1[[#This Row],[Nationality]]="Nigeria",Table1[[#This Row],[EMJM Scholarship]],"Not Applicable")</f>
        <v>Not Applicable</v>
      </c>
    </row>
    <row r="886" spans="1:10" ht="19.25" hidden="1" customHeight="1" x14ac:dyDescent="0.3">
      <c r="A886" s="8">
        <v>2457610</v>
      </c>
      <c r="B886" s="6" t="s">
        <v>80</v>
      </c>
      <c r="C886" s="1" t="s">
        <v>9</v>
      </c>
      <c r="D886" s="1" t="s">
        <v>9</v>
      </c>
      <c r="E886" s="1" t="s">
        <v>9</v>
      </c>
      <c r="F886" s="6"/>
      <c r="G886" s="6"/>
      <c r="H886" s="11"/>
      <c r="I88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86" t="str">
        <f>IF(Table1[[#This Row],[Nationality]]="Nigeria",Table1[[#This Row],[EMJM Scholarship]],"Not Applicable")</f>
        <v>Not Applicable</v>
      </c>
    </row>
    <row r="887" spans="1:10" ht="19.25" hidden="1" customHeight="1" x14ac:dyDescent="0.3">
      <c r="A887" s="8">
        <v>2457697</v>
      </c>
      <c r="B887" s="6" t="s">
        <v>80</v>
      </c>
      <c r="C887" s="1" t="s">
        <v>9</v>
      </c>
      <c r="D887" s="1" t="s">
        <v>9</v>
      </c>
      <c r="E887" s="1" t="s">
        <v>9</v>
      </c>
      <c r="F887" s="6"/>
      <c r="G887" s="6"/>
      <c r="H887" s="11"/>
      <c r="I88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87" t="str">
        <f>IF(Table1[[#This Row],[Nationality]]="Nigeria",Table1[[#This Row],[EMJM Scholarship]],"Not Applicable")</f>
        <v>Not Applicable</v>
      </c>
    </row>
    <row r="888" spans="1:10" ht="19.25" hidden="1" customHeight="1" x14ac:dyDescent="0.3">
      <c r="A888" s="8">
        <v>2457711</v>
      </c>
      <c r="B888" s="6" t="s">
        <v>80</v>
      </c>
      <c r="C888" s="1" t="s">
        <v>9</v>
      </c>
      <c r="D888" s="1" t="s">
        <v>9</v>
      </c>
      <c r="E888" s="1" t="s">
        <v>9</v>
      </c>
      <c r="F888" s="6"/>
      <c r="G888" s="6"/>
      <c r="H888" s="11"/>
      <c r="I88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88" t="str">
        <f>IF(Table1[[#This Row],[Nationality]]="Nigeria",Table1[[#This Row],[EMJM Scholarship]],"Not Applicable")</f>
        <v>Not Applicable</v>
      </c>
    </row>
    <row r="889" spans="1:10" ht="19.25" hidden="1" customHeight="1" x14ac:dyDescent="0.3">
      <c r="A889" s="8">
        <v>2457770</v>
      </c>
      <c r="B889" s="6" t="s">
        <v>80</v>
      </c>
      <c r="C889" s="1" t="s">
        <v>9</v>
      </c>
      <c r="D889" s="1" t="s">
        <v>9</v>
      </c>
      <c r="E889" s="1" t="s">
        <v>9</v>
      </c>
      <c r="F889" s="6"/>
      <c r="G889" s="6"/>
      <c r="H889" s="11"/>
      <c r="I88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89" t="str">
        <f>IF(Table1[[#This Row],[Nationality]]="Nigeria",Table1[[#This Row],[EMJM Scholarship]],"Not Applicable")</f>
        <v>Not Applicable</v>
      </c>
    </row>
    <row r="890" spans="1:10" ht="19.25" hidden="1" customHeight="1" x14ac:dyDescent="0.3">
      <c r="A890" s="8">
        <v>2457856</v>
      </c>
      <c r="B890" s="6" t="s">
        <v>80</v>
      </c>
      <c r="C890" s="1" t="s">
        <v>9</v>
      </c>
      <c r="D890" s="1" t="s">
        <v>9</v>
      </c>
      <c r="E890" s="1" t="s">
        <v>9</v>
      </c>
      <c r="F890" s="6"/>
      <c r="G890" s="6"/>
      <c r="H890" s="11"/>
      <c r="I89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90" t="str">
        <f>IF(Table1[[#This Row],[Nationality]]="Nigeria",Table1[[#This Row],[EMJM Scholarship]],"Not Applicable")</f>
        <v>Not Applicable</v>
      </c>
    </row>
    <row r="891" spans="1:10" ht="19.25" hidden="1" customHeight="1" x14ac:dyDescent="0.3">
      <c r="A891" s="8">
        <v>2457913</v>
      </c>
      <c r="B891" s="6" t="s">
        <v>80</v>
      </c>
      <c r="C891" s="1" t="s">
        <v>9</v>
      </c>
      <c r="D891" s="1" t="s">
        <v>9</v>
      </c>
      <c r="E891" s="1" t="s">
        <v>9</v>
      </c>
      <c r="F891" s="6"/>
      <c r="G891" s="6"/>
      <c r="H891" s="11"/>
      <c r="I89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91" t="str">
        <f>IF(Table1[[#This Row],[Nationality]]="Nigeria",Table1[[#This Row],[EMJM Scholarship]],"Not Applicable")</f>
        <v>Not Applicable</v>
      </c>
    </row>
    <row r="892" spans="1:10" ht="19.25" hidden="1" customHeight="1" x14ac:dyDescent="0.3">
      <c r="A892" s="8">
        <v>2457920</v>
      </c>
      <c r="B892" s="6" t="s">
        <v>80</v>
      </c>
      <c r="C892" s="1" t="s">
        <v>9</v>
      </c>
      <c r="D892" s="1" t="s">
        <v>9</v>
      </c>
      <c r="E892" s="1" t="s">
        <v>9</v>
      </c>
      <c r="F892" s="6"/>
      <c r="G892" s="6"/>
      <c r="H892" s="11"/>
      <c r="I89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92" t="str">
        <f>IF(Table1[[#This Row],[Nationality]]="Nigeria",Table1[[#This Row],[EMJM Scholarship]],"Not Applicable")</f>
        <v>Not Applicable</v>
      </c>
    </row>
    <row r="893" spans="1:10" ht="19.25" hidden="1" customHeight="1" x14ac:dyDescent="0.3">
      <c r="A893" s="8">
        <v>2458029</v>
      </c>
      <c r="B893" s="6" t="s">
        <v>80</v>
      </c>
      <c r="C893" s="1" t="s">
        <v>9</v>
      </c>
      <c r="D893" s="1" t="s">
        <v>9</v>
      </c>
      <c r="E893" s="1" t="s">
        <v>9</v>
      </c>
      <c r="F893" s="6"/>
      <c r="G893" s="6"/>
      <c r="H893" s="11"/>
      <c r="I89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93" t="str">
        <f>IF(Table1[[#This Row],[Nationality]]="Nigeria",Table1[[#This Row],[EMJM Scholarship]],"Not Applicable")</f>
        <v>Not Applicable</v>
      </c>
    </row>
    <row r="894" spans="1:10" ht="19.25" hidden="1" customHeight="1" x14ac:dyDescent="0.3">
      <c r="A894" s="8">
        <v>2458059</v>
      </c>
      <c r="B894" s="6" t="s">
        <v>80</v>
      </c>
      <c r="C894" s="1" t="s">
        <v>9</v>
      </c>
      <c r="D894" s="1" t="s">
        <v>9</v>
      </c>
      <c r="E894" s="1" t="s">
        <v>9</v>
      </c>
      <c r="F894" s="6"/>
      <c r="G894" s="6"/>
      <c r="H894" s="11"/>
      <c r="I89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94" t="str">
        <f>IF(Table1[[#This Row],[Nationality]]="Nigeria",Table1[[#This Row],[EMJM Scholarship]],"Not Applicable")</f>
        <v>Not Applicable</v>
      </c>
    </row>
    <row r="895" spans="1:10" ht="19.25" hidden="1" customHeight="1" x14ac:dyDescent="0.3">
      <c r="A895" s="8">
        <v>2458150</v>
      </c>
      <c r="B895" s="6" t="s">
        <v>80</v>
      </c>
      <c r="C895" s="1" t="s">
        <v>9</v>
      </c>
      <c r="D895" s="1" t="s">
        <v>9</v>
      </c>
      <c r="E895" s="1" t="s">
        <v>9</v>
      </c>
      <c r="F895" s="6"/>
      <c r="G895" s="6"/>
      <c r="H895" s="11"/>
      <c r="I89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95" t="str">
        <f>IF(Table1[[#This Row],[Nationality]]="Nigeria",Table1[[#This Row],[EMJM Scholarship]],"Not Applicable")</f>
        <v>Not Applicable</v>
      </c>
    </row>
    <row r="896" spans="1:10" ht="19.25" hidden="1" customHeight="1" x14ac:dyDescent="0.3">
      <c r="A896" s="8">
        <v>2458190</v>
      </c>
      <c r="B896" s="6" t="s">
        <v>80</v>
      </c>
      <c r="C896" s="1" t="s">
        <v>9</v>
      </c>
      <c r="D896" s="1" t="s">
        <v>9</v>
      </c>
      <c r="E896" s="1" t="s">
        <v>9</v>
      </c>
      <c r="F896" s="6"/>
      <c r="G896" s="6"/>
      <c r="H896" s="11"/>
      <c r="I89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96" t="str">
        <f>IF(Table1[[#This Row],[Nationality]]="Nigeria",Table1[[#This Row],[EMJM Scholarship]],"Not Applicable")</f>
        <v>Not Applicable</v>
      </c>
    </row>
    <row r="897" spans="1:10" ht="19.25" hidden="1" customHeight="1" x14ac:dyDescent="0.3">
      <c r="A897" s="8">
        <v>2458318</v>
      </c>
      <c r="B897" s="6" t="s">
        <v>80</v>
      </c>
      <c r="C897" s="1" t="s">
        <v>9</v>
      </c>
      <c r="D897" s="1" t="s">
        <v>9</v>
      </c>
      <c r="E897" s="1" t="s">
        <v>9</v>
      </c>
      <c r="F897" s="6"/>
      <c r="G897" s="6"/>
      <c r="H897" s="11"/>
      <c r="I89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97" t="str">
        <f>IF(Table1[[#This Row],[Nationality]]="Nigeria",Table1[[#This Row],[EMJM Scholarship]],"Not Applicable")</f>
        <v>Not Applicable</v>
      </c>
    </row>
    <row r="898" spans="1:10" ht="19.25" hidden="1" customHeight="1" x14ac:dyDescent="0.3">
      <c r="A898" s="8">
        <v>2458515</v>
      </c>
      <c r="B898" s="6" t="s">
        <v>80</v>
      </c>
      <c r="C898" s="1" t="s">
        <v>9</v>
      </c>
      <c r="D898" s="1" t="s">
        <v>9</v>
      </c>
      <c r="E898" s="1" t="s">
        <v>9</v>
      </c>
      <c r="F898" s="6"/>
      <c r="G898" s="6"/>
      <c r="H898" s="11"/>
      <c r="I89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98" t="str">
        <f>IF(Table1[[#This Row],[Nationality]]="Nigeria",Table1[[#This Row],[EMJM Scholarship]],"Not Applicable")</f>
        <v>Not Applicable</v>
      </c>
    </row>
    <row r="899" spans="1:10" ht="19.25" hidden="1" customHeight="1" x14ac:dyDescent="0.3">
      <c r="A899" s="8">
        <v>2458631</v>
      </c>
      <c r="B899" s="6" t="s">
        <v>80</v>
      </c>
      <c r="C899" s="1" t="s">
        <v>9</v>
      </c>
      <c r="D899" s="1" t="s">
        <v>9</v>
      </c>
      <c r="E899" s="1" t="s">
        <v>9</v>
      </c>
      <c r="F899" s="6"/>
      <c r="G899" s="6"/>
      <c r="H899" s="11"/>
      <c r="I89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899" t="str">
        <f>IF(Table1[[#This Row],[Nationality]]="Nigeria",Table1[[#This Row],[EMJM Scholarship]],"Not Applicable")</f>
        <v>Not Applicable</v>
      </c>
    </row>
    <row r="900" spans="1:10" ht="19.25" hidden="1" customHeight="1" x14ac:dyDescent="0.3">
      <c r="A900" s="8">
        <v>2458664</v>
      </c>
      <c r="B900" s="6" t="s">
        <v>80</v>
      </c>
      <c r="C900" s="1" t="s">
        <v>9</v>
      </c>
      <c r="D900" s="1" t="s">
        <v>9</v>
      </c>
      <c r="E900" s="1" t="s">
        <v>9</v>
      </c>
      <c r="F900" s="6"/>
      <c r="G900" s="6"/>
      <c r="H900" s="11"/>
      <c r="I90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00" t="str">
        <f>IF(Table1[[#This Row],[Nationality]]="Nigeria",Table1[[#This Row],[EMJM Scholarship]],"Not Applicable")</f>
        <v>Not Applicable</v>
      </c>
    </row>
    <row r="901" spans="1:10" ht="19.25" hidden="1" customHeight="1" x14ac:dyDescent="0.3">
      <c r="A901" s="8">
        <v>2458746</v>
      </c>
      <c r="B901" s="6" t="s">
        <v>80</v>
      </c>
      <c r="C901" s="1" t="s">
        <v>9</v>
      </c>
      <c r="D901" s="1" t="s">
        <v>9</v>
      </c>
      <c r="E901" s="1" t="s">
        <v>9</v>
      </c>
      <c r="F901" s="6"/>
      <c r="G901" s="6"/>
      <c r="H901" s="11"/>
      <c r="I90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01" t="str">
        <f>IF(Table1[[#This Row],[Nationality]]="Nigeria",Table1[[#This Row],[EMJM Scholarship]],"Not Applicable")</f>
        <v>Not Applicable</v>
      </c>
    </row>
    <row r="902" spans="1:10" ht="19.25" hidden="1" customHeight="1" x14ac:dyDescent="0.3">
      <c r="A902" s="8">
        <v>2458747</v>
      </c>
      <c r="B902" s="6" t="s">
        <v>80</v>
      </c>
      <c r="C902" s="1" t="s">
        <v>9</v>
      </c>
      <c r="D902" s="1" t="s">
        <v>9</v>
      </c>
      <c r="E902" s="1" t="s">
        <v>9</v>
      </c>
      <c r="F902" s="6"/>
      <c r="G902" s="6"/>
      <c r="H902" s="11"/>
      <c r="I90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02" t="str">
        <f>IF(Table1[[#This Row],[Nationality]]="Nigeria",Table1[[#This Row],[EMJM Scholarship]],"Not Applicable")</f>
        <v>Not Applicable</v>
      </c>
    </row>
    <row r="903" spans="1:10" ht="19.25" hidden="1" customHeight="1" x14ac:dyDescent="0.3">
      <c r="A903" s="8">
        <v>2458771</v>
      </c>
      <c r="B903" s="6" t="s">
        <v>80</v>
      </c>
      <c r="C903" s="1" t="s">
        <v>9</v>
      </c>
      <c r="D903" s="1" t="s">
        <v>9</v>
      </c>
      <c r="E903" s="1" t="s">
        <v>9</v>
      </c>
      <c r="F903" s="6"/>
      <c r="G903" s="6"/>
      <c r="H903" s="11"/>
      <c r="I90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03" t="str">
        <f>IF(Table1[[#This Row],[Nationality]]="Nigeria",Table1[[#This Row],[EMJM Scholarship]],"Not Applicable")</f>
        <v>Not Applicable</v>
      </c>
    </row>
    <row r="904" spans="1:10" ht="19.25" hidden="1" customHeight="1" x14ac:dyDescent="0.3">
      <c r="A904" s="8">
        <v>2458929</v>
      </c>
      <c r="B904" s="6" t="s">
        <v>80</v>
      </c>
      <c r="C904" s="1" t="s">
        <v>9</v>
      </c>
      <c r="D904" s="1" t="s">
        <v>9</v>
      </c>
      <c r="E904" s="1" t="s">
        <v>9</v>
      </c>
      <c r="F904" s="6"/>
      <c r="G904" s="6"/>
      <c r="H904" s="11"/>
      <c r="I90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04" t="str">
        <f>IF(Table1[[#This Row],[Nationality]]="Nigeria",Table1[[#This Row],[EMJM Scholarship]],"Not Applicable")</f>
        <v>Not Applicable</v>
      </c>
    </row>
    <row r="905" spans="1:10" ht="19.25" hidden="1" customHeight="1" x14ac:dyDescent="0.3">
      <c r="A905" s="8">
        <v>2458961</v>
      </c>
      <c r="B905" s="6" t="s">
        <v>80</v>
      </c>
      <c r="C905" s="1" t="s">
        <v>9</v>
      </c>
      <c r="D905" s="1" t="s">
        <v>9</v>
      </c>
      <c r="E905" s="1" t="s">
        <v>9</v>
      </c>
      <c r="F905" s="6"/>
      <c r="G905" s="6"/>
      <c r="H905" s="11"/>
      <c r="I90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05" t="str">
        <f>IF(Table1[[#This Row],[Nationality]]="Nigeria",Table1[[#This Row],[EMJM Scholarship]],"Not Applicable")</f>
        <v>Not Applicable</v>
      </c>
    </row>
    <row r="906" spans="1:10" ht="19.25" hidden="1" customHeight="1" x14ac:dyDescent="0.3">
      <c r="A906" s="8">
        <v>2458990</v>
      </c>
      <c r="B906" s="6" t="s">
        <v>80</v>
      </c>
      <c r="C906" s="1" t="s">
        <v>9</v>
      </c>
      <c r="D906" s="1" t="s">
        <v>9</v>
      </c>
      <c r="E906" s="1" t="s">
        <v>9</v>
      </c>
      <c r="F906" s="6"/>
      <c r="G906" s="6"/>
      <c r="H906" s="11"/>
      <c r="I90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06" t="str">
        <f>IF(Table1[[#This Row],[Nationality]]="Nigeria",Table1[[#This Row],[EMJM Scholarship]],"Not Applicable")</f>
        <v>Not Applicable</v>
      </c>
    </row>
    <row r="907" spans="1:10" ht="19.25" hidden="1" customHeight="1" x14ac:dyDescent="0.3">
      <c r="A907" s="8">
        <v>2459048</v>
      </c>
      <c r="B907" s="6" t="s">
        <v>80</v>
      </c>
      <c r="C907" s="1" t="s">
        <v>9</v>
      </c>
      <c r="D907" s="1" t="s">
        <v>9</v>
      </c>
      <c r="E907" s="1" t="s">
        <v>9</v>
      </c>
      <c r="F907" s="6"/>
      <c r="G907" s="6"/>
      <c r="H907" s="11"/>
      <c r="I90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07" t="str">
        <f>IF(Table1[[#This Row],[Nationality]]="Nigeria",Table1[[#This Row],[EMJM Scholarship]],"Not Applicable")</f>
        <v>Not Applicable</v>
      </c>
    </row>
    <row r="908" spans="1:10" ht="19.25" hidden="1" customHeight="1" x14ac:dyDescent="0.3">
      <c r="A908" s="8">
        <v>2459050</v>
      </c>
      <c r="B908" s="6" t="s">
        <v>80</v>
      </c>
      <c r="C908" s="1" t="s">
        <v>9</v>
      </c>
      <c r="D908" s="1" t="s">
        <v>9</v>
      </c>
      <c r="E908" s="1" t="s">
        <v>9</v>
      </c>
      <c r="F908" s="6"/>
      <c r="G908" s="6"/>
      <c r="H908" s="11"/>
      <c r="I90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08" t="str">
        <f>IF(Table1[[#This Row],[Nationality]]="Nigeria",Table1[[#This Row],[EMJM Scholarship]],"Not Applicable")</f>
        <v>Not Applicable</v>
      </c>
    </row>
    <row r="909" spans="1:10" ht="19.25" hidden="1" customHeight="1" x14ac:dyDescent="0.3">
      <c r="A909" s="8">
        <v>2459052</v>
      </c>
      <c r="B909" s="6" t="s">
        <v>80</v>
      </c>
      <c r="C909" s="1" t="s">
        <v>9</v>
      </c>
      <c r="D909" s="1" t="s">
        <v>9</v>
      </c>
      <c r="E909" s="1" t="s">
        <v>9</v>
      </c>
      <c r="F909" s="6"/>
      <c r="G909" s="6"/>
      <c r="H909" s="11"/>
      <c r="I90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09" t="str">
        <f>IF(Table1[[#This Row],[Nationality]]="Nigeria",Table1[[#This Row],[EMJM Scholarship]],"Not Applicable")</f>
        <v>Not Applicable</v>
      </c>
    </row>
    <row r="910" spans="1:10" ht="19.25" hidden="1" customHeight="1" x14ac:dyDescent="0.3">
      <c r="A910" s="8">
        <v>2459066</v>
      </c>
      <c r="B910" s="6" t="s">
        <v>80</v>
      </c>
      <c r="C910" s="1" t="s">
        <v>9</v>
      </c>
      <c r="D910" s="1" t="s">
        <v>9</v>
      </c>
      <c r="E910" s="1" t="s">
        <v>9</v>
      </c>
      <c r="F910" s="6"/>
      <c r="G910" s="6"/>
      <c r="H910" s="11"/>
      <c r="I91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10" t="str">
        <f>IF(Table1[[#This Row],[Nationality]]="Nigeria",Table1[[#This Row],[EMJM Scholarship]],"Not Applicable")</f>
        <v>Not Applicable</v>
      </c>
    </row>
    <row r="911" spans="1:10" ht="19.25" hidden="1" customHeight="1" x14ac:dyDescent="0.3">
      <c r="A911" s="8">
        <v>2459108</v>
      </c>
      <c r="B911" s="6" t="s">
        <v>80</v>
      </c>
      <c r="C911" s="1" t="s">
        <v>9</v>
      </c>
      <c r="D911" s="1" t="s">
        <v>9</v>
      </c>
      <c r="E911" s="1" t="s">
        <v>9</v>
      </c>
      <c r="F911" s="6"/>
      <c r="G911" s="6"/>
      <c r="H911" s="11"/>
      <c r="I91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11" t="str">
        <f>IF(Table1[[#This Row],[Nationality]]="Nigeria",Table1[[#This Row],[EMJM Scholarship]],"Not Applicable")</f>
        <v>Not Applicable</v>
      </c>
    </row>
    <row r="912" spans="1:10" ht="19.25" hidden="1" customHeight="1" x14ac:dyDescent="0.3">
      <c r="A912" s="8">
        <v>2459115</v>
      </c>
      <c r="B912" s="6" t="s">
        <v>80</v>
      </c>
      <c r="C912" s="1" t="s">
        <v>9</v>
      </c>
      <c r="D912" s="1" t="s">
        <v>9</v>
      </c>
      <c r="E912" s="1" t="s">
        <v>9</v>
      </c>
      <c r="F912" s="6"/>
      <c r="G912" s="6"/>
      <c r="H912" s="11"/>
      <c r="I91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12" t="str">
        <f>IF(Table1[[#This Row],[Nationality]]="Nigeria",Table1[[#This Row],[EMJM Scholarship]],"Not Applicable")</f>
        <v>Not Applicable</v>
      </c>
    </row>
    <row r="913" spans="1:10" ht="19.25" hidden="1" customHeight="1" x14ac:dyDescent="0.3">
      <c r="A913" s="8">
        <v>2459117</v>
      </c>
      <c r="B913" s="6" t="s">
        <v>80</v>
      </c>
      <c r="C913" s="1" t="s">
        <v>9</v>
      </c>
      <c r="D913" s="1" t="s">
        <v>9</v>
      </c>
      <c r="E913" s="1" t="s">
        <v>9</v>
      </c>
      <c r="F913" s="6"/>
      <c r="G913" s="6"/>
      <c r="H913" s="11"/>
      <c r="I91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13" t="str">
        <f>IF(Table1[[#This Row],[Nationality]]="Nigeria",Table1[[#This Row],[EMJM Scholarship]],"Not Applicable")</f>
        <v>Not Applicable</v>
      </c>
    </row>
    <row r="914" spans="1:10" ht="19.25" hidden="1" customHeight="1" x14ac:dyDescent="0.3">
      <c r="A914" s="8">
        <v>2459180</v>
      </c>
      <c r="B914" s="6" t="s">
        <v>80</v>
      </c>
      <c r="C914" s="1" t="s">
        <v>9</v>
      </c>
      <c r="D914" s="1" t="s">
        <v>9</v>
      </c>
      <c r="E914" s="1" t="s">
        <v>9</v>
      </c>
      <c r="F914" s="6"/>
      <c r="G914" s="6"/>
      <c r="H914" s="11"/>
      <c r="I91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14" t="str">
        <f>IF(Table1[[#This Row],[Nationality]]="Nigeria",Table1[[#This Row],[EMJM Scholarship]],"Not Applicable")</f>
        <v>Not Applicable</v>
      </c>
    </row>
    <row r="915" spans="1:10" ht="19.25" hidden="1" customHeight="1" x14ac:dyDescent="0.3">
      <c r="A915" s="8">
        <v>2459246</v>
      </c>
      <c r="B915" s="6" t="s">
        <v>80</v>
      </c>
      <c r="C915" s="1" t="s">
        <v>9</v>
      </c>
      <c r="D915" s="1" t="s">
        <v>9</v>
      </c>
      <c r="E915" s="1" t="s">
        <v>9</v>
      </c>
      <c r="F915" s="6"/>
      <c r="G915" s="6"/>
      <c r="H915" s="11"/>
      <c r="I91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15" t="str">
        <f>IF(Table1[[#This Row],[Nationality]]="Nigeria",Table1[[#This Row],[EMJM Scholarship]],"Not Applicable")</f>
        <v>Not Applicable</v>
      </c>
    </row>
    <row r="916" spans="1:10" ht="19.25" hidden="1" customHeight="1" x14ac:dyDescent="0.3">
      <c r="A916" s="8">
        <v>2459493</v>
      </c>
      <c r="B916" s="6" t="s">
        <v>80</v>
      </c>
      <c r="C916" s="1" t="s">
        <v>9</v>
      </c>
      <c r="D916" s="1" t="s">
        <v>9</v>
      </c>
      <c r="E916" s="1" t="s">
        <v>9</v>
      </c>
      <c r="F916" s="6"/>
      <c r="G916" s="6"/>
      <c r="H916" s="11"/>
      <c r="I91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16" t="str">
        <f>IF(Table1[[#This Row],[Nationality]]="Nigeria",Table1[[#This Row],[EMJM Scholarship]],"Not Applicable")</f>
        <v>Not Applicable</v>
      </c>
    </row>
    <row r="917" spans="1:10" ht="19.25" hidden="1" customHeight="1" x14ac:dyDescent="0.3">
      <c r="A917" s="8">
        <v>2459544</v>
      </c>
      <c r="B917" s="6" t="s">
        <v>80</v>
      </c>
      <c r="C917" s="1" t="s">
        <v>9</v>
      </c>
      <c r="D917" s="1" t="s">
        <v>9</v>
      </c>
      <c r="E917" s="1" t="s">
        <v>9</v>
      </c>
      <c r="F917" s="6"/>
      <c r="G917" s="6"/>
      <c r="H917" s="11"/>
      <c r="I91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17" t="str">
        <f>IF(Table1[[#This Row],[Nationality]]="Nigeria",Table1[[#This Row],[EMJM Scholarship]],"Not Applicable")</f>
        <v>Not Applicable</v>
      </c>
    </row>
    <row r="918" spans="1:10" ht="19.25" hidden="1" customHeight="1" x14ac:dyDescent="0.3">
      <c r="A918" s="8">
        <v>2459626</v>
      </c>
      <c r="B918" s="6" t="s">
        <v>80</v>
      </c>
      <c r="C918" s="1" t="s">
        <v>9</v>
      </c>
      <c r="D918" s="1" t="s">
        <v>9</v>
      </c>
      <c r="E918" s="1" t="s">
        <v>9</v>
      </c>
      <c r="F918" s="6"/>
      <c r="G918" s="6"/>
      <c r="H918" s="11"/>
      <c r="I91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18" t="str">
        <f>IF(Table1[[#This Row],[Nationality]]="Nigeria",Table1[[#This Row],[EMJM Scholarship]],"Not Applicable")</f>
        <v>Not Applicable</v>
      </c>
    </row>
    <row r="919" spans="1:10" ht="19.25" hidden="1" customHeight="1" x14ac:dyDescent="0.3">
      <c r="A919" s="8">
        <v>2459643</v>
      </c>
      <c r="B919" s="6" t="s">
        <v>80</v>
      </c>
      <c r="C919" s="1" t="s">
        <v>9</v>
      </c>
      <c r="D919" s="1" t="s">
        <v>9</v>
      </c>
      <c r="E919" s="1" t="s">
        <v>9</v>
      </c>
      <c r="F919" s="6"/>
      <c r="G919" s="6"/>
      <c r="H919" s="11"/>
      <c r="I91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19" t="str">
        <f>IF(Table1[[#This Row],[Nationality]]="Nigeria",Table1[[#This Row],[EMJM Scholarship]],"Not Applicable")</f>
        <v>Not Applicable</v>
      </c>
    </row>
    <row r="920" spans="1:10" ht="19.25" hidden="1" customHeight="1" x14ac:dyDescent="0.3">
      <c r="A920" s="8">
        <v>2459655</v>
      </c>
      <c r="B920" s="6" t="s">
        <v>80</v>
      </c>
      <c r="C920" s="1" t="s">
        <v>9</v>
      </c>
      <c r="D920" s="1" t="s">
        <v>9</v>
      </c>
      <c r="E920" s="1" t="s">
        <v>9</v>
      </c>
      <c r="F920" s="6"/>
      <c r="G920" s="6"/>
      <c r="H920" s="11"/>
      <c r="I92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20" t="str">
        <f>IF(Table1[[#This Row],[Nationality]]="Nigeria",Table1[[#This Row],[EMJM Scholarship]],"Not Applicable")</f>
        <v>Not Applicable</v>
      </c>
    </row>
    <row r="921" spans="1:10" ht="19.25" hidden="1" customHeight="1" x14ac:dyDescent="0.3">
      <c r="A921" s="8">
        <v>2459670</v>
      </c>
      <c r="B921" s="6" t="s">
        <v>80</v>
      </c>
      <c r="C921" s="1" t="s">
        <v>9</v>
      </c>
      <c r="D921" s="1" t="s">
        <v>9</v>
      </c>
      <c r="E921" s="1" t="s">
        <v>9</v>
      </c>
      <c r="F921" s="6"/>
      <c r="G921" s="6"/>
      <c r="H921" s="11"/>
      <c r="I92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21" t="str">
        <f>IF(Table1[[#This Row],[Nationality]]="Nigeria",Table1[[#This Row],[EMJM Scholarship]],"Not Applicable")</f>
        <v>Not Applicable</v>
      </c>
    </row>
    <row r="922" spans="1:10" ht="19.25" hidden="1" customHeight="1" x14ac:dyDescent="0.3">
      <c r="A922" s="8">
        <v>2459743</v>
      </c>
      <c r="B922" s="6" t="s">
        <v>80</v>
      </c>
      <c r="C922" s="1" t="s">
        <v>9</v>
      </c>
      <c r="D922" s="1" t="s">
        <v>9</v>
      </c>
      <c r="E922" s="1" t="s">
        <v>9</v>
      </c>
      <c r="F922" s="6"/>
      <c r="G922" s="6"/>
      <c r="H922" s="11"/>
      <c r="I92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22" t="str">
        <f>IF(Table1[[#This Row],[Nationality]]="Nigeria",Table1[[#This Row],[EMJM Scholarship]],"Not Applicable")</f>
        <v>Not Applicable</v>
      </c>
    </row>
    <row r="923" spans="1:10" ht="19.25" hidden="1" customHeight="1" x14ac:dyDescent="0.3">
      <c r="A923" s="8">
        <v>2459767</v>
      </c>
      <c r="B923" s="6" t="s">
        <v>80</v>
      </c>
      <c r="C923" s="1" t="s">
        <v>9</v>
      </c>
      <c r="D923" s="1" t="s">
        <v>9</v>
      </c>
      <c r="E923" s="1" t="s">
        <v>9</v>
      </c>
      <c r="F923" s="6"/>
      <c r="G923" s="6"/>
      <c r="H923" s="11"/>
      <c r="I92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23" t="str">
        <f>IF(Table1[[#This Row],[Nationality]]="Nigeria",Table1[[#This Row],[EMJM Scholarship]],"Not Applicable")</f>
        <v>Not Applicable</v>
      </c>
    </row>
    <row r="924" spans="1:10" ht="19.25" hidden="1" customHeight="1" x14ac:dyDescent="0.3">
      <c r="A924" s="8">
        <v>2459786</v>
      </c>
      <c r="B924" s="6" t="s">
        <v>80</v>
      </c>
      <c r="C924" s="1" t="s">
        <v>9</v>
      </c>
      <c r="D924" s="1" t="s">
        <v>9</v>
      </c>
      <c r="E924" s="1" t="s">
        <v>9</v>
      </c>
      <c r="F924" s="6"/>
      <c r="G924" s="6"/>
      <c r="H924" s="11"/>
      <c r="I92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24" t="str">
        <f>IF(Table1[[#This Row],[Nationality]]="Nigeria",Table1[[#This Row],[EMJM Scholarship]],"Not Applicable")</f>
        <v>Not Applicable</v>
      </c>
    </row>
    <row r="925" spans="1:10" ht="19.25" hidden="1" customHeight="1" x14ac:dyDescent="0.3">
      <c r="A925" s="8">
        <v>2459794</v>
      </c>
      <c r="B925" s="6" t="s">
        <v>80</v>
      </c>
      <c r="C925" s="1" t="s">
        <v>9</v>
      </c>
      <c r="D925" s="1" t="s">
        <v>9</v>
      </c>
      <c r="E925" s="1" t="s">
        <v>9</v>
      </c>
      <c r="F925" s="6"/>
      <c r="G925" s="6"/>
      <c r="H925" s="11"/>
      <c r="I92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25" t="str">
        <f>IF(Table1[[#This Row],[Nationality]]="Nigeria",Table1[[#This Row],[EMJM Scholarship]],"Not Applicable")</f>
        <v>Not Applicable</v>
      </c>
    </row>
    <row r="926" spans="1:10" ht="19.25" hidden="1" customHeight="1" x14ac:dyDescent="0.3">
      <c r="A926" s="8">
        <v>2459868</v>
      </c>
      <c r="B926" s="6" t="s">
        <v>80</v>
      </c>
      <c r="C926" s="1" t="s">
        <v>9</v>
      </c>
      <c r="D926" s="1" t="s">
        <v>9</v>
      </c>
      <c r="E926" s="1" t="s">
        <v>9</v>
      </c>
      <c r="F926" s="6"/>
      <c r="G926" s="6"/>
      <c r="H926" s="11"/>
      <c r="I92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26" t="str">
        <f>IF(Table1[[#This Row],[Nationality]]="Nigeria",Table1[[#This Row],[EMJM Scholarship]],"Not Applicable")</f>
        <v>Not Applicable</v>
      </c>
    </row>
    <row r="927" spans="1:10" ht="19.25" hidden="1" customHeight="1" x14ac:dyDescent="0.3">
      <c r="A927" s="8">
        <v>2459909</v>
      </c>
      <c r="B927" s="6" t="s">
        <v>80</v>
      </c>
      <c r="C927" s="1" t="s">
        <v>9</v>
      </c>
      <c r="D927" s="1" t="s">
        <v>9</v>
      </c>
      <c r="E927" s="1" t="s">
        <v>9</v>
      </c>
      <c r="F927" s="6"/>
      <c r="G927" s="6"/>
      <c r="H927" s="11"/>
      <c r="I92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27" t="str">
        <f>IF(Table1[[#This Row],[Nationality]]="Nigeria",Table1[[#This Row],[EMJM Scholarship]],"Not Applicable")</f>
        <v>Not Applicable</v>
      </c>
    </row>
    <row r="928" spans="1:10" ht="19.25" hidden="1" customHeight="1" x14ac:dyDescent="0.3">
      <c r="A928" s="8">
        <v>2459916</v>
      </c>
      <c r="B928" s="6" t="s">
        <v>80</v>
      </c>
      <c r="C928" s="1" t="s">
        <v>9</v>
      </c>
      <c r="D928" s="1" t="s">
        <v>9</v>
      </c>
      <c r="E928" s="1" t="s">
        <v>9</v>
      </c>
      <c r="F928" s="6"/>
      <c r="G928" s="6"/>
      <c r="H928" s="11"/>
      <c r="I92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28" t="str">
        <f>IF(Table1[[#This Row],[Nationality]]="Nigeria",Table1[[#This Row],[EMJM Scholarship]],"Not Applicable")</f>
        <v>Not Applicable</v>
      </c>
    </row>
    <row r="929" spans="1:10" ht="19.25" hidden="1" customHeight="1" x14ac:dyDescent="0.3">
      <c r="A929" s="8">
        <v>2459941</v>
      </c>
      <c r="B929" s="6" t="s">
        <v>80</v>
      </c>
      <c r="C929" s="1" t="s">
        <v>9</v>
      </c>
      <c r="D929" s="1" t="s">
        <v>9</v>
      </c>
      <c r="E929" s="1" t="s">
        <v>9</v>
      </c>
      <c r="F929" s="6"/>
      <c r="G929" s="6"/>
      <c r="H929" s="11"/>
      <c r="I92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29" t="str">
        <f>IF(Table1[[#This Row],[Nationality]]="Nigeria",Table1[[#This Row],[EMJM Scholarship]],"Not Applicable")</f>
        <v>Not Applicable</v>
      </c>
    </row>
    <row r="930" spans="1:10" ht="19.25" hidden="1" customHeight="1" x14ac:dyDescent="0.3">
      <c r="A930" s="8">
        <v>2460080</v>
      </c>
      <c r="B930" s="6" t="s">
        <v>80</v>
      </c>
      <c r="C930" s="1" t="s">
        <v>9</v>
      </c>
      <c r="D930" s="1" t="s">
        <v>9</v>
      </c>
      <c r="E930" s="1" t="s">
        <v>9</v>
      </c>
      <c r="F930" s="6"/>
      <c r="G930" s="6"/>
      <c r="H930" s="11"/>
      <c r="I93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30" t="str">
        <f>IF(Table1[[#This Row],[Nationality]]="Nigeria",Table1[[#This Row],[EMJM Scholarship]],"Not Applicable")</f>
        <v>Not Applicable</v>
      </c>
    </row>
    <row r="931" spans="1:10" ht="19.25" hidden="1" customHeight="1" x14ac:dyDescent="0.3">
      <c r="A931" s="8">
        <v>2460090</v>
      </c>
      <c r="B931" s="6" t="s">
        <v>80</v>
      </c>
      <c r="C931" s="1" t="s">
        <v>9</v>
      </c>
      <c r="D931" s="1" t="s">
        <v>9</v>
      </c>
      <c r="E931" s="1" t="s">
        <v>9</v>
      </c>
      <c r="F931" s="6"/>
      <c r="G931" s="6"/>
      <c r="H931" s="11"/>
      <c r="I93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31" t="str">
        <f>IF(Table1[[#This Row],[Nationality]]="Nigeria",Table1[[#This Row],[EMJM Scholarship]],"Not Applicable")</f>
        <v>Not Applicable</v>
      </c>
    </row>
    <row r="932" spans="1:10" ht="19.25" hidden="1" customHeight="1" x14ac:dyDescent="0.3">
      <c r="A932" s="8">
        <v>2460110</v>
      </c>
      <c r="B932" s="6" t="s">
        <v>80</v>
      </c>
      <c r="C932" s="1" t="s">
        <v>9</v>
      </c>
      <c r="D932" s="1" t="s">
        <v>9</v>
      </c>
      <c r="E932" s="1" t="s">
        <v>9</v>
      </c>
      <c r="F932" s="6"/>
      <c r="G932" s="6"/>
      <c r="H932" s="11"/>
      <c r="I93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32" t="str">
        <f>IF(Table1[[#This Row],[Nationality]]="Nigeria",Table1[[#This Row],[EMJM Scholarship]],"Not Applicable")</f>
        <v>Not Applicable</v>
      </c>
    </row>
    <row r="933" spans="1:10" ht="19.25" hidden="1" customHeight="1" x14ac:dyDescent="0.3">
      <c r="A933" s="8">
        <v>2460119</v>
      </c>
      <c r="B933" s="6" t="s">
        <v>80</v>
      </c>
      <c r="C933" s="1" t="s">
        <v>9</v>
      </c>
      <c r="D933" s="1" t="s">
        <v>9</v>
      </c>
      <c r="E933" s="1" t="s">
        <v>9</v>
      </c>
      <c r="F933" s="6"/>
      <c r="G933" s="6"/>
      <c r="H933" s="11"/>
      <c r="I93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33" t="str">
        <f>IF(Table1[[#This Row],[Nationality]]="Nigeria",Table1[[#This Row],[EMJM Scholarship]],"Not Applicable")</f>
        <v>Not Applicable</v>
      </c>
    </row>
    <row r="934" spans="1:10" ht="19.25" hidden="1" customHeight="1" x14ac:dyDescent="0.3">
      <c r="A934" s="8">
        <v>2460122</v>
      </c>
      <c r="B934" s="6" t="s">
        <v>80</v>
      </c>
      <c r="C934" s="1" t="s">
        <v>9</v>
      </c>
      <c r="D934" s="1" t="s">
        <v>9</v>
      </c>
      <c r="E934" s="1" t="s">
        <v>9</v>
      </c>
      <c r="F934" s="6"/>
      <c r="G934" s="6"/>
      <c r="H934" s="11"/>
      <c r="I93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34" t="str">
        <f>IF(Table1[[#This Row],[Nationality]]="Nigeria",Table1[[#This Row],[EMJM Scholarship]],"Not Applicable")</f>
        <v>Not Applicable</v>
      </c>
    </row>
    <row r="935" spans="1:10" ht="19.25" hidden="1" customHeight="1" x14ac:dyDescent="0.3">
      <c r="A935" s="8">
        <v>2460265</v>
      </c>
      <c r="B935" s="6" t="s">
        <v>80</v>
      </c>
      <c r="C935" s="1" t="s">
        <v>9</v>
      </c>
      <c r="D935" s="1" t="s">
        <v>9</v>
      </c>
      <c r="E935" s="1" t="s">
        <v>9</v>
      </c>
      <c r="F935" s="6"/>
      <c r="G935" s="6"/>
      <c r="H935" s="11"/>
      <c r="I93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35" t="str">
        <f>IF(Table1[[#This Row],[Nationality]]="Nigeria",Table1[[#This Row],[EMJM Scholarship]],"Not Applicable")</f>
        <v>Not Applicable</v>
      </c>
    </row>
    <row r="936" spans="1:10" ht="19.25" hidden="1" customHeight="1" x14ac:dyDescent="0.3">
      <c r="A936" s="8">
        <v>2460277</v>
      </c>
      <c r="B936" s="6" t="s">
        <v>80</v>
      </c>
      <c r="C936" s="1" t="s">
        <v>9</v>
      </c>
      <c r="D936" s="1" t="s">
        <v>9</v>
      </c>
      <c r="E936" s="1" t="s">
        <v>9</v>
      </c>
      <c r="F936" s="6"/>
      <c r="G936" s="6"/>
      <c r="H936" s="11"/>
      <c r="I93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36" t="str">
        <f>IF(Table1[[#This Row],[Nationality]]="Nigeria",Table1[[#This Row],[EMJM Scholarship]],"Not Applicable")</f>
        <v>Not Applicable</v>
      </c>
    </row>
    <row r="937" spans="1:10" ht="19.25" hidden="1" customHeight="1" x14ac:dyDescent="0.3">
      <c r="A937" s="8">
        <v>2460287</v>
      </c>
      <c r="B937" s="6" t="s">
        <v>80</v>
      </c>
      <c r="C937" s="1" t="s">
        <v>9</v>
      </c>
      <c r="D937" s="1" t="s">
        <v>9</v>
      </c>
      <c r="E937" s="1" t="s">
        <v>9</v>
      </c>
      <c r="F937" s="6"/>
      <c r="G937" s="6"/>
      <c r="H937" s="11"/>
      <c r="I93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37" t="str">
        <f>IF(Table1[[#This Row],[Nationality]]="Nigeria",Table1[[#This Row],[EMJM Scholarship]],"Not Applicable")</f>
        <v>Not Applicable</v>
      </c>
    </row>
    <row r="938" spans="1:10" ht="19.25" hidden="1" customHeight="1" x14ac:dyDescent="0.3">
      <c r="A938" s="8">
        <v>2460338</v>
      </c>
      <c r="B938" s="6" t="s">
        <v>80</v>
      </c>
      <c r="C938" s="1" t="s">
        <v>9</v>
      </c>
      <c r="D938" s="1" t="s">
        <v>9</v>
      </c>
      <c r="E938" s="1" t="s">
        <v>9</v>
      </c>
      <c r="F938" s="6"/>
      <c r="G938" s="6"/>
      <c r="H938" s="11"/>
      <c r="I93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38" t="str">
        <f>IF(Table1[[#This Row],[Nationality]]="Nigeria",Table1[[#This Row],[EMJM Scholarship]],"Not Applicable")</f>
        <v>Not Applicable</v>
      </c>
    </row>
    <row r="939" spans="1:10" ht="19.25" hidden="1" customHeight="1" x14ac:dyDescent="0.3">
      <c r="A939" s="8">
        <v>2460340</v>
      </c>
      <c r="B939" s="6" t="s">
        <v>80</v>
      </c>
      <c r="C939" s="1" t="s">
        <v>9</v>
      </c>
      <c r="D939" s="1" t="s">
        <v>9</v>
      </c>
      <c r="E939" s="1" t="s">
        <v>9</v>
      </c>
      <c r="F939" s="6"/>
      <c r="G939" s="6"/>
      <c r="H939" s="11"/>
      <c r="I93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39" t="str">
        <f>IF(Table1[[#This Row],[Nationality]]="Nigeria",Table1[[#This Row],[EMJM Scholarship]],"Not Applicable")</f>
        <v>Not Applicable</v>
      </c>
    </row>
    <row r="940" spans="1:10" ht="19.25" hidden="1" customHeight="1" x14ac:dyDescent="0.3">
      <c r="A940" s="8">
        <v>2460356</v>
      </c>
      <c r="B940" s="6" t="s">
        <v>80</v>
      </c>
      <c r="C940" s="1" t="s">
        <v>9</v>
      </c>
      <c r="D940" s="1" t="s">
        <v>9</v>
      </c>
      <c r="E940" s="1" t="s">
        <v>9</v>
      </c>
      <c r="F940" s="6"/>
      <c r="G940" s="6"/>
      <c r="H940" s="11"/>
      <c r="I94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40" t="str">
        <f>IF(Table1[[#This Row],[Nationality]]="Nigeria",Table1[[#This Row],[EMJM Scholarship]],"Not Applicable")</f>
        <v>Not Applicable</v>
      </c>
    </row>
    <row r="941" spans="1:10" ht="19.25" hidden="1" customHeight="1" x14ac:dyDescent="0.3">
      <c r="A941" s="8">
        <v>2460391</v>
      </c>
      <c r="B941" s="6" t="s">
        <v>80</v>
      </c>
      <c r="C941" s="1" t="s">
        <v>9</v>
      </c>
      <c r="D941" s="1" t="s">
        <v>9</v>
      </c>
      <c r="E941" s="1" t="s">
        <v>9</v>
      </c>
      <c r="F941" s="6"/>
      <c r="G941" s="6"/>
      <c r="H941" s="11"/>
      <c r="I94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41" t="str">
        <f>IF(Table1[[#This Row],[Nationality]]="Nigeria",Table1[[#This Row],[EMJM Scholarship]],"Not Applicable")</f>
        <v>Not Applicable</v>
      </c>
    </row>
    <row r="942" spans="1:10" ht="19.25" hidden="1" customHeight="1" x14ac:dyDescent="0.3">
      <c r="A942" s="8">
        <v>2460403</v>
      </c>
      <c r="B942" s="6" t="s">
        <v>80</v>
      </c>
      <c r="C942" s="1" t="s">
        <v>9</v>
      </c>
      <c r="D942" s="1" t="s">
        <v>9</v>
      </c>
      <c r="E942" s="1" t="s">
        <v>9</v>
      </c>
      <c r="F942" s="6"/>
      <c r="G942" s="6"/>
      <c r="H942" s="11"/>
      <c r="I94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42" t="str">
        <f>IF(Table1[[#This Row],[Nationality]]="Nigeria",Table1[[#This Row],[EMJM Scholarship]],"Not Applicable")</f>
        <v>Not Applicable</v>
      </c>
    </row>
    <row r="943" spans="1:10" ht="19.25" hidden="1" customHeight="1" x14ac:dyDescent="0.3">
      <c r="A943" s="8">
        <v>2460426</v>
      </c>
      <c r="B943" s="6" t="s">
        <v>80</v>
      </c>
      <c r="C943" s="1" t="s">
        <v>9</v>
      </c>
      <c r="D943" s="1" t="s">
        <v>9</v>
      </c>
      <c r="E943" s="1" t="s">
        <v>9</v>
      </c>
      <c r="F943" s="6"/>
      <c r="G943" s="6"/>
      <c r="H943" s="11"/>
      <c r="I94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43" t="str">
        <f>IF(Table1[[#This Row],[Nationality]]="Nigeria",Table1[[#This Row],[EMJM Scholarship]],"Not Applicable")</f>
        <v>Not Applicable</v>
      </c>
    </row>
    <row r="944" spans="1:10" ht="19.25" hidden="1" customHeight="1" x14ac:dyDescent="0.3">
      <c r="A944" s="8">
        <v>2460721</v>
      </c>
      <c r="B944" s="6" t="s">
        <v>80</v>
      </c>
      <c r="C944" s="1" t="s">
        <v>9</v>
      </c>
      <c r="D944" s="1" t="s">
        <v>9</v>
      </c>
      <c r="E944" s="1" t="s">
        <v>9</v>
      </c>
      <c r="F944" s="6"/>
      <c r="G944" s="6"/>
      <c r="H944" s="11"/>
      <c r="I94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44" t="str">
        <f>IF(Table1[[#This Row],[Nationality]]="Nigeria",Table1[[#This Row],[EMJM Scholarship]],"Not Applicable")</f>
        <v>Not Applicable</v>
      </c>
    </row>
    <row r="945" spans="1:10" ht="19.25" hidden="1" customHeight="1" x14ac:dyDescent="0.3">
      <c r="A945" s="8">
        <v>2460722</v>
      </c>
      <c r="B945" s="6" t="s">
        <v>80</v>
      </c>
      <c r="C945" s="1" t="s">
        <v>9</v>
      </c>
      <c r="D945" s="1" t="s">
        <v>9</v>
      </c>
      <c r="E945" s="1" t="s">
        <v>9</v>
      </c>
      <c r="F945" s="6"/>
      <c r="G945" s="6"/>
      <c r="H945" s="11"/>
      <c r="I94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45" t="str">
        <f>IF(Table1[[#This Row],[Nationality]]="Nigeria",Table1[[#This Row],[EMJM Scholarship]],"Not Applicable")</f>
        <v>Not Applicable</v>
      </c>
    </row>
    <row r="946" spans="1:10" ht="19.25" hidden="1" customHeight="1" x14ac:dyDescent="0.3">
      <c r="A946" s="8">
        <v>2460766</v>
      </c>
      <c r="B946" s="6" t="s">
        <v>80</v>
      </c>
      <c r="C946" s="1" t="s">
        <v>9</v>
      </c>
      <c r="D946" s="1" t="s">
        <v>9</v>
      </c>
      <c r="E946" s="1" t="s">
        <v>9</v>
      </c>
      <c r="F946" s="6"/>
      <c r="G946" s="6"/>
      <c r="H946" s="11"/>
      <c r="I94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46" t="str">
        <f>IF(Table1[[#This Row],[Nationality]]="Nigeria",Table1[[#This Row],[EMJM Scholarship]],"Not Applicable")</f>
        <v>Not Applicable</v>
      </c>
    </row>
    <row r="947" spans="1:10" ht="19.25" hidden="1" customHeight="1" x14ac:dyDescent="0.3">
      <c r="A947" s="8">
        <v>2460902</v>
      </c>
      <c r="B947" s="6" t="s">
        <v>80</v>
      </c>
      <c r="C947" s="1" t="s">
        <v>9</v>
      </c>
      <c r="D947" s="1" t="s">
        <v>9</v>
      </c>
      <c r="E947" s="1" t="s">
        <v>9</v>
      </c>
      <c r="F947" s="6"/>
      <c r="G947" s="6"/>
      <c r="H947" s="11"/>
      <c r="I94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47" t="str">
        <f>IF(Table1[[#This Row],[Nationality]]="Nigeria",Table1[[#This Row],[EMJM Scholarship]],"Not Applicable")</f>
        <v>Not Applicable</v>
      </c>
    </row>
    <row r="948" spans="1:10" ht="19.25" hidden="1" customHeight="1" x14ac:dyDescent="0.3">
      <c r="A948" s="8">
        <v>2460942</v>
      </c>
      <c r="B948" s="6" t="s">
        <v>80</v>
      </c>
      <c r="C948" s="1" t="s">
        <v>9</v>
      </c>
      <c r="D948" s="1" t="s">
        <v>9</v>
      </c>
      <c r="E948" s="1" t="s">
        <v>9</v>
      </c>
      <c r="F948" s="6"/>
      <c r="G948" s="6"/>
      <c r="H948" s="11"/>
      <c r="I94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48" t="str">
        <f>IF(Table1[[#This Row],[Nationality]]="Nigeria",Table1[[#This Row],[EMJM Scholarship]],"Not Applicable")</f>
        <v>Not Applicable</v>
      </c>
    </row>
    <row r="949" spans="1:10" ht="19.25" hidden="1" customHeight="1" x14ac:dyDescent="0.3">
      <c r="A949" s="8">
        <v>2460943</v>
      </c>
      <c r="B949" s="6" t="s">
        <v>80</v>
      </c>
      <c r="C949" s="1" t="s">
        <v>9</v>
      </c>
      <c r="D949" s="1" t="s">
        <v>9</v>
      </c>
      <c r="E949" s="1" t="s">
        <v>9</v>
      </c>
      <c r="F949" s="6"/>
      <c r="G949" s="6"/>
      <c r="H949" s="11"/>
      <c r="I94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49" t="str">
        <f>IF(Table1[[#This Row],[Nationality]]="Nigeria",Table1[[#This Row],[EMJM Scholarship]],"Not Applicable")</f>
        <v>Not Applicable</v>
      </c>
    </row>
    <row r="950" spans="1:10" ht="19.25" hidden="1" customHeight="1" x14ac:dyDescent="0.3">
      <c r="A950" s="8">
        <v>2460950</v>
      </c>
      <c r="B950" s="6" t="s">
        <v>80</v>
      </c>
      <c r="C950" s="1" t="s">
        <v>9</v>
      </c>
      <c r="D950" s="1" t="s">
        <v>9</v>
      </c>
      <c r="E950" s="1" t="s">
        <v>9</v>
      </c>
      <c r="F950" s="6"/>
      <c r="G950" s="6"/>
      <c r="H950" s="11"/>
      <c r="I95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50" t="str">
        <f>IF(Table1[[#This Row],[Nationality]]="Nigeria",Table1[[#This Row],[EMJM Scholarship]],"Not Applicable")</f>
        <v>Not Applicable</v>
      </c>
    </row>
    <row r="951" spans="1:10" ht="19.25" hidden="1" customHeight="1" x14ac:dyDescent="0.3">
      <c r="A951" s="8">
        <v>2460952</v>
      </c>
      <c r="B951" s="6" t="s">
        <v>80</v>
      </c>
      <c r="C951" s="1" t="s">
        <v>9</v>
      </c>
      <c r="D951" s="1" t="s">
        <v>9</v>
      </c>
      <c r="E951" s="1" t="s">
        <v>9</v>
      </c>
      <c r="F951" s="6"/>
      <c r="G951" s="6"/>
      <c r="H951" s="11"/>
      <c r="I95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51" t="str">
        <f>IF(Table1[[#This Row],[Nationality]]="Nigeria",Table1[[#This Row],[EMJM Scholarship]],"Not Applicable")</f>
        <v>Not Applicable</v>
      </c>
    </row>
    <row r="952" spans="1:10" ht="19.25" hidden="1" customHeight="1" x14ac:dyDescent="0.3">
      <c r="A952" s="8">
        <v>2461002</v>
      </c>
      <c r="B952" s="6" t="s">
        <v>80</v>
      </c>
      <c r="C952" s="1" t="s">
        <v>9</v>
      </c>
      <c r="D952" s="1" t="s">
        <v>9</v>
      </c>
      <c r="E952" s="1" t="s">
        <v>9</v>
      </c>
      <c r="F952" s="6"/>
      <c r="G952" s="6"/>
      <c r="H952" s="11"/>
      <c r="I95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52" t="str">
        <f>IF(Table1[[#This Row],[Nationality]]="Nigeria",Table1[[#This Row],[EMJM Scholarship]],"Not Applicable")</f>
        <v>Not Applicable</v>
      </c>
    </row>
    <row r="953" spans="1:10" ht="19.25" hidden="1" customHeight="1" x14ac:dyDescent="0.3">
      <c r="A953" s="8">
        <v>2461035</v>
      </c>
      <c r="B953" s="6" t="s">
        <v>80</v>
      </c>
      <c r="C953" s="1" t="s">
        <v>9</v>
      </c>
      <c r="D953" s="1" t="s">
        <v>9</v>
      </c>
      <c r="E953" s="1" t="s">
        <v>9</v>
      </c>
      <c r="F953" s="6"/>
      <c r="G953" s="6"/>
      <c r="H953" s="11"/>
      <c r="I95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53" t="str">
        <f>IF(Table1[[#This Row],[Nationality]]="Nigeria",Table1[[#This Row],[EMJM Scholarship]],"Not Applicable")</f>
        <v>Not Applicable</v>
      </c>
    </row>
    <row r="954" spans="1:10" ht="19.25" hidden="1" customHeight="1" x14ac:dyDescent="0.3">
      <c r="A954" s="8">
        <v>2461039</v>
      </c>
      <c r="B954" s="6" t="s">
        <v>80</v>
      </c>
      <c r="C954" s="1" t="s">
        <v>9</v>
      </c>
      <c r="D954" s="1" t="s">
        <v>9</v>
      </c>
      <c r="E954" s="1" t="s">
        <v>9</v>
      </c>
      <c r="F954" s="6"/>
      <c r="G954" s="6"/>
      <c r="H954" s="11"/>
      <c r="I95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54" t="str">
        <f>IF(Table1[[#This Row],[Nationality]]="Nigeria",Table1[[#This Row],[EMJM Scholarship]],"Not Applicable")</f>
        <v>Not Applicable</v>
      </c>
    </row>
    <row r="955" spans="1:10" ht="19.25" hidden="1" customHeight="1" x14ac:dyDescent="0.3">
      <c r="A955" s="8">
        <v>2461064</v>
      </c>
      <c r="B955" s="6" t="s">
        <v>80</v>
      </c>
      <c r="C955" s="1" t="s">
        <v>9</v>
      </c>
      <c r="D955" s="1" t="s">
        <v>9</v>
      </c>
      <c r="E955" s="1" t="s">
        <v>9</v>
      </c>
      <c r="F955" s="6"/>
      <c r="G955" s="6"/>
      <c r="H955" s="11"/>
      <c r="I95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55" t="str">
        <f>IF(Table1[[#This Row],[Nationality]]="Nigeria",Table1[[#This Row],[EMJM Scholarship]],"Not Applicable")</f>
        <v>Not Applicable</v>
      </c>
    </row>
    <row r="956" spans="1:10" ht="19.25" hidden="1" customHeight="1" x14ac:dyDescent="0.3">
      <c r="A956" s="8">
        <v>2461074</v>
      </c>
      <c r="B956" s="6" t="s">
        <v>80</v>
      </c>
      <c r="C956" s="1" t="s">
        <v>9</v>
      </c>
      <c r="D956" s="1" t="s">
        <v>9</v>
      </c>
      <c r="E956" s="1" t="s">
        <v>9</v>
      </c>
      <c r="F956" s="6"/>
      <c r="G956" s="6"/>
      <c r="H956" s="11"/>
      <c r="I95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56" t="str">
        <f>IF(Table1[[#This Row],[Nationality]]="Nigeria",Table1[[#This Row],[EMJM Scholarship]],"Not Applicable")</f>
        <v>Not Applicable</v>
      </c>
    </row>
    <row r="957" spans="1:10" ht="19.25" hidden="1" customHeight="1" x14ac:dyDescent="0.3">
      <c r="A957" s="8">
        <v>2461149</v>
      </c>
      <c r="B957" s="6" t="s">
        <v>80</v>
      </c>
      <c r="C957" s="1" t="s">
        <v>9</v>
      </c>
      <c r="D957" s="1" t="s">
        <v>9</v>
      </c>
      <c r="E957" s="1" t="s">
        <v>9</v>
      </c>
      <c r="F957" s="6"/>
      <c r="G957" s="6"/>
      <c r="H957" s="11"/>
      <c r="I95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57" t="str">
        <f>IF(Table1[[#This Row],[Nationality]]="Nigeria",Table1[[#This Row],[EMJM Scholarship]],"Not Applicable")</f>
        <v>Not Applicable</v>
      </c>
    </row>
    <row r="958" spans="1:10" ht="19.25" hidden="1" customHeight="1" x14ac:dyDescent="0.3">
      <c r="A958" s="8">
        <v>2461219</v>
      </c>
      <c r="B958" s="6" t="s">
        <v>80</v>
      </c>
      <c r="C958" s="1" t="s">
        <v>9</v>
      </c>
      <c r="D958" s="1" t="s">
        <v>9</v>
      </c>
      <c r="E958" s="1" t="s">
        <v>9</v>
      </c>
      <c r="F958" s="6"/>
      <c r="G958" s="6"/>
      <c r="H958" s="11"/>
      <c r="I95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58" t="str">
        <f>IF(Table1[[#This Row],[Nationality]]="Nigeria",Table1[[#This Row],[EMJM Scholarship]],"Not Applicable")</f>
        <v>Not Applicable</v>
      </c>
    </row>
    <row r="959" spans="1:10" ht="19.25" hidden="1" customHeight="1" x14ac:dyDescent="0.3">
      <c r="A959" s="8">
        <v>2461223</v>
      </c>
      <c r="B959" s="6" t="s">
        <v>80</v>
      </c>
      <c r="C959" s="1" t="s">
        <v>9</v>
      </c>
      <c r="D959" s="1" t="s">
        <v>9</v>
      </c>
      <c r="E959" s="1" t="s">
        <v>9</v>
      </c>
      <c r="F959" s="6"/>
      <c r="G959" s="6"/>
      <c r="H959" s="11"/>
      <c r="I95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59" t="str">
        <f>IF(Table1[[#This Row],[Nationality]]="Nigeria",Table1[[#This Row],[EMJM Scholarship]],"Not Applicable")</f>
        <v>Not Applicable</v>
      </c>
    </row>
    <row r="960" spans="1:10" ht="19.25" hidden="1" customHeight="1" x14ac:dyDescent="0.3">
      <c r="A960" s="8">
        <v>2461226</v>
      </c>
      <c r="B960" s="6" t="s">
        <v>80</v>
      </c>
      <c r="C960" s="1" t="s">
        <v>9</v>
      </c>
      <c r="D960" s="1" t="s">
        <v>9</v>
      </c>
      <c r="E960" s="1" t="s">
        <v>9</v>
      </c>
      <c r="F960" s="6"/>
      <c r="G960" s="6"/>
      <c r="H960" s="11"/>
      <c r="I96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60" t="str">
        <f>IF(Table1[[#This Row],[Nationality]]="Nigeria",Table1[[#This Row],[EMJM Scholarship]],"Not Applicable")</f>
        <v>Not Applicable</v>
      </c>
    </row>
    <row r="961" spans="1:10" ht="19.25" hidden="1" customHeight="1" x14ac:dyDescent="0.3">
      <c r="A961" s="8">
        <v>2461247</v>
      </c>
      <c r="B961" s="6" t="s">
        <v>80</v>
      </c>
      <c r="C961" s="1" t="s">
        <v>9</v>
      </c>
      <c r="D961" s="1" t="s">
        <v>9</v>
      </c>
      <c r="E961" s="1" t="s">
        <v>9</v>
      </c>
      <c r="F961" s="6"/>
      <c r="G961" s="6"/>
      <c r="H961" s="11"/>
      <c r="I96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61" t="str">
        <f>IF(Table1[[#This Row],[Nationality]]="Nigeria",Table1[[#This Row],[EMJM Scholarship]],"Not Applicable")</f>
        <v>Not Applicable</v>
      </c>
    </row>
    <row r="962" spans="1:10" ht="19.25" hidden="1" customHeight="1" x14ac:dyDescent="0.3">
      <c r="A962" s="8">
        <v>2461303</v>
      </c>
      <c r="B962" s="6" t="s">
        <v>80</v>
      </c>
      <c r="C962" s="1" t="s">
        <v>9</v>
      </c>
      <c r="D962" s="1" t="s">
        <v>9</v>
      </c>
      <c r="E962" s="1" t="s">
        <v>9</v>
      </c>
      <c r="F962" s="6"/>
      <c r="G962" s="6"/>
      <c r="H962" s="11"/>
      <c r="I96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62" t="str">
        <f>IF(Table1[[#This Row],[Nationality]]="Nigeria",Table1[[#This Row],[EMJM Scholarship]],"Not Applicable")</f>
        <v>Not Applicable</v>
      </c>
    </row>
    <row r="963" spans="1:10" ht="19.25" hidden="1" customHeight="1" x14ac:dyDescent="0.3">
      <c r="A963" s="8">
        <v>2461310</v>
      </c>
      <c r="B963" s="6" t="s">
        <v>80</v>
      </c>
      <c r="C963" s="1" t="s">
        <v>9</v>
      </c>
      <c r="D963" s="1" t="s">
        <v>9</v>
      </c>
      <c r="E963" s="1" t="s">
        <v>9</v>
      </c>
      <c r="F963" s="6"/>
      <c r="G963" s="6"/>
      <c r="H963" s="11"/>
      <c r="I96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63" t="str">
        <f>IF(Table1[[#This Row],[Nationality]]="Nigeria",Table1[[#This Row],[EMJM Scholarship]],"Not Applicable")</f>
        <v>Not Applicable</v>
      </c>
    </row>
    <row r="964" spans="1:10" ht="19.25" hidden="1" customHeight="1" x14ac:dyDescent="0.3">
      <c r="A964" s="8">
        <v>2461315</v>
      </c>
      <c r="B964" s="6" t="s">
        <v>80</v>
      </c>
      <c r="C964" s="1" t="s">
        <v>9</v>
      </c>
      <c r="D964" s="1" t="s">
        <v>9</v>
      </c>
      <c r="E964" s="1" t="s">
        <v>9</v>
      </c>
      <c r="F964" s="6"/>
      <c r="G964" s="6"/>
      <c r="H964" s="11"/>
      <c r="I96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64" t="str">
        <f>IF(Table1[[#This Row],[Nationality]]="Nigeria",Table1[[#This Row],[EMJM Scholarship]],"Not Applicable")</f>
        <v>Not Applicable</v>
      </c>
    </row>
    <row r="965" spans="1:10" ht="19.25" hidden="1" customHeight="1" x14ac:dyDescent="0.3">
      <c r="A965" s="8">
        <v>2461321</v>
      </c>
      <c r="B965" s="6" t="s">
        <v>80</v>
      </c>
      <c r="C965" s="1" t="s">
        <v>9</v>
      </c>
      <c r="D965" s="1" t="s">
        <v>9</v>
      </c>
      <c r="E965" s="1" t="s">
        <v>9</v>
      </c>
      <c r="F965" s="6"/>
      <c r="G965" s="6"/>
      <c r="H965" s="11"/>
      <c r="I96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65" t="str">
        <f>IF(Table1[[#This Row],[Nationality]]="Nigeria",Table1[[#This Row],[EMJM Scholarship]],"Not Applicable")</f>
        <v>Not Applicable</v>
      </c>
    </row>
    <row r="966" spans="1:10" ht="19.25" hidden="1" customHeight="1" x14ac:dyDescent="0.3">
      <c r="A966" s="8">
        <v>2461333</v>
      </c>
      <c r="B966" s="6" t="s">
        <v>80</v>
      </c>
      <c r="C966" s="1" t="s">
        <v>9</v>
      </c>
      <c r="D966" s="1" t="s">
        <v>9</v>
      </c>
      <c r="E966" s="1" t="s">
        <v>9</v>
      </c>
      <c r="F966" s="6"/>
      <c r="G966" s="6"/>
      <c r="H966" s="11"/>
      <c r="I96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66" t="str">
        <f>IF(Table1[[#This Row],[Nationality]]="Nigeria",Table1[[#This Row],[EMJM Scholarship]],"Not Applicable")</f>
        <v>Not Applicable</v>
      </c>
    </row>
    <row r="967" spans="1:10" ht="19.25" hidden="1" customHeight="1" x14ac:dyDescent="0.3">
      <c r="A967" s="8">
        <v>2461397</v>
      </c>
      <c r="B967" s="6" t="s">
        <v>80</v>
      </c>
      <c r="C967" s="1" t="s">
        <v>9</v>
      </c>
      <c r="D967" s="1" t="s">
        <v>9</v>
      </c>
      <c r="E967" s="1" t="s">
        <v>9</v>
      </c>
      <c r="F967" s="6"/>
      <c r="G967" s="6"/>
      <c r="H967" s="11"/>
      <c r="I96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67" t="str">
        <f>IF(Table1[[#This Row],[Nationality]]="Nigeria",Table1[[#This Row],[EMJM Scholarship]],"Not Applicable")</f>
        <v>Not Applicable</v>
      </c>
    </row>
    <row r="968" spans="1:10" ht="19.25" hidden="1" customHeight="1" x14ac:dyDescent="0.3">
      <c r="A968" s="8">
        <v>2461408</v>
      </c>
      <c r="B968" s="6" t="s">
        <v>80</v>
      </c>
      <c r="C968" s="1" t="s">
        <v>9</v>
      </c>
      <c r="D968" s="1" t="s">
        <v>9</v>
      </c>
      <c r="E968" s="1" t="s">
        <v>9</v>
      </c>
      <c r="F968" s="6"/>
      <c r="G968" s="6"/>
      <c r="H968" s="11"/>
      <c r="I96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68" t="str">
        <f>IF(Table1[[#This Row],[Nationality]]="Nigeria",Table1[[#This Row],[EMJM Scholarship]],"Not Applicable")</f>
        <v>Not Applicable</v>
      </c>
    </row>
    <row r="969" spans="1:10" ht="19.25" hidden="1" customHeight="1" x14ac:dyDescent="0.3">
      <c r="A969" s="8">
        <v>2461504</v>
      </c>
      <c r="B969" s="6" t="s">
        <v>80</v>
      </c>
      <c r="C969" s="1" t="s">
        <v>9</v>
      </c>
      <c r="D969" s="1" t="s">
        <v>9</v>
      </c>
      <c r="E969" s="1" t="s">
        <v>9</v>
      </c>
      <c r="F969" s="6"/>
      <c r="G969" s="6"/>
      <c r="H969" s="11"/>
      <c r="I96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69" t="str">
        <f>IF(Table1[[#This Row],[Nationality]]="Nigeria",Table1[[#This Row],[EMJM Scholarship]],"Not Applicable")</f>
        <v>Not Applicable</v>
      </c>
    </row>
    <row r="970" spans="1:10" ht="19.25" hidden="1" customHeight="1" x14ac:dyDescent="0.3">
      <c r="A970" s="8">
        <v>2461541</v>
      </c>
      <c r="B970" s="6" t="s">
        <v>80</v>
      </c>
      <c r="C970" s="1" t="s">
        <v>9</v>
      </c>
      <c r="D970" s="1" t="s">
        <v>9</v>
      </c>
      <c r="E970" s="1" t="s">
        <v>9</v>
      </c>
      <c r="F970" s="6"/>
      <c r="G970" s="6"/>
      <c r="H970" s="11"/>
      <c r="I97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70" t="str">
        <f>IF(Table1[[#This Row],[Nationality]]="Nigeria",Table1[[#This Row],[EMJM Scholarship]],"Not Applicable")</f>
        <v>Not Applicable</v>
      </c>
    </row>
    <row r="971" spans="1:10" ht="19.25" hidden="1" customHeight="1" x14ac:dyDescent="0.3">
      <c r="A971" s="8">
        <v>2461572</v>
      </c>
      <c r="B971" s="6" t="s">
        <v>80</v>
      </c>
      <c r="C971" s="1" t="s">
        <v>9</v>
      </c>
      <c r="D971" s="1" t="s">
        <v>9</v>
      </c>
      <c r="E971" s="1" t="s">
        <v>9</v>
      </c>
      <c r="F971" s="6"/>
      <c r="G971" s="6"/>
      <c r="H971" s="11"/>
      <c r="I97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71" t="str">
        <f>IF(Table1[[#This Row],[Nationality]]="Nigeria",Table1[[#This Row],[EMJM Scholarship]],"Not Applicable")</f>
        <v>Not Applicable</v>
      </c>
    </row>
    <row r="972" spans="1:10" ht="19.25" hidden="1" customHeight="1" x14ac:dyDescent="0.3">
      <c r="A972" s="8">
        <v>2461613</v>
      </c>
      <c r="B972" s="6" t="s">
        <v>80</v>
      </c>
      <c r="C972" s="1" t="s">
        <v>9</v>
      </c>
      <c r="D972" s="1" t="s">
        <v>9</v>
      </c>
      <c r="E972" s="1" t="s">
        <v>9</v>
      </c>
      <c r="F972" s="6"/>
      <c r="G972" s="6"/>
      <c r="H972" s="11"/>
      <c r="I97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72" t="str">
        <f>IF(Table1[[#This Row],[Nationality]]="Nigeria",Table1[[#This Row],[EMJM Scholarship]],"Not Applicable")</f>
        <v>Not Applicable</v>
      </c>
    </row>
    <row r="973" spans="1:10" ht="19.25" hidden="1" customHeight="1" x14ac:dyDescent="0.3">
      <c r="A973" s="8">
        <v>2461621</v>
      </c>
      <c r="B973" s="6" t="s">
        <v>80</v>
      </c>
      <c r="C973" s="1" t="s">
        <v>9</v>
      </c>
      <c r="D973" s="1" t="s">
        <v>9</v>
      </c>
      <c r="E973" s="1" t="s">
        <v>9</v>
      </c>
      <c r="F973" s="6"/>
      <c r="G973" s="6"/>
      <c r="H973" s="11"/>
      <c r="I97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73" t="str">
        <f>IF(Table1[[#This Row],[Nationality]]="Nigeria",Table1[[#This Row],[EMJM Scholarship]],"Not Applicable")</f>
        <v>Not Applicable</v>
      </c>
    </row>
    <row r="974" spans="1:10" ht="19.25" hidden="1" customHeight="1" x14ac:dyDescent="0.3">
      <c r="A974" s="8">
        <v>2461626</v>
      </c>
      <c r="B974" s="6" t="s">
        <v>80</v>
      </c>
      <c r="C974" s="1" t="s">
        <v>9</v>
      </c>
      <c r="D974" s="1" t="s">
        <v>9</v>
      </c>
      <c r="E974" s="1" t="s">
        <v>9</v>
      </c>
      <c r="F974" s="6"/>
      <c r="G974" s="6"/>
      <c r="H974" s="11"/>
      <c r="I97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74" t="str">
        <f>IF(Table1[[#This Row],[Nationality]]="Nigeria",Table1[[#This Row],[EMJM Scholarship]],"Not Applicable")</f>
        <v>Not Applicable</v>
      </c>
    </row>
    <row r="975" spans="1:10" ht="19.25" hidden="1" customHeight="1" x14ac:dyDescent="0.3">
      <c r="A975" s="8">
        <v>2461703</v>
      </c>
      <c r="B975" s="6" t="s">
        <v>80</v>
      </c>
      <c r="C975" s="1" t="s">
        <v>9</v>
      </c>
      <c r="D975" s="1" t="s">
        <v>9</v>
      </c>
      <c r="E975" s="1" t="s">
        <v>9</v>
      </c>
      <c r="F975" s="6"/>
      <c r="G975" s="6"/>
      <c r="H975" s="11"/>
      <c r="I97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75" t="str">
        <f>IF(Table1[[#This Row],[Nationality]]="Nigeria",Table1[[#This Row],[EMJM Scholarship]],"Not Applicable")</f>
        <v>Not Applicable</v>
      </c>
    </row>
    <row r="976" spans="1:10" ht="19.25" hidden="1" customHeight="1" x14ac:dyDescent="0.3">
      <c r="A976" s="8">
        <v>2461717</v>
      </c>
      <c r="B976" s="6" t="s">
        <v>80</v>
      </c>
      <c r="C976" s="1" t="s">
        <v>9</v>
      </c>
      <c r="D976" s="1" t="s">
        <v>9</v>
      </c>
      <c r="E976" s="1" t="s">
        <v>9</v>
      </c>
      <c r="F976" s="6"/>
      <c r="G976" s="6"/>
      <c r="H976" s="11"/>
      <c r="I97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76" t="str">
        <f>IF(Table1[[#This Row],[Nationality]]="Nigeria",Table1[[#This Row],[EMJM Scholarship]],"Not Applicable")</f>
        <v>Not Applicable</v>
      </c>
    </row>
    <row r="977" spans="1:10" ht="19.25" hidden="1" customHeight="1" x14ac:dyDescent="0.3">
      <c r="A977" s="8">
        <v>2461763</v>
      </c>
      <c r="B977" s="6" t="s">
        <v>80</v>
      </c>
      <c r="C977" s="1" t="s">
        <v>9</v>
      </c>
      <c r="D977" s="1" t="s">
        <v>9</v>
      </c>
      <c r="E977" s="1" t="s">
        <v>9</v>
      </c>
      <c r="F977" s="6"/>
      <c r="G977" s="6"/>
      <c r="H977" s="11"/>
      <c r="I97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77" t="str">
        <f>IF(Table1[[#This Row],[Nationality]]="Nigeria",Table1[[#This Row],[EMJM Scholarship]],"Not Applicable")</f>
        <v>Not Applicable</v>
      </c>
    </row>
    <row r="978" spans="1:10" ht="19.25" hidden="1" customHeight="1" x14ac:dyDescent="0.3">
      <c r="A978" s="8">
        <v>2461764</v>
      </c>
      <c r="B978" s="6" t="s">
        <v>80</v>
      </c>
      <c r="C978" s="1" t="s">
        <v>9</v>
      </c>
      <c r="D978" s="1" t="s">
        <v>9</v>
      </c>
      <c r="E978" s="1" t="s">
        <v>9</v>
      </c>
      <c r="F978" s="6"/>
      <c r="G978" s="6"/>
      <c r="H978" s="11"/>
      <c r="I97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78" t="str">
        <f>IF(Table1[[#This Row],[Nationality]]="Nigeria",Table1[[#This Row],[EMJM Scholarship]],"Not Applicable")</f>
        <v>Not Applicable</v>
      </c>
    </row>
    <row r="979" spans="1:10" ht="19.25" hidden="1" customHeight="1" x14ac:dyDescent="0.3">
      <c r="A979" s="8">
        <v>2461772</v>
      </c>
      <c r="B979" s="6" t="s">
        <v>80</v>
      </c>
      <c r="C979" s="1" t="s">
        <v>9</v>
      </c>
      <c r="D979" s="1" t="s">
        <v>9</v>
      </c>
      <c r="E979" s="1" t="s">
        <v>9</v>
      </c>
      <c r="F979" s="6"/>
      <c r="G979" s="6"/>
      <c r="H979" s="11"/>
      <c r="I97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79" t="str">
        <f>IF(Table1[[#This Row],[Nationality]]="Nigeria",Table1[[#This Row],[EMJM Scholarship]],"Not Applicable")</f>
        <v>Not Applicable</v>
      </c>
    </row>
    <row r="980" spans="1:10" ht="19.25" hidden="1" customHeight="1" x14ac:dyDescent="0.3">
      <c r="A980" s="8">
        <v>2461787</v>
      </c>
      <c r="B980" s="6" t="s">
        <v>80</v>
      </c>
      <c r="C980" s="1" t="s">
        <v>9</v>
      </c>
      <c r="D980" s="1" t="s">
        <v>9</v>
      </c>
      <c r="E980" s="1" t="s">
        <v>9</v>
      </c>
      <c r="F980" s="6"/>
      <c r="G980" s="6"/>
      <c r="H980" s="11"/>
      <c r="I98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80" t="str">
        <f>IF(Table1[[#This Row],[Nationality]]="Nigeria",Table1[[#This Row],[EMJM Scholarship]],"Not Applicable")</f>
        <v>Not Applicable</v>
      </c>
    </row>
    <row r="981" spans="1:10" ht="19.25" hidden="1" customHeight="1" x14ac:dyDescent="0.3">
      <c r="A981" s="8">
        <v>2461794</v>
      </c>
      <c r="B981" s="6" t="s">
        <v>80</v>
      </c>
      <c r="C981" s="1" t="s">
        <v>9</v>
      </c>
      <c r="D981" s="1" t="s">
        <v>9</v>
      </c>
      <c r="E981" s="1" t="s">
        <v>9</v>
      </c>
      <c r="F981" s="6"/>
      <c r="G981" s="6"/>
      <c r="H981" s="11"/>
      <c r="I98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81" t="str">
        <f>IF(Table1[[#This Row],[Nationality]]="Nigeria",Table1[[#This Row],[EMJM Scholarship]],"Not Applicable")</f>
        <v>Not Applicable</v>
      </c>
    </row>
    <row r="982" spans="1:10" ht="19.25" hidden="1" customHeight="1" x14ac:dyDescent="0.3">
      <c r="A982" s="8">
        <v>2461826</v>
      </c>
      <c r="B982" s="6" t="s">
        <v>80</v>
      </c>
      <c r="C982" s="1" t="s">
        <v>9</v>
      </c>
      <c r="D982" s="1" t="s">
        <v>9</v>
      </c>
      <c r="E982" s="1" t="s">
        <v>9</v>
      </c>
      <c r="F982" s="6"/>
      <c r="G982" s="6"/>
      <c r="H982" s="11"/>
      <c r="I98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82" t="str">
        <f>IF(Table1[[#This Row],[Nationality]]="Nigeria",Table1[[#This Row],[EMJM Scholarship]],"Not Applicable")</f>
        <v>Not Applicable</v>
      </c>
    </row>
    <row r="983" spans="1:10" ht="19.25" hidden="1" customHeight="1" x14ac:dyDescent="0.3">
      <c r="A983" s="8">
        <v>2461828</v>
      </c>
      <c r="B983" s="6" t="s">
        <v>80</v>
      </c>
      <c r="C983" s="1" t="s">
        <v>9</v>
      </c>
      <c r="D983" s="1" t="s">
        <v>9</v>
      </c>
      <c r="E983" s="1" t="s">
        <v>9</v>
      </c>
      <c r="F983" s="6"/>
      <c r="G983" s="6"/>
      <c r="H983" s="11"/>
      <c r="I98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83" t="str">
        <f>IF(Table1[[#This Row],[Nationality]]="Nigeria",Table1[[#This Row],[EMJM Scholarship]],"Not Applicable")</f>
        <v>Not Applicable</v>
      </c>
    </row>
    <row r="984" spans="1:10" ht="19.25" hidden="1" customHeight="1" x14ac:dyDescent="0.3">
      <c r="A984" s="8">
        <v>2461845</v>
      </c>
      <c r="B984" s="6" t="s">
        <v>80</v>
      </c>
      <c r="C984" s="1" t="s">
        <v>9</v>
      </c>
      <c r="D984" s="1" t="s">
        <v>9</v>
      </c>
      <c r="E984" s="1" t="s">
        <v>9</v>
      </c>
      <c r="F984" s="6"/>
      <c r="G984" s="6"/>
      <c r="H984" s="11"/>
      <c r="I98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84" t="str">
        <f>IF(Table1[[#This Row],[Nationality]]="Nigeria",Table1[[#This Row],[EMJM Scholarship]],"Not Applicable")</f>
        <v>Not Applicable</v>
      </c>
    </row>
    <row r="985" spans="1:10" ht="19.25" hidden="1" customHeight="1" x14ac:dyDescent="0.3">
      <c r="A985" s="8">
        <v>2461905</v>
      </c>
      <c r="B985" s="6" t="s">
        <v>80</v>
      </c>
      <c r="C985" s="1" t="s">
        <v>9</v>
      </c>
      <c r="D985" s="1" t="s">
        <v>9</v>
      </c>
      <c r="E985" s="1" t="s">
        <v>9</v>
      </c>
      <c r="F985" s="6"/>
      <c r="G985" s="6"/>
      <c r="H985" s="11"/>
      <c r="I98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85" t="str">
        <f>IF(Table1[[#This Row],[Nationality]]="Nigeria",Table1[[#This Row],[EMJM Scholarship]],"Not Applicable")</f>
        <v>Not Applicable</v>
      </c>
    </row>
    <row r="986" spans="1:10" ht="19.25" hidden="1" customHeight="1" x14ac:dyDescent="0.3">
      <c r="A986" s="8">
        <v>2462104</v>
      </c>
      <c r="B986" s="6" t="s">
        <v>80</v>
      </c>
      <c r="C986" s="1" t="s">
        <v>9</v>
      </c>
      <c r="D986" s="1" t="s">
        <v>9</v>
      </c>
      <c r="E986" s="1" t="s">
        <v>9</v>
      </c>
      <c r="F986" s="6"/>
      <c r="G986" s="6"/>
      <c r="H986" s="11"/>
      <c r="I98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86" t="str">
        <f>IF(Table1[[#This Row],[Nationality]]="Nigeria",Table1[[#This Row],[EMJM Scholarship]],"Not Applicable")</f>
        <v>Not Applicable</v>
      </c>
    </row>
    <row r="987" spans="1:10" ht="19.25" hidden="1" customHeight="1" x14ac:dyDescent="0.3">
      <c r="A987" s="8">
        <v>2462178</v>
      </c>
      <c r="B987" s="6" t="s">
        <v>80</v>
      </c>
      <c r="C987" s="1" t="s">
        <v>9</v>
      </c>
      <c r="D987" s="1" t="s">
        <v>9</v>
      </c>
      <c r="E987" s="1" t="s">
        <v>9</v>
      </c>
      <c r="F987" s="6"/>
      <c r="G987" s="6"/>
      <c r="H987" s="11"/>
      <c r="I98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87" t="str">
        <f>IF(Table1[[#This Row],[Nationality]]="Nigeria",Table1[[#This Row],[EMJM Scholarship]],"Not Applicable")</f>
        <v>Not Applicable</v>
      </c>
    </row>
    <row r="988" spans="1:10" ht="19.25" hidden="1" customHeight="1" x14ac:dyDescent="0.3">
      <c r="A988" s="8">
        <v>2462207</v>
      </c>
      <c r="B988" s="6" t="s">
        <v>80</v>
      </c>
      <c r="C988" s="1" t="s">
        <v>9</v>
      </c>
      <c r="D988" s="1" t="s">
        <v>9</v>
      </c>
      <c r="E988" s="1" t="s">
        <v>9</v>
      </c>
      <c r="F988" s="6"/>
      <c r="G988" s="6"/>
      <c r="H988" s="11"/>
      <c r="I98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88" t="str">
        <f>IF(Table1[[#This Row],[Nationality]]="Nigeria",Table1[[#This Row],[EMJM Scholarship]],"Not Applicable")</f>
        <v>Not Applicable</v>
      </c>
    </row>
    <row r="989" spans="1:10" ht="19.25" hidden="1" customHeight="1" x14ac:dyDescent="0.3">
      <c r="A989" s="8">
        <v>2462220</v>
      </c>
      <c r="B989" s="6" t="s">
        <v>80</v>
      </c>
      <c r="C989" s="1" t="s">
        <v>9</v>
      </c>
      <c r="D989" s="1" t="s">
        <v>9</v>
      </c>
      <c r="E989" s="1" t="s">
        <v>9</v>
      </c>
      <c r="F989" s="6"/>
      <c r="G989" s="6"/>
      <c r="H989" s="11"/>
      <c r="I98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89" t="str">
        <f>IF(Table1[[#This Row],[Nationality]]="Nigeria",Table1[[#This Row],[EMJM Scholarship]],"Not Applicable")</f>
        <v>Not Applicable</v>
      </c>
    </row>
    <row r="990" spans="1:10" ht="19.25" hidden="1" customHeight="1" x14ac:dyDescent="0.3">
      <c r="A990" s="8">
        <v>2462256</v>
      </c>
      <c r="B990" s="6" t="s">
        <v>80</v>
      </c>
      <c r="C990" s="1" t="s">
        <v>9</v>
      </c>
      <c r="D990" s="1" t="s">
        <v>9</v>
      </c>
      <c r="E990" s="1" t="s">
        <v>9</v>
      </c>
      <c r="F990" s="6"/>
      <c r="G990" s="6"/>
      <c r="H990" s="11"/>
      <c r="I99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90" t="str">
        <f>IF(Table1[[#This Row],[Nationality]]="Nigeria",Table1[[#This Row],[EMJM Scholarship]],"Not Applicable")</f>
        <v>Not Applicable</v>
      </c>
    </row>
    <row r="991" spans="1:10" ht="19.25" hidden="1" customHeight="1" x14ac:dyDescent="0.3">
      <c r="A991" s="8">
        <v>2462331</v>
      </c>
      <c r="B991" s="6" t="s">
        <v>80</v>
      </c>
      <c r="C991" s="1" t="s">
        <v>9</v>
      </c>
      <c r="D991" s="1" t="s">
        <v>9</v>
      </c>
      <c r="E991" s="1" t="s">
        <v>9</v>
      </c>
      <c r="F991" s="6"/>
      <c r="G991" s="6"/>
      <c r="H991" s="11"/>
      <c r="I99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91" t="str">
        <f>IF(Table1[[#This Row],[Nationality]]="Nigeria",Table1[[#This Row],[EMJM Scholarship]],"Not Applicable")</f>
        <v>Not Applicable</v>
      </c>
    </row>
    <row r="992" spans="1:10" ht="19.25" hidden="1" customHeight="1" x14ac:dyDescent="0.3">
      <c r="A992" s="8">
        <v>2462348</v>
      </c>
      <c r="B992" s="6" t="s">
        <v>80</v>
      </c>
      <c r="C992" s="1" t="s">
        <v>9</v>
      </c>
      <c r="D992" s="1" t="s">
        <v>9</v>
      </c>
      <c r="E992" s="1" t="s">
        <v>9</v>
      </c>
      <c r="F992" s="6"/>
      <c r="G992" s="6"/>
      <c r="H992" s="11"/>
      <c r="I99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92" t="str">
        <f>IF(Table1[[#This Row],[Nationality]]="Nigeria",Table1[[#This Row],[EMJM Scholarship]],"Not Applicable")</f>
        <v>Not Applicable</v>
      </c>
    </row>
    <row r="993" spans="1:10" ht="19.25" hidden="1" customHeight="1" x14ac:dyDescent="0.3">
      <c r="A993" s="8">
        <v>2462373</v>
      </c>
      <c r="B993" s="6" t="s">
        <v>80</v>
      </c>
      <c r="C993" s="1" t="s">
        <v>9</v>
      </c>
      <c r="D993" s="1" t="s">
        <v>9</v>
      </c>
      <c r="E993" s="1" t="s">
        <v>9</v>
      </c>
      <c r="F993" s="6"/>
      <c r="G993" s="6"/>
      <c r="H993" s="11"/>
      <c r="I99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93" t="str">
        <f>IF(Table1[[#This Row],[Nationality]]="Nigeria",Table1[[#This Row],[EMJM Scholarship]],"Not Applicable")</f>
        <v>Not Applicable</v>
      </c>
    </row>
    <row r="994" spans="1:10" ht="19.25" hidden="1" customHeight="1" x14ac:dyDescent="0.3">
      <c r="A994" s="8">
        <v>2462386</v>
      </c>
      <c r="B994" s="6" t="s">
        <v>80</v>
      </c>
      <c r="C994" s="1" t="s">
        <v>9</v>
      </c>
      <c r="D994" s="1" t="s">
        <v>9</v>
      </c>
      <c r="E994" s="1" t="s">
        <v>9</v>
      </c>
      <c r="F994" s="6"/>
      <c r="G994" s="6"/>
      <c r="H994" s="11"/>
      <c r="I99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94" t="str">
        <f>IF(Table1[[#This Row],[Nationality]]="Nigeria",Table1[[#This Row],[EMJM Scholarship]],"Not Applicable")</f>
        <v>Not Applicable</v>
      </c>
    </row>
    <row r="995" spans="1:10" ht="19.25" hidden="1" customHeight="1" x14ac:dyDescent="0.3">
      <c r="A995" s="8">
        <v>2462400</v>
      </c>
      <c r="B995" s="6" t="s">
        <v>80</v>
      </c>
      <c r="C995" s="1" t="s">
        <v>9</v>
      </c>
      <c r="D995" s="1" t="s">
        <v>9</v>
      </c>
      <c r="E995" s="1" t="s">
        <v>9</v>
      </c>
      <c r="F995" s="6"/>
      <c r="G995" s="6"/>
      <c r="H995" s="11"/>
      <c r="I99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95" t="str">
        <f>IF(Table1[[#This Row],[Nationality]]="Nigeria",Table1[[#This Row],[EMJM Scholarship]],"Not Applicable")</f>
        <v>Not Applicable</v>
      </c>
    </row>
    <row r="996" spans="1:10" ht="19.25" hidden="1" customHeight="1" x14ac:dyDescent="0.3">
      <c r="A996" s="8">
        <v>2462430</v>
      </c>
      <c r="B996" s="6" t="s">
        <v>80</v>
      </c>
      <c r="C996" s="1" t="s">
        <v>9</v>
      </c>
      <c r="D996" s="1" t="s">
        <v>9</v>
      </c>
      <c r="E996" s="1" t="s">
        <v>9</v>
      </c>
      <c r="F996" s="6"/>
      <c r="G996" s="6"/>
      <c r="H996" s="11"/>
      <c r="I99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96" t="str">
        <f>IF(Table1[[#This Row],[Nationality]]="Nigeria",Table1[[#This Row],[EMJM Scholarship]],"Not Applicable")</f>
        <v>Not Applicable</v>
      </c>
    </row>
    <row r="997" spans="1:10" ht="19.25" hidden="1" customHeight="1" x14ac:dyDescent="0.3">
      <c r="A997" s="8">
        <v>2462436</v>
      </c>
      <c r="B997" s="6" t="s">
        <v>80</v>
      </c>
      <c r="C997" s="1" t="s">
        <v>9</v>
      </c>
      <c r="D997" s="1" t="s">
        <v>9</v>
      </c>
      <c r="E997" s="1" t="s">
        <v>9</v>
      </c>
      <c r="F997" s="6"/>
      <c r="G997" s="6"/>
      <c r="H997" s="11"/>
      <c r="I99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97" t="str">
        <f>IF(Table1[[#This Row],[Nationality]]="Nigeria",Table1[[#This Row],[EMJM Scholarship]],"Not Applicable")</f>
        <v>Not Applicable</v>
      </c>
    </row>
    <row r="998" spans="1:10" ht="19.25" hidden="1" customHeight="1" x14ac:dyDescent="0.3">
      <c r="A998" s="8">
        <v>2462439</v>
      </c>
      <c r="B998" s="6" t="s">
        <v>80</v>
      </c>
      <c r="C998" s="1" t="s">
        <v>9</v>
      </c>
      <c r="D998" s="1" t="s">
        <v>9</v>
      </c>
      <c r="E998" s="1" t="s">
        <v>9</v>
      </c>
      <c r="F998" s="6"/>
      <c r="G998" s="6"/>
      <c r="H998" s="11"/>
      <c r="I99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98" t="str">
        <f>IF(Table1[[#This Row],[Nationality]]="Nigeria",Table1[[#This Row],[EMJM Scholarship]],"Not Applicable")</f>
        <v>Not Applicable</v>
      </c>
    </row>
    <row r="999" spans="1:10" ht="19.25" hidden="1" customHeight="1" x14ac:dyDescent="0.3">
      <c r="A999" s="8">
        <v>2462444</v>
      </c>
      <c r="B999" s="6" t="s">
        <v>80</v>
      </c>
      <c r="C999" s="1" t="s">
        <v>9</v>
      </c>
      <c r="D999" s="1" t="s">
        <v>9</v>
      </c>
      <c r="E999" s="1" t="s">
        <v>9</v>
      </c>
      <c r="F999" s="6"/>
      <c r="G999" s="6"/>
      <c r="H999" s="11"/>
      <c r="I99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999" t="str">
        <f>IF(Table1[[#This Row],[Nationality]]="Nigeria",Table1[[#This Row],[EMJM Scholarship]],"Not Applicable")</f>
        <v>Not Applicable</v>
      </c>
    </row>
    <row r="1000" spans="1:10" ht="19.25" hidden="1" customHeight="1" x14ac:dyDescent="0.3">
      <c r="A1000" s="8">
        <v>2462448</v>
      </c>
      <c r="B1000" s="6" t="s">
        <v>80</v>
      </c>
      <c r="C1000" s="1" t="s">
        <v>9</v>
      </c>
      <c r="D1000" s="1" t="s">
        <v>9</v>
      </c>
      <c r="E1000" s="1" t="s">
        <v>9</v>
      </c>
      <c r="F1000" s="6"/>
      <c r="G1000" s="6"/>
      <c r="H1000" s="11"/>
      <c r="I100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00" t="str">
        <f>IF(Table1[[#This Row],[Nationality]]="Nigeria",Table1[[#This Row],[EMJM Scholarship]],"Not Applicable")</f>
        <v>Not Applicable</v>
      </c>
    </row>
    <row r="1001" spans="1:10" ht="19.25" hidden="1" customHeight="1" x14ac:dyDescent="0.3">
      <c r="A1001" s="8">
        <v>2462451</v>
      </c>
      <c r="B1001" s="6" t="s">
        <v>80</v>
      </c>
      <c r="C1001" s="1" t="s">
        <v>9</v>
      </c>
      <c r="D1001" s="1" t="s">
        <v>9</v>
      </c>
      <c r="E1001" s="1" t="s">
        <v>9</v>
      </c>
      <c r="F1001" s="6"/>
      <c r="G1001" s="6"/>
      <c r="H1001" s="11"/>
      <c r="I100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01" t="str">
        <f>IF(Table1[[#This Row],[Nationality]]="Nigeria",Table1[[#This Row],[EMJM Scholarship]],"Not Applicable")</f>
        <v>Not Applicable</v>
      </c>
    </row>
    <row r="1002" spans="1:10" ht="19.25" hidden="1" customHeight="1" x14ac:dyDescent="0.3">
      <c r="A1002" s="8">
        <v>2462453</v>
      </c>
      <c r="B1002" s="6" t="s">
        <v>80</v>
      </c>
      <c r="C1002" s="1" t="s">
        <v>9</v>
      </c>
      <c r="D1002" s="1" t="s">
        <v>9</v>
      </c>
      <c r="E1002" s="1" t="s">
        <v>9</v>
      </c>
      <c r="F1002" s="6"/>
      <c r="G1002" s="6"/>
      <c r="H1002" s="11"/>
      <c r="I100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02" t="str">
        <f>IF(Table1[[#This Row],[Nationality]]="Nigeria",Table1[[#This Row],[EMJM Scholarship]],"Not Applicable")</f>
        <v>Not Applicable</v>
      </c>
    </row>
    <row r="1003" spans="1:10" ht="19.25" hidden="1" customHeight="1" x14ac:dyDescent="0.3">
      <c r="A1003" s="8">
        <v>2462454</v>
      </c>
      <c r="B1003" s="6" t="s">
        <v>80</v>
      </c>
      <c r="C1003" s="1" t="s">
        <v>9</v>
      </c>
      <c r="D1003" s="1" t="s">
        <v>9</v>
      </c>
      <c r="E1003" s="1" t="s">
        <v>9</v>
      </c>
      <c r="F1003" s="6"/>
      <c r="G1003" s="6"/>
      <c r="H1003" s="11"/>
      <c r="I100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03" t="str">
        <f>IF(Table1[[#This Row],[Nationality]]="Nigeria",Table1[[#This Row],[EMJM Scholarship]],"Not Applicable")</f>
        <v>Not Applicable</v>
      </c>
    </row>
    <row r="1004" spans="1:10" ht="19.25" hidden="1" customHeight="1" x14ac:dyDescent="0.3">
      <c r="A1004" s="8">
        <v>2462468</v>
      </c>
      <c r="B1004" s="6" t="s">
        <v>80</v>
      </c>
      <c r="C1004" s="1" t="s">
        <v>9</v>
      </c>
      <c r="D1004" s="1" t="s">
        <v>9</v>
      </c>
      <c r="E1004" s="1" t="s">
        <v>9</v>
      </c>
      <c r="F1004" s="6"/>
      <c r="G1004" s="6"/>
      <c r="H1004" s="11"/>
      <c r="I100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04" t="str">
        <f>IF(Table1[[#This Row],[Nationality]]="Nigeria",Table1[[#This Row],[EMJM Scholarship]],"Not Applicable")</f>
        <v>Not Applicable</v>
      </c>
    </row>
    <row r="1005" spans="1:10" ht="19.25" hidden="1" customHeight="1" x14ac:dyDescent="0.3">
      <c r="A1005" s="8">
        <v>2462526</v>
      </c>
      <c r="B1005" s="6" t="s">
        <v>80</v>
      </c>
      <c r="C1005" s="1" t="s">
        <v>9</v>
      </c>
      <c r="D1005" s="1" t="s">
        <v>9</v>
      </c>
      <c r="E1005" s="1" t="s">
        <v>9</v>
      </c>
      <c r="F1005" s="6"/>
      <c r="G1005" s="6"/>
      <c r="H1005" s="11"/>
      <c r="I100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05" t="str">
        <f>IF(Table1[[#This Row],[Nationality]]="Nigeria",Table1[[#This Row],[EMJM Scholarship]],"Not Applicable")</f>
        <v>Not Applicable</v>
      </c>
    </row>
    <row r="1006" spans="1:10" ht="19.25" hidden="1" customHeight="1" x14ac:dyDescent="0.3">
      <c r="A1006" s="8">
        <v>2462542</v>
      </c>
      <c r="B1006" s="6" t="s">
        <v>80</v>
      </c>
      <c r="C1006" s="1" t="s">
        <v>9</v>
      </c>
      <c r="D1006" s="1" t="s">
        <v>9</v>
      </c>
      <c r="E1006" s="1" t="s">
        <v>9</v>
      </c>
      <c r="F1006" s="6"/>
      <c r="G1006" s="6"/>
      <c r="H1006" s="11"/>
      <c r="I100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06" t="str">
        <f>IF(Table1[[#This Row],[Nationality]]="Nigeria",Table1[[#This Row],[EMJM Scholarship]],"Not Applicable")</f>
        <v>Not Applicable</v>
      </c>
    </row>
    <row r="1007" spans="1:10" ht="19.25" hidden="1" customHeight="1" x14ac:dyDescent="0.3">
      <c r="A1007" s="8">
        <v>2462570</v>
      </c>
      <c r="B1007" s="6" t="s">
        <v>80</v>
      </c>
      <c r="C1007" s="1" t="s">
        <v>9</v>
      </c>
      <c r="D1007" s="1" t="s">
        <v>9</v>
      </c>
      <c r="E1007" s="1" t="s">
        <v>9</v>
      </c>
      <c r="F1007" s="6"/>
      <c r="G1007" s="6"/>
      <c r="H1007" s="11"/>
      <c r="I100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07" t="str">
        <f>IF(Table1[[#This Row],[Nationality]]="Nigeria",Table1[[#This Row],[EMJM Scholarship]],"Not Applicable")</f>
        <v>Not Applicable</v>
      </c>
    </row>
    <row r="1008" spans="1:10" ht="19.25" hidden="1" customHeight="1" x14ac:dyDescent="0.3">
      <c r="A1008" s="8">
        <v>2462616</v>
      </c>
      <c r="B1008" s="6" t="s">
        <v>80</v>
      </c>
      <c r="C1008" s="1" t="s">
        <v>9</v>
      </c>
      <c r="D1008" s="1" t="s">
        <v>9</v>
      </c>
      <c r="E1008" s="1" t="s">
        <v>9</v>
      </c>
      <c r="F1008" s="6"/>
      <c r="G1008" s="6"/>
      <c r="H1008" s="11"/>
      <c r="I100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08" t="str">
        <f>IF(Table1[[#This Row],[Nationality]]="Nigeria",Table1[[#This Row],[EMJM Scholarship]],"Not Applicable")</f>
        <v>Not Applicable</v>
      </c>
    </row>
    <row r="1009" spans="1:10" ht="19.25" hidden="1" customHeight="1" x14ac:dyDescent="0.3">
      <c r="A1009" s="8">
        <v>2462648</v>
      </c>
      <c r="B1009" s="6" t="s">
        <v>80</v>
      </c>
      <c r="C1009" s="1" t="s">
        <v>9</v>
      </c>
      <c r="D1009" s="1" t="s">
        <v>9</v>
      </c>
      <c r="E1009" s="1" t="s">
        <v>9</v>
      </c>
      <c r="F1009" s="6"/>
      <c r="G1009" s="6"/>
      <c r="H1009" s="11"/>
      <c r="I100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09" t="str">
        <f>IF(Table1[[#This Row],[Nationality]]="Nigeria",Table1[[#This Row],[EMJM Scholarship]],"Not Applicable")</f>
        <v>Not Applicable</v>
      </c>
    </row>
    <row r="1010" spans="1:10" ht="19.25" hidden="1" customHeight="1" x14ac:dyDescent="0.3">
      <c r="A1010" s="8">
        <v>2462695</v>
      </c>
      <c r="B1010" s="6" t="s">
        <v>80</v>
      </c>
      <c r="C1010" s="1" t="s">
        <v>9</v>
      </c>
      <c r="D1010" s="1" t="s">
        <v>9</v>
      </c>
      <c r="E1010" s="1" t="s">
        <v>9</v>
      </c>
      <c r="F1010" s="6"/>
      <c r="G1010" s="6"/>
      <c r="H1010" s="11"/>
      <c r="I101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10" t="str">
        <f>IF(Table1[[#This Row],[Nationality]]="Nigeria",Table1[[#This Row],[EMJM Scholarship]],"Not Applicable")</f>
        <v>Not Applicable</v>
      </c>
    </row>
    <row r="1011" spans="1:10" ht="19.25" hidden="1" customHeight="1" x14ac:dyDescent="0.3">
      <c r="A1011" s="8">
        <v>2462720</v>
      </c>
      <c r="B1011" s="6" t="s">
        <v>80</v>
      </c>
      <c r="C1011" s="1" t="s">
        <v>9</v>
      </c>
      <c r="D1011" s="1" t="s">
        <v>9</v>
      </c>
      <c r="E1011" s="1" t="s">
        <v>9</v>
      </c>
      <c r="F1011" s="6"/>
      <c r="G1011" s="6"/>
      <c r="H1011" s="11"/>
      <c r="I101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11" t="str">
        <f>IF(Table1[[#This Row],[Nationality]]="Nigeria",Table1[[#This Row],[EMJM Scholarship]],"Not Applicable")</f>
        <v>Not Applicable</v>
      </c>
    </row>
    <row r="1012" spans="1:10" ht="19.25" hidden="1" customHeight="1" x14ac:dyDescent="0.3">
      <c r="A1012" s="8">
        <v>2462765</v>
      </c>
      <c r="B1012" s="6" t="s">
        <v>80</v>
      </c>
      <c r="C1012" s="1" t="s">
        <v>9</v>
      </c>
      <c r="D1012" s="1" t="s">
        <v>9</v>
      </c>
      <c r="E1012" s="1" t="s">
        <v>9</v>
      </c>
      <c r="F1012" s="6"/>
      <c r="G1012" s="6"/>
      <c r="H1012" s="11"/>
      <c r="I101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12" t="str">
        <f>IF(Table1[[#This Row],[Nationality]]="Nigeria",Table1[[#This Row],[EMJM Scholarship]],"Not Applicable")</f>
        <v>Not Applicable</v>
      </c>
    </row>
    <row r="1013" spans="1:10" ht="19.25" hidden="1" customHeight="1" x14ac:dyDescent="0.3">
      <c r="A1013" s="8">
        <v>2462904</v>
      </c>
      <c r="B1013" s="6" t="s">
        <v>80</v>
      </c>
      <c r="C1013" s="1" t="s">
        <v>9</v>
      </c>
      <c r="D1013" s="1" t="s">
        <v>9</v>
      </c>
      <c r="E1013" s="1" t="s">
        <v>9</v>
      </c>
      <c r="F1013" s="6"/>
      <c r="G1013" s="6"/>
      <c r="H1013" s="11"/>
      <c r="I101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13" t="str">
        <f>IF(Table1[[#This Row],[Nationality]]="Nigeria",Table1[[#This Row],[EMJM Scholarship]],"Not Applicable")</f>
        <v>Not Applicable</v>
      </c>
    </row>
    <row r="1014" spans="1:10" ht="19.25" hidden="1" customHeight="1" x14ac:dyDescent="0.3">
      <c r="A1014" s="8">
        <v>2462906</v>
      </c>
      <c r="B1014" s="6" t="s">
        <v>80</v>
      </c>
      <c r="C1014" s="1" t="s">
        <v>9</v>
      </c>
      <c r="D1014" s="1" t="s">
        <v>9</v>
      </c>
      <c r="E1014" s="1" t="s">
        <v>9</v>
      </c>
      <c r="F1014" s="6"/>
      <c r="G1014" s="6"/>
      <c r="H1014" s="11"/>
      <c r="I101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14" t="str">
        <f>IF(Table1[[#This Row],[Nationality]]="Nigeria",Table1[[#This Row],[EMJM Scholarship]],"Not Applicable")</f>
        <v>Not Applicable</v>
      </c>
    </row>
    <row r="1015" spans="1:10" ht="19.25" hidden="1" customHeight="1" x14ac:dyDescent="0.3">
      <c r="A1015" s="8">
        <v>2462916</v>
      </c>
      <c r="B1015" s="6" t="s">
        <v>80</v>
      </c>
      <c r="C1015" s="1" t="s">
        <v>9</v>
      </c>
      <c r="D1015" s="1" t="s">
        <v>9</v>
      </c>
      <c r="E1015" s="1" t="s">
        <v>9</v>
      </c>
      <c r="F1015" s="6"/>
      <c r="G1015" s="6"/>
      <c r="H1015" s="11"/>
      <c r="I101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15" t="str">
        <f>IF(Table1[[#This Row],[Nationality]]="Nigeria",Table1[[#This Row],[EMJM Scholarship]],"Not Applicable")</f>
        <v>Not Applicable</v>
      </c>
    </row>
    <row r="1016" spans="1:10" ht="19.25" hidden="1" customHeight="1" x14ac:dyDescent="0.3">
      <c r="A1016" s="8">
        <v>2462928</v>
      </c>
      <c r="B1016" s="6" t="s">
        <v>80</v>
      </c>
      <c r="C1016" s="1" t="s">
        <v>9</v>
      </c>
      <c r="D1016" s="1" t="s">
        <v>9</v>
      </c>
      <c r="E1016" s="1" t="s">
        <v>9</v>
      </c>
      <c r="F1016" s="6"/>
      <c r="G1016" s="6"/>
      <c r="H1016" s="11"/>
      <c r="I101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16" t="str">
        <f>IF(Table1[[#This Row],[Nationality]]="Nigeria",Table1[[#This Row],[EMJM Scholarship]],"Not Applicable")</f>
        <v>Not Applicable</v>
      </c>
    </row>
    <row r="1017" spans="1:10" ht="19.25" hidden="1" customHeight="1" x14ac:dyDescent="0.3">
      <c r="A1017" s="8">
        <v>2462929</v>
      </c>
      <c r="B1017" s="6" t="s">
        <v>80</v>
      </c>
      <c r="C1017" s="1" t="s">
        <v>9</v>
      </c>
      <c r="D1017" s="1" t="s">
        <v>9</v>
      </c>
      <c r="E1017" s="1" t="s">
        <v>9</v>
      </c>
      <c r="F1017" s="6"/>
      <c r="G1017" s="6"/>
      <c r="H1017" s="11"/>
      <c r="I101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17" t="str">
        <f>IF(Table1[[#This Row],[Nationality]]="Nigeria",Table1[[#This Row],[EMJM Scholarship]],"Not Applicable")</f>
        <v>Not Applicable</v>
      </c>
    </row>
    <row r="1018" spans="1:10" ht="19.25" hidden="1" customHeight="1" x14ac:dyDescent="0.3">
      <c r="A1018" s="8">
        <v>2462931</v>
      </c>
      <c r="B1018" s="6" t="s">
        <v>80</v>
      </c>
      <c r="C1018" s="1" t="s">
        <v>9</v>
      </c>
      <c r="D1018" s="1" t="s">
        <v>9</v>
      </c>
      <c r="E1018" s="1" t="s">
        <v>9</v>
      </c>
      <c r="F1018" s="6"/>
      <c r="G1018" s="6"/>
      <c r="H1018" s="11"/>
      <c r="I101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18" t="str">
        <f>IF(Table1[[#This Row],[Nationality]]="Nigeria",Table1[[#This Row],[EMJM Scholarship]],"Not Applicable")</f>
        <v>Not Applicable</v>
      </c>
    </row>
    <row r="1019" spans="1:10" ht="19.25" hidden="1" customHeight="1" x14ac:dyDescent="0.3">
      <c r="A1019" s="8">
        <v>2462973</v>
      </c>
      <c r="B1019" s="6" t="s">
        <v>80</v>
      </c>
      <c r="C1019" s="1" t="s">
        <v>9</v>
      </c>
      <c r="D1019" s="1" t="s">
        <v>9</v>
      </c>
      <c r="E1019" s="1" t="s">
        <v>9</v>
      </c>
      <c r="F1019" s="6"/>
      <c r="G1019" s="6"/>
      <c r="H1019" s="11"/>
      <c r="I101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19" t="str">
        <f>IF(Table1[[#This Row],[Nationality]]="Nigeria",Table1[[#This Row],[EMJM Scholarship]],"Not Applicable")</f>
        <v>Not Applicable</v>
      </c>
    </row>
    <row r="1020" spans="1:10" ht="19.25" hidden="1" customHeight="1" x14ac:dyDescent="0.3">
      <c r="A1020" s="8">
        <v>2463038</v>
      </c>
      <c r="B1020" s="6" t="s">
        <v>80</v>
      </c>
      <c r="C1020" s="1" t="s">
        <v>9</v>
      </c>
      <c r="D1020" s="1" t="s">
        <v>9</v>
      </c>
      <c r="E1020" s="1" t="s">
        <v>9</v>
      </c>
      <c r="F1020" s="6"/>
      <c r="G1020" s="6"/>
      <c r="H1020" s="11"/>
      <c r="I102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20" t="str">
        <f>IF(Table1[[#This Row],[Nationality]]="Nigeria",Table1[[#This Row],[EMJM Scholarship]],"Not Applicable")</f>
        <v>Not Applicable</v>
      </c>
    </row>
    <row r="1021" spans="1:10" ht="19.25" hidden="1" customHeight="1" x14ac:dyDescent="0.3">
      <c r="A1021" s="8">
        <v>2463048</v>
      </c>
      <c r="B1021" s="6" t="s">
        <v>80</v>
      </c>
      <c r="C1021" s="1" t="s">
        <v>9</v>
      </c>
      <c r="D1021" s="1" t="s">
        <v>9</v>
      </c>
      <c r="E1021" s="1" t="s">
        <v>9</v>
      </c>
      <c r="F1021" s="6"/>
      <c r="G1021" s="6"/>
      <c r="H1021" s="11"/>
      <c r="I102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21" t="str">
        <f>IF(Table1[[#This Row],[Nationality]]="Nigeria",Table1[[#This Row],[EMJM Scholarship]],"Not Applicable")</f>
        <v>Not Applicable</v>
      </c>
    </row>
    <row r="1022" spans="1:10" ht="19.25" hidden="1" customHeight="1" x14ac:dyDescent="0.3">
      <c r="A1022" s="8">
        <v>2463050</v>
      </c>
      <c r="B1022" s="6" t="s">
        <v>80</v>
      </c>
      <c r="C1022" s="1" t="s">
        <v>9</v>
      </c>
      <c r="D1022" s="1" t="s">
        <v>9</v>
      </c>
      <c r="E1022" s="1" t="s">
        <v>9</v>
      </c>
      <c r="F1022" s="6"/>
      <c r="G1022" s="6"/>
      <c r="H1022" s="11"/>
      <c r="I102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22" t="str">
        <f>IF(Table1[[#This Row],[Nationality]]="Nigeria",Table1[[#This Row],[EMJM Scholarship]],"Not Applicable")</f>
        <v>Not Applicable</v>
      </c>
    </row>
    <row r="1023" spans="1:10" ht="19.25" hidden="1" customHeight="1" x14ac:dyDescent="0.3">
      <c r="A1023" s="8">
        <v>2463076</v>
      </c>
      <c r="B1023" s="6" t="s">
        <v>80</v>
      </c>
      <c r="C1023" s="1" t="s">
        <v>9</v>
      </c>
      <c r="D1023" s="1" t="s">
        <v>9</v>
      </c>
      <c r="E1023" s="1" t="s">
        <v>9</v>
      </c>
      <c r="F1023" s="6"/>
      <c r="G1023" s="6"/>
      <c r="H1023" s="11"/>
      <c r="I102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23" t="str">
        <f>IF(Table1[[#This Row],[Nationality]]="Nigeria",Table1[[#This Row],[EMJM Scholarship]],"Not Applicable")</f>
        <v>Not Applicable</v>
      </c>
    </row>
    <row r="1024" spans="1:10" ht="19.25" hidden="1" customHeight="1" x14ac:dyDescent="0.3">
      <c r="A1024" s="8">
        <v>2463127</v>
      </c>
      <c r="B1024" s="6" t="s">
        <v>80</v>
      </c>
      <c r="C1024" s="1" t="s">
        <v>9</v>
      </c>
      <c r="D1024" s="1" t="s">
        <v>9</v>
      </c>
      <c r="E1024" s="1" t="s">
        <v>9</v>
      </c>
      <c r="F1024" s="6"/>
      <c r="G1024" s="6"/>
      <c r="H1024" s="11"/>
      <c r="I102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24" t="str">
        <f>IF(Table1[[#This Row],[Nationality]]="Nigeria",Table1[[#This Row],[EMJM Scholarship]],"Not Applicable")</f>
        <v>Not Applicable</v>
      </c>
    </row>
    <row r="1025" spans="1:10" ht="19.25" hidden="1" customHeight="1" x14ac:dyDescent="0.3">
      <c r="A1025" s="8">
        <v>2463144</v>
      </c>
      <c r="B1025" s="6" t="s">
        <v>80</v>
      </c>
      <c r="C1025" s="1" t="s">
        <v>9</v>
      </c>
      <c r="D1025" s="1" t="s">
        <v>9</v>
      </c>
      <c r="E1025" s="1" t="s">
        <v>9</v>
      </c>
      <c r="F1025" s="6"/>
      <c r="G1025" s="6"/>
      <c r="H1025" s="11"/>
      <c r="I102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25" t="str">
        <f>IF(Table1[[#This Row],[Nationality]]="Nigeria",Table1[[#This Row],[EMJM Scholarship]],"Not Applicable")</f>
        <v>Not Applicable</v>
      </c>
    </row>
    <row r="1026" spans="1:10" ht="19.25" hidden="1" customHeight="1" x14ac:dyDescent="0.3">
      <c r="A1026" s="8">
        <v>2463175</v>
      </c>
      <c r="B1026" s="6" t="s">
        <v>80</v>
      </c>
      <c r="C1026" s="1" t="s">
        <v>9</v>
      </c>
      <c r="D1026" s="1" t="s">
        <v>9</v>
      </c>
      <c r="E1026" s="1" t="s">
        <v>9</v>
      </c>
      <c r="F1026" s="6"/>
      <c r="G1026" s="6"/>
      <c r="H1026" s="11"/>
      <c r="I102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26" t="str">
        <f>IF(Table1[[#This Row],[Nationality]]="Nigeria",Table1[[#This Row],[EMJM Scholarship]],"Not Applicable")</f>
        <v>Not Applicable</v>
      </c>
    </row>
    <row r="1027" spans="1:10" ht="19.25" hidden="1" customHeight="1" x14ac:dyDescent="0.3">
      <c r="A1027" s="8">
        <v>2463199</v>
      </c>
      <c r="B1027" s="6" t="s">
        <v>80</v>
      </c>
      <c r="C1027" s="1" t="s">
        <v>9</v>
      </c>
      <c r="D1027" s="1" t="s">
        <v>9</v>
      </c>
      <c r="E1027" s="1" t="s">
        <v>9</v>
      </c>
      <c r="F1027" s="6"/>
      <c r="G1027" s="6"/>
      <c r="H1027" s="11"/>
      <c r="I102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27" t="str">
        <f>IF(Table1[[#This Row],[Nationality]]="Nigeria",Table1[[#This Row],[EMJM Scholarship]],"Not Applicable")</f>
        <v>Not Applicable</v>
      </c>
    </row>
    <row r="1028" spans="1:10" ht="19.25" hidden="1" customHeight="1" x14ac:dyDescent="0.3">
      <c r="A1028" s="8">
        <v>2463207</v>
      </c>
      <c r="B1028" s="6" t="s">
        <v>80</v>
      </c>
      <c r="C1028" s="1" t="s">
        <v>9</v>
      </c>
      <c r="D1028" s="1" t="s">
        <v>9</v>
      </c>
      <c r="E1028" s="1" t="s">
        <v>9</v>
      </c>
      <c r="F1028" s="6"/>
      <c r="G1028" s="6"/>
      <c r="H1028" s="11"/>
      <c r="I102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28" t="str">
        <f>IF(Table1[[#This Row],[Nationality]]="Nigeria",Table1[[#This Row],[EMJM Scholarship]],"Not Applicable")</f>
        <v>Not Applicable</v>
      </c>
    </row>
    <row r="1029" spans="1:10" ht="19.25" hidden="1" customHeight="1" x14ac:dyDescent="0.3">
      <c r="A1029" s="8">
        <v>2463212</v>
      </c>
      <c r="B1029" s="6" t="s">
        <v>80</v>
      </c>
      <c r="C1029" s="1" t="s">
        <v>9</v>
      </c>
      <c r="D1029" s="1" t="s">
        <v>9</v>
      </c>
      <c r="E1029" s="1" t="s">
        <v>9</v>
      </c>
      <c r="F1029" s="6"/>
      <c r="G1029" s="6"/>
      <c r="H1029" s="11"/>
      <c r="I102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29" t="str">
        <f>IF(Table1[[#This Row],[Nationality]]="Nigeria",Table1[[#This Row],[EMJM Scholarship]],"Not Applicable")</f>
        <v>Not Applicable</v>
      </c>
    </row>
    <row r="1030" spans="1:10" ht="19.25" hidden="1" customHeight="1" x14ac:dyDescent="0.3">
      <c r="A1030" s="8">
        <v>2463219</v>
      </c>
      <c r="B1030" s="6" t="s">
        <v>80</v>
      </c>
      <c r="C1030" s="1" t="s">
        <v>9</v>
      </c>
      <c r="D1030" s="1" t="s">
        <v>9</v>
      </c>
      <c r="E1030" s="1" t="s">
        <v>9</v>
      </c>
      <c r="F1030" s="6"/>
      <c r="G1030" s="6"/>
      <c r="H1030" s="11"/>
      <c r="I103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30" t="str">
        <f>IF(Table1[[#This Row],[Nationality]]="Nigeria",Table1[[#This Row],[EMJM Scholarship]],"Not Applicable")</f>
        <v>Not Applicable</v>
      </c>
    </row>
    <row r="1031" spans="1:10" ht="19.25" hidden="1" customHeight="1" x14ac:dyDescent="0.3">
      <c r="A1031" s="8">
        <v>2463242</v>
      </c>
      <c r="B1031" s="6" t="s">
        <v>80</v>
      </c>
      <c r="C1031" s="1" t="s">
        <v>9</v>
      </c>
      <c r="D1031" s="1" t="s">
        <v>9</v>
      </c>
      <c r="E1031" s="1" t="s">
        <v>9</v>
      </c>
      <c r="F1031" s="6"/>
      <c r="G1031" s="6"/>
      <c r="H1031" s="11"/>
      <c r="I103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31" t="str">
        <f>IF(Table1[[#This Row],[Nationality]]="Nigeria",Table1[[#This Row],[EMJM Scholarship]],"Not Applicable")</f>
        <v>Not Applicable</v>
      </c>
    </row>
    <row r="1032" spans="1:10" ht="19.25" hidden="1" customHeight="1" x14ac:dyDescent="0.3">
      <c r="A1032" s="8">
        <v>2463245</v>
      </c>
      <c r="B1032" s="6" t="s">
        <v>80</v>
      </c>
      <c r="C1032" s="1" t="s">
        <v>9</v>
      </c>
      <c r="D1032" s="1" t="s">
        <v>9</v>
      </c>
      <c r="E1032" s="1" t="s">
        <v>9</v>
      </c>
      <c r="F1032" s="6"/>
      <c r="G1032" s="6"/>
      <c r="H1032" s="11"/>
      <c r="I103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32" t="str">
        <f>IF(Table1[[#This Row],[Nationality]]="Nigeria",Table1[[#This Row],[EMJM Scholarship]],"Not Applicable")</f>
        <v>Not Applicable</v>
      </c>
    </row>
    <row r="1033" spans="1:10" ht="19.25" hidden="1" customHeight="1" x14ac:dyDescent="0.3">
      <c r="A1033" s="8">
        <v>2463299</v>
      </c>
      <c r="B1033" s="6" t="s">
        <v>80</v>
      </c>
      <c r="C1033" s="1" t="s">
        <v>9</v>
      </c>
      <c r="D1033" s="1" t="s">
        <v>9</v>
      </c>
      <c r="E1033" s="1" t="s">
        <v>9</v>
      </c>
      <c r="F1033" s="6"/>
      <c r="G1033" s="6"/>
      <c r="H1033" s="11"/>
      <c r="I103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33" t="str">
        <f>IF(Table1[[#This Row],[Nationality]]="Nigeria",Table1[[#This Row],[EMJM Scholarship]],"Not Applicable")</f>
        <v>Not Applicable</v>
      </c>
    </row>
    <row r="1034" spans="1:10" ht="19.25" hidden="1" customHeight="1" x14ac:dyDescent="0.3">
      <c r="A1034" s="8">
        <v>2463347</v>
      </c>
      <c r="B1034" s="6" t="s">
        <v>80</v>
      </c>
      <c r="C1034" s="1" t="s">
        <v>9</v>
      </c>
      <c r="D1034" s="1" t="s">
        <v>9</v>
      </c>
      <c r="E1034" s="1" t="s">
        <v>9</v>
      </c>
      <c r="F1034" s="6"/>
      <c r="G1034" s="6"/>
      <c r="H1034" s="11"/>
      <c r="I103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34" t="str">
        <f>IF(Table1[[#This Row],[Nationality]]="Nigeria",Table1[[#This Row],[EMJM Scholarship]],"Not Applicable")</f>
        <v>Not Applicable</v>
      </c>
    </row>
    <row r="1035" spans="1:10" ht="19.25" hidden="1" customHeight="1" x14ac:dyDescent="0.3">
      <c r="A1035" s="8">
        <v>2463403</v>
      </c>
      <c r="B1035" s="6" t="s">
        <v>80</v>
      </c>
      <c r="C1035" s="1" t="s">
        <v>9</v>
      </c>
      <c r="D1035" s="1" t="s">
        <v>9</v>
      </c>
      <c r="E1035" s="1" t="s">
        <v>9</v>
      </c>
      <c r="F1035" s="6"/>
      <c r="G1035" s="6"/>
      <c r="H1035" s="11"/>
      <c r="I103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35" t="str">
        <f>IF(Table1[[#This Row],[Nationality]]="Nigeria",Table1[[#This Row],[EMJM Scholarship]],"Not Applicable")</f>
        <v>Not Applicable</v>
      </c>
    </row>
    <row r="1036" spans="1:10" ht="19.25" hidden="1" customHeight="1" x14ac:dyDescent="0.3">
      <c r="A1036" s="8">
        <v>2463410</v>
      </c>
      <c r="B1036" s="6" t="s">
        <v>80</v>
      </c>
      <c r="C1036" s="1" t="s">
        <v>9</v>
      </c>
      <c r="D1036" s="1" t="s">
        <v>9</v>
      </c>
      <c r="E1036" s="1" t="s">
        <v>9</v>
      </c>
      <c r="F1036" s="6"/>
      <c r="G1036" s="6"/>
      <c r="H1036" s="11"/>
      <c r="I103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36" t="str">
        <f>IF(Table1[[#This Row],[Nationality]]="Nigeria",Table1[[#This Row],[EMJM Scholarship]],"Not Applicable")</f>
        <v>Not Applicable</v>
      </c>
    </row>
    <row r="1037" spans="1:10" ht="19.25" hidden="1" customHeight="1" x14ac:dyDescent="0.3">
      <c r="A1037" s="8">
        <v>2463411</v>
      </c>
      <c r="B1037" s="6" t="s">
        <v>80</v>
      </c>
      <c r="C1037" s="1" t="s">
        <v>9</v>
      </c>
      <c r="D1037" s="1" t="s">
        <v>9</v>
      </c>
      <c r="E1037" s="1" t="s">
        <v>9</v>
      </c>
      <c r="F1037" s="6"/>
      <c r="G1037" s="6"/>
      <c r="H1037" s="11"/>
      <c r="I103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37" t="str">
        <f>IF(Table1[[#This Row],[Nationality]]="Nigeria",Table1[[#This Row],[EMJM Scholarship]],"Not Applicable")</f>
        <v>Not Applicable</v>
      </c>
    </row>
    <row r="1038" spans="1:10" ht="19.25" hidden="1" customHeight="1" x14ac:dyDescent="0.3">
      <c r="A1038" s="8">
        <v>2463439</v>
      </c>
      <c r="B1038" s="6" t="s">
        <v>80</v>
      </c>
      <c r="C1038" s="1" t="s">
        <v>9</v>
      </c>
      <c r="D1038" s="1" t="s">
        <v>9</v>
      </c>
      <c r="E1038" s="1" t="s">
        <v>9</v>
      </c>
      <c r="F1038" s="6"/>
      <c r="G1038" s="6"/>
      <c r="H1038" s="11"/>
      <c r="I103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38" t="str">
        <f>IF(Table1[[#This Row],[Nationality]]="Nigeria",Table1[[#This Row],[EMJM Scholarship]],"Not Applicable")</f>
        <v>Not Applicable</v>
      </c>
    </row>
    <row r="1039" spans="1:10" ht="19.25" hidden="1" customHeight="1" x14ac:dyDescent="0.3">
      <c r="A1039" s="8">
        <v>2463492</v>
      </c>
      <c r="B1039" s="6" t="s">
        <v>80</v>
      </c>
      <c r="C1039" s="1" t="s">
        <v>9</v>
      </c>
      <c r="D1039" s="1" t="s">
        <v>9</v>
      </c>
      <c r="E1039" s="1" t="s">
        <v>9</v>
      </c>
      <c r="F1039" s="6"/>
      <c r="G1039" s="6"/>
      <c r="H1039" s="11"/>
      <c r="I103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39" t="str">
        <f>IF(Table1[[#This Row],[Nationality]]="Nigeria",Table1[[#This Row],[EMJM Scholarship]],"Not Applicable")</f>
        <v>Not Applicable</v>
      </c>
    </row>
    <row r="1040" spans="1:10" ht="19.25" hidden="1" customHeight="1" x14ac:dyDescent="0.3">
      <c r="A1040" s="8">
        <v>2463556</v>
      </c>
      <c r="B1040" s="6" t="s">
        <v>80</v>
      </c>
      <c r="C1040" s="1" t="s">
        <v>9</v>
      </c>
      <c r="D1040" s="1" t="s">
        <v>9</v>
      </c>
      <c r="E1040" s="1" t="s">
        <v>9</v>
      </c>
      <c r="F1040" s="6"/>
      <c r="G1040" s="6"/>
      <c r="H1040" s="11"/>
      <c r="I104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40" t="str">
        <f>IF(Table1[[#This Row],[Nationality]]="Nigeria",Table1[[#This Row],[EMJM Scholarship]],"Not Applicable")</f>
        <v>Not Applicable</v>
      </c>
    </row>
    <row r="1041" spans="1:10" ht="19.25" hidden="1" customHeight="1" x14ac:dyDescent="0.3">
      <c r="A1041" s="8">
        <v>2463581</v>
      </c>
      <c r="B1041" s="6" t="s">
        <v>80</v>
      </c>
      <c r="C1041" s="1" t="s">
        <v>9</v>
      </c>
      <c r="D1041" s="1" t="s">
        <v>9</v>
      </c>
      <c r="E1041" s="1" t="s">
        <v>9</v>
      </c>
      <c r="F1041" s="6"/>
      <c r="G1041" s="6"/>
      <c r="H1041" s="11"/>
      <c r="I104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41" t="str">
        <f>IF(Table1[[#This Row],[Nationality]]="Nigeria",Table1[[#This Row],[EMJM Scholarship]],"Not Applicable")</f>
        <v>Not Applicable</v>
      </c>
    </row>
    <row r="1042" spans="1:10" ht="19.25" hidden="1" customHeight="1" x14ac:dyDescent="0.3">
      <c r="A1042" s="8">
        <v>2463640</v>
      </c>
      <c r="B1042" s="6" t="s">
        <v>80</v>
      </c>
      <c r="C1042" s="1" t="s">
        <v>9</v>
      </c>
      <c r="D1042" s="1" t="s">
        <v>9</v>
      </c>
      <c r="E1042" s="1" t="s">
        <v>9</v>
      </c>
      <c r="F1042" s="6"/>
      <c r="G1042" s="6"/>
      <c r="H1042" s="11"/>
      <c r="I104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42" t="str">
        <f>IF(Table1[[#This Row],[Nationality]]="Nigeria",Table1[[#This Row],[EMJM Scholarship]],"Not Applicable")</f>
        <v>Not Applicable</v>
      </c>
    </row>
    <row r="1043" spans="1:10" ht="19.25" hidden="1" customHeight="1" x14ac:dyDescent="0.3">
      <c r="A1043" s="8">
        <v>2463671</v>
      </c>
      <c r="B1043" s="6" t="s">
        <v>80</v>
      </c>
      <c r="C1043" s="1" t="s">
        <v>9</v>
      </c>
      <c r="D1043" s="1" t="s">
        <v>9</v>
      </c>
      <c r="E1043" s="1" t="s">
        <v>9</v>
      </c>
      <c r="F1043" s="6"/>
      <c r="G1043" s="6"/>
      <c r="H1043" s="11"/>
      <c r="I104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43" t="str">
        <f>IF(Table1[[#This Row],[Nationality]]="Nigeria",Table1[[#This Row],[EMJM Scholarship]],"Not Applicable")</f>
        <v>Not Applicable</v>
      </c>
    </row>
    <row r="1044" spans="1:10" ht="19.25" hidden="1" customHeight="1" x14ac:dyDescent="0.3">
      <c r="A1044" s="8">
        <v>2463802</v>
      </c>
      <c r="B1044" s="6" t="s">
        <v>80</v>
      </c>
      <c r="C1044" s="1" t="s">
        <v>9</v>
      </c>
      <c r="D1044" s="1" t="s">
        <v>9</v>
      </c>
      <c r="E1044" s="1" t="s">
        <v>9</v>
      </c>
      <c r="F1044" s="6"/>
      <c r="G1044" s="6"/>
      <c r="H1044" s="11"/>
      <c r="I104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44" t="str">
        <f>IF(Table1[[#This Row],[Nationality]]="Nigeria",Table1[[#This Row],[EMJM Scholarship]],"Not Applicable")</f>
        <v>Not Applicable</v>
      </c>
    </row>
    <row r="1045" spans="1:10" ht="19.25" hidden="1" customHeight="1" x14ac:dyDescent="0.3">
      <c r="A1045" s="8">
        <v>2463810</v>
      </c>
      <c r="B1045" s="6" t="s">
        <v>80</v>
      </c>
      <c r="C1045" s="1" t="s">
        <v>9</v>
      </c>
      <c r="D1045" s="1" t="s">
        <v>9</v>
      </c>
      <c r="E1045" s="1" t="s">
        <v>9</v>
      </c>
      <c r="F1045" s="6"/>
      <c r="G1045" s="6"/>
      <c r="H1045" s="11"/>
      <c r="I104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45" t="str">
        <f>IF(Table1[[#This Row],[Nationality]]="Nigeria",Table1[[#This Row],[EMJM Scholarship]],"Not Applicable")</f>
        <v>Not Applicable</v>
      </c>
    </row>
    <row r="1046" spans="1:10" ht="19.25" hidden="1" customHeight="1" x14ac:dyDescent="0.3">
      <c r="A1046" s="8">
        <v>2463831</v>
      </c>
      <c r="B1046" s="6" t="s">
        <v>80</v>
      </c>
      <c r="C1046" s="1" t="s">
        <v>9</v>
      </c>
      <c r="D1046" s="1" t="s">
        <v>9</v>
      </c>
      <c r="E1046" s="1" t="s">
        <v>9</v>
      </c>
      <c r="F1046" s="6"/>
      <c r="G1046" s="6"/>
      <c r="H1046" s="11"/>
      <c r="I104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46" t="str">
        <f>IF(Table1[[#This Row],[Nationality]]="Nigeria",Table1[[#This Row],[EMJM Scholarship]],"Not Applicable")</f>
        <v>Not Applicable</v>
      </c>
    </row>
    <row r="1047" spans="1:10" ht="19.25" hidden="1" customHeight="1" x14ac:dyDescent="0.3">
      <c r="A1047" s="8">
        <v>2463833</v>
      </c>
      <c r="B1047" s="6" t="s">
        <v>80</v>
      </c>
      <c r="C1047" s="1" t="s">
        <v>9</v>
      </c>
      <c r="D1047" s="1" t="s">
        <v>9</v>
      </c>
      <c r="E1047" s="1" t="s">
        <v>9</v>
      </c>
      <c r="F1047" s="6"/>
      <c r="G1047" s="6"/>
      <c r="H1047" s="11"/>
      <c r="I104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47" t="str">
        <f>IF(Table1[[#This Row],[Nationality]]="Nigeria",Table1[[#This Row],[EMJM Scholarship]],"Not Applicable")</f>
        <v>Not Applicable</v>
      </c>
    </row>
    <row r="1048" spans="1:10" ht="19.25" hidden="1" customHeight="1" x14ac:dyDescent="0.3">
      <c r="A1048" s="8">
        <v>2463999</v>
      </c>
      <c r="B1048" s="6" t="s">
        <v>80</v>
      </c>
      <c r="C1048" s="1" t="s">
        <v>9</v>
      </c>
      <c r="D1048" s="1" t="s">
        <v>9</v>
      </c>
      <c r="E1048" s="1" t="s">
        <v>9</v>
      </c>
      <c r="F1048" s="6"/>
      <c r="G1048" s="6"/>
      <c r="H1048" s="11"/>
      <c r="I104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48" t="str">
        <f>IF(Table1[[#This Row],[Nationality]]="Nigeria",Table1[[#This Row],[EMJM Scholarship]],"Not Applicable")</f>
        <v>Not Applicable</v>
      </c>
    </row>
    <row r="1049" spans="1:10" ht="19.25" hidden="1" customHeight="1" x14ac:dyDescent="0.3">
      <c r="A1049" s="8">
        <v>2464003</v>
      </c>
      <c r="B1049" s="6" t="s">
        <v>80</v>
      </c>
      <c r="C1049" s="1" t="s">
        <v>9</v>
      </c>
      <c r="D1049" s="1" t="s">
        <v>9</v>
      </c>
      <c r="E1049" s="1" t="s">
        <v>9</v>
      </c>
      <c r="F1049" s="6"/>
      <c r="G1049" s="6"/>
      <c r="H1049" s="11"/>
      <c r="I104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49" t="str">
        <f>IF(Table1[[#This Row],[Nationality]]="Nigeria",Table1[[#This Row],[EMJM Scholarship]],"Not Applicable")</f>
        <v>Not Applicable</v>
      </c>
    </row>
    <row r="1050" spans="1:10" ht="19.25" hidden="1" customHeight="1" x14ac:dyDescent="0.3">
      <c r="A1050" s="8">
        <v>2464036</v>
      </c>
      <c r="B1050" s="6" t="s">
        <v>80</v>
      </c>
      <c r="C1050" s="1" t="s">
        <v>9</v>
      </c>
      <c r="D1050" s="1" t="s">
        <v>9</v>
      </c>
      <c r="E1050" s="1" t="s">
        <v>9</v>
      </c>
      <c r="F1050" s="6"/>
      <c r="G1050" s="6"/>
      <c r="H1050" s="11"/>
      <c r="I105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50" t="str">
        <f>IF(Table1[[#This Row],[Nationality]]="Nigeria",Table1[[#This Row],[EMJM Scholarship]],"Not Applicable")</f>
        <v>Not Applicable</v>
      </c>
    </row>
    <row r="1051" spans="1:10" ht="19.25" hidden="1" customHeight="1" x14ac:dyDescent="0.3">
      <c r="A1051" s="8">
        <v>2464051</v>
      </c>
      <c r="B1051" s="6" t="s">
        <v>80</v>
      </c>
      <c r="C1051" s="1" t="s">
        <v>9</v>
      </c>
      <c r="D1051" s="1" t="s">
        <v>9</v>
      </c>
      <c r="E1051" s="1" t="s">
        <v>9</v>
      </c>
      <c r="F1051" s="6"/>
      <c r="G1051" s="6"/>
      <c r="H1051" s="11"/>
      <c r="I105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51" t="str">
        <f>IF(Table1[[#This Row],[Nationality]]="Nigeria",Table1[[#This Row],[EMJM Scholarship]],"Not Applicable")</f>
        <v>Not Applicable</v>
      </c>
    </row>
    <row r="1052" spans="1:10" ht="19.25" hidden="1" customHeight="1" x14ac:dyDescent="0.3">
      <c r="A1052" s="8">
        <v>2464053</v>
      </c>
      <c r="B1052" s="6" t="s">
        <v>80</v>
      </c>
      <c r="C1052" s="1" t="s">
        <v>9</v>
      </c>
      <c r="D1052" s="1" t="s">
        <v>9</v>
      </c>
      <c r="E1052" s="1" t="s">
        <v>9</v>
      </c>
      <c r="F1052" s="6"/>
      <c r="G1052" s="6"/>
      <c r="H1052" s="11"/>
      <c r="I105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52" t="str">
        <f>IF(Table1[[#This Row],[Nationality]]="Nigeria",Table1[[#This Row],[EMJM Scholarship]],"Not Applicable")</f>
        <v>Not Applicable</v>
      </c>
    </row>
    <row r="1053" spans="1:10" ht="19.25" hidden="1" customHeight="1" x14ac:dyDescent="0.3">
      <c r="A1053" s="8">
        <v>2464057</v>
      </c>
      <c r="B1053" s="6" t="s">
        <v>80</v>
      </c>
      <c r="C1053" s="1" t="s">
        <v>9</v>
      </c>
      <c r="D1053" s="1" t="s">
        <v>9</v>
      </c>
      <c r="E1053" s="1" t="s">
        <v>9</v>
      </c>
      <c r="F1053" s="6"/>
      <c r="G1053" s="6"/>
      <c r="H1053" s="11"/>
      <c r="I105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53" t="str">
        <f>IF(Table1[[#This Row],[Nationality]]="Nigeria",Table1[[#This Row],[EMJM Scholarship]],"Not Applicable")</f>
        <v>Not Applicable</v>
      </c>
    </row>
    <row r="1054" spans="1:10" ht="19.25" hidden="1" customHeight="1" x14ac:dyDescent="0.3">
      <c r="A1054" s="8">
        <v>2464068</v>
      </c>
      <c r="B1054" s="6" t="s">
        <v>80</v>
      </c>
      <c r="C1054" s="1" t="s">
        <v>9</v>
      </c>
      <c r="D1054" s="1" t="s">
        <v>9</v>
      </c>
      <c r="E1054" s="1" t="s">
        <v>9</v>
      </c>
      <c r="F1054" s="6"/>
      <c r="G1054" s="6"/>
      <c r="H1054" s="11"/>
      <c r="I105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54" t="str">
        <f>IF(Table1[[#This Row],[Nationality]]="Nigeria",Table1[[#This Row],[EMJM Scholarship]],"Not Applicable")</f>
        <v>Not Applicable</v>
      </c>
    </row>
    <row r="1055" spans="1:10" ht="19.25" hidden="1" customHeight="1" x14ac:dyDescent="0.3">
      <c r="A1055" s="8">
        <v>2464123</v>
      </c>
      <c r="B1055" s="6" t="s">
        <v>80</v>
      </c>
      <c r="C1055" s="1" t="s">
        <v>9</v>
      </c>
      <c r="D1055" s="1" t="s">
        <v>9</v>
      </c>
      <c r="E1055" s="1" t="s">
        <v>9</v>
      </c>
      <c r="F1055" s="6"/>
      <c r="G1055" s="6"/>
      <c r="H1055" s="11"/>
      <c r="I105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55" t="str">
        <f>IF(Table1[[#This Row],[Nationality]]="Nigeria",Table1[[#This Row],[EMJM Scholarship]],"Not Applicable")</f>
        <v>Not Applicable</v>
      </c>
    </row>
    <row r="1056" spans="1:10" ht="19.25" hidden="1" customHeight="1" x14ac:dyDescent="0.3">
      <c r="A1056" s="8">
        <v>2464236</v>
      </c>
      <c r="B1056" s="6" t="s">
        <v>80</v>
      </c>
      <c r="C1056" s="1" t="s">
        <v>9</v>
      </c>
      <c r="D1056" s="1" t="s">
        <v>9</v>
      </c>
      <c r="E1056" s="1" t="s">
        <v>9</v>
      </c>
      <c r="F1056" s="6"/>
      <c r="G1056" s="6"/>
      <c r="H1056" s="11"/>
      <c r="I105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56" t="str">
        <f>IF(Table1[[#This Row],[Nationality]]="Nigeria",Table1[[#This Row],[EMJM Scholarship]],"Not Applicable")</f>
        <v>Not Applicable</v>
      </c>
    </row>
    <row r="1057" spans="1:10" ht="19.25" hidden="1" customHeight="1" x14ac:dyDescent="0.3">
      <c r="A1057" s="8">
        <v>2464256</v>
      </c>
      <c r="B1057" s="6" t="s">
        <v>80</v>
      </c>
      <c r="C1057" s="1" t="s">
        <v>9</v>
      </c>
      <c r="D1057" s="1" t="s">
        <v>9</v>
      </c>
      <c r="E1057" s="1" t="s">
        <v>9</v>
      </c>
      <c r="F1057" s="6"/>
      <c r="G1057" s="6"/>
      <c r="H1057" s="11"/>
      <c r="I105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57" t="str">
        <f>IF(Table1[[#This Row],[Nationality]]="Nigeria",Table1[[#This Row],[EMJM Scholarship]],"Not Applicable")</f>
        <v>Not Applicable</v>
      </c>
    </row>
    <row r="1058" spans="1:10" ht="19.25" hidden="1" customHeight="1" x14ac:dyDescent="0.3">
      <c r="A1058" s="8">
        <v>2464277</v>
      </c>
      <c r="B1058" s="6" t="s">
        <v>80</v>
      </c>
      <c r="C1058" s="1" t="s">
        <v>9</v>
      </c>
      <c r="D1058" s="1" t="s">
        <v>9</v>
      </c>
      <c r="E1058" s="1" t="s">
        <v>9</v>
      </c>
      <c r="F1058" s="6"/>
      <c r="G1058" s="6"/>
      <c r="H1058" s="11"/>
      <c r="I105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58" t="str">
        <f>IF(Table1[[#This Row],[Nationality]]="Nigeria",Table1[[#This Row],[EMJM Scholarship]],"Not Applicable")</f>
        <v>Not Applicable</v>
      </c>
    </row>
    <row r="1059" spans="1:10" ht="19.25" hidden="1" customHeight="1" x14ac:dyDescent="0.3">
      <c r="A1059" s="8">
        <v>2464309</v>
      </c>
      <c r="B1059" s="6" t="s">
        <v>80</v>
      </c>
      <c r="C1059" s="1" t="s">
        <v>9</v>
      </c>
      <c r="D1059" s="1" t="s">
        <v>9</v>
      </c>
      <c r="E1059" s="1" t="s">
        <v>9</v>
      </c>
      <c r="F1059" s="6"/>
      <c r="G1059" s="6"/>
      <c r="H1059" s="11"/>
      <c r="I105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59" t="str">
        <f>IF(Table1[[#This Row],[Nationality]]="Nigeria",Table1[[#This Row],[EMJM Scholarship]],"Not Applicable")</f>
        <v>Not Applicable</v>
      </c>
    </row>
    <row r="1060" spans="1:10" ht="19.25" hidden="1" customHeight="1" x14ac:dyDescent="0.3">
      <c r="A1060" s="8">
        <v>2464329</v>
      </c>
      <c r="B1060" s="6" t="s">
        <v>80</v>
      </c>
      <c r="C1060" s="1" t="s">
        <v>9</v>
      </c>
      <c r="D1060" s="1" t="s">
        <v>9</v>
      </c>
      <c r="E1060" s="1" t="s">
        <v>9</v>
      </c>
      <c r="F1060" s="6"/>
      <c r="G1060" s="6"/>
      <c r="H1060" s="11"/>
      <c r="I106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60" t="str">
        <f>IF(Table1[[#This Row],[Nationality]]="Nigeria",Table1[[#This Row],[EMJM Scholarship]],"Not Applicable")</f>
        <v>Not Applicable</v>
      </c>
    </row>
    <row r="1061" spans="1:10" ht="19.25" hidden="1" customHeight="1" x14ac:dyDescent="0.3">
      <c r="A1061" s="8">
        <v>2464334</v>
      </c>
      <c r="B1061" s="6" t="s">
        <v>80</v>
      </c>
      <c r="C1061" s="1" t="s">
        <v>9</v>
      </c>
      <c r="D1061" s="1" t="s">
        <v>9</v>
      </c>
      <c r="E1061" s="1" t="s">
        <v>9</v>
      </c>
      <c r="F1061" s="6"/>
      <c r="G1061" s="6"/>
      <c r="H1061" s="11"/>
      <c r="I106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61" t="str">
        <f>IF(Table1[[#This Row],[Nationality]]="Nigeria",Table1[[#This Row],[EMJM Scholarship]],"Not Applicable")</f>
        <v>Not Applicable</v>
      </c>
    </row>
    <row r="1062" spans="1:10" ht="19.25" hidden="1" customHeight="1" x14ac:dyDescent="0.3">
      <c r="A1062" s="8">
        <v>2464362</v>
      </c>
      <c r="B1062" s="6" t="s">
        <v>80</v>
      </c>
      <c r="C1062" s="1" t="s">
        <v>9</v>
      </c>
      <c r="D1062" s="1" t="s">
        <v>9</v>
      </c>
      <c r="E1062" s="1" t="s">
        <v>9</v>
      </c>
      <c r="F1062" s="6"/>
      <c r="G1062" s="6"/>
      <c r="H1062" s="11"/>
      <c r="I106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62" t="str">
        <f>IF(Table1[[#This Row],[Nationality]]="Nigeria",Table1[[#This Row],[EMJM Scholarship]],"Not Applicable")</f>
        <v>Not Applicable</v>
      </c>
    </row>
    <row r="1063" spans="1:10" ht="19.25" hidden="1" customHeight="1" x14ac:dyDescent="0.3">
      <c r="A1063" s="8">
        <v>2464381</v>
      </c>
      <c r="B1063" s="6" t="s">
        <v>80</v>
      </c>
      <c r="C1063" s="1" t="s">
        <v>9</v>
      </c>
      <c r="D1063" s="1" t="s">
        <v>9</v>
      </c>
      <c r="E1063" s="1" t="s">
        <v>9</v>
      </c>
      <c r="F1063" s="6"/>
      <c r="G1063" s="6"/>
      <c r="H1063" s="11"/>
      <c r="I106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63" t="str">
        <f>IF(Table1[[#This Row],[Nationality]]="Nigeria",Table1[[#This Row],[EMJM Scholarship]],"Not Applicable")</f>
        <v>Not Applicable</v>
      </c>
    </row>
    <row r="1064" spans="1:10" ht="19.25" hidden="1" customHeight="1" x14ac:dyDescent="0.3">
      <c r="A1064" s="8">
        <v>2464384</v>
      </c>
      <c r="B1064" s="6" t="s">
        <v>80</v>
      </c>
      <c r="C1064" s="1" t="s">
        <v>9</v>
      </c>
      <c r="D1064" s="1" t="s">
        <v>9</v>
      </c>
      <c r="E1064" s="1" t="s">
        <v>9</v>
      </c>
      <c r="F1064" s="6"/>
      <c r="G1064" s="6"/>
      <c r="H1064" s="11"/>
      <c r="I106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64" t="str">
        <f>IF(Table1[[#This Row],[Nationality]]="Nigeria",Table1[[#This Row],[EMJM Scholarship]],"Not Applicable")</f>
        <v>Not Applicable</v>
      </c>
    </row>
    <row r="1065" spans="1:10" ht="19.25" hidden="1" customHeight="1" x14ac:dyDescent="0.3">
      <c r="A1065" s="8">
        <v>2464423</v>
      </c>
      <c r="B1065" s="6" t="s">
        <v>80</v>
      </c>
      <c r="C1065" s="1" t="s">
        <v>9</v>
      </c>
      <c r="D1065" s="1" t="s">
        <v>9</v>
      </c>
      <c r="E1065" s="1" t="s">
        <v>9</v>
      </c>
      <c r="F1065" s="6"/>
      <c r="G1065" s="6"/>
      <c r="H1065" s="11"/>
      <c r="I106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65" t="str">
        <f>IF(Table1[[#This Row],[Nationality]]="Nigeria",Table1[[#This Row],[EMJM Scholarship]],"Not Applicable")</f>
        <v>Not Applicable</v>
      </c>
    </row>
    <row r="1066" spans="1:10" ht="19.25" hidden="1" customHeight="1" x14ac:dyDescent="0.3">
      <c r="A1066" s="8">
        <v>2464424</v>
      </c>
      <c r="B1066" s="6" t="s">
        <v>80</v>
      </c>
      <c r="C1066" s="1" t="s">
        <v>9</v>
      </c>
      <c r="D1066" s="1" t="s">
        <v>9</v>
      </c>
      <c r="E1066" s="1" t="s">
        <v>9</v>
      </c>
      <c r="F1066" s="6"/>
      <c r="G1066" s="6"/>
      <c r="H1066" s="11"/>
      <c r="I106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66" t="str">
        <f>IF(Table1[[#This Row],[Nationality]]="Nigeria",Table1[[#This Row],[EMJM Scholarship]],"Not Applicable")</f>
        <v>Not Applicable</v>
      </c>
    </row>
    <row r="1067" spans="1:10" ht="19.25" hidden="1" customHeight="1" x14ac:dyDescent="0.3">
      <c r="A1067" s="8">
        <v>2464518</v>
      </c>
      <c r="B1067" s="6" t="s">
        <v>80</v>
      </c>
      <c r="C1067" s="1" t="s">
        <v>9</v>
      </c>
      <c r="D1067" s="1" t="s">
        <v>9</v>
      </c>
      <c r="E1067" s="1" t="s">
        <v>9</v>
      </c>
      <c r="F1067" s="6"/>
      <c r="G1067" s="6"/>
      <c r="H1067" s="11"/>
      <c r="I106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67" t="str">
        <f>IF(Table1[[#This Row],[Nationality]]="Nigeria",Table1[[#This Row],[EMJM Scholarship]],"Not Applicable")</f>
        <v>Not Applicable</v>
      </c>
    </row>
    <row r="1068" spans="1:10" ht="19.25" hidden="1" customHeight="1" x14ac:dyDescent="0.3">
      <c r="A1068" s="8">
        <v>2464534</v>
      </c>
      <c r="B1068" s="6" t="s">
        <v>80</v>
      </c>
      <c r="C1068" s="1" t="s">
        <v>9</v>
      </c>
      <c r="D1068" s="1" t="s">
        <v>9</v>
      </c>
      <c r="E1068" s="1" t="s">
        <v>9</v>
      </c>
      <c r="F1068" s="6"/>
      <c r="G1068" s="6"/>
      <c r="H1068" s="11"/>
      <c r="I106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68" t="str">
        <f>IF(Table1[[#This Row],[Nationality]]="Nigeria",Table1[[#This Row],[EMJM Scholarship]],"Not Applicable")</f>
        <v>Not Applicable</v>
      </c>
    </row>
    <row r="1069" spans="1:10" ht="19.25" hidden="1" customHeight="1" x14ac:dyDescent="0.3">
      <c r="A1069" s="8">
        <v>2464537</v>
      </c>
      <c r="B1069" s="6" t="s">
        <v>80</v>
      </c>
      <c r="C1069" s="1" t="s">
        <v>9</v>
      </c>
      <c r="D1069" s="1" t="s">
        <v>9</v>
      </c>
      <c r="E1069" s="1" t="s">
        <v>9</v>
      </c>
      <c r="F1069" s="6"/>
      <c r="G1069" s="6"/>
      <c r="H1069" s="11"/>
      <c r="I106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69" t="str">
        <f>IF(Table1[[#This Row],[Nationality]]="Nigeria",Table1[[#This Row],[EMJM Scholarship]],"Not Applicable")</f>
        <v>Not Applicable</v>
      </c>
    </row>
    <row r="1070" spans="1:10" ht="19.25" hidden="1" customHeight="1" x14ac:dyDescent="0.3">
      <c r="A1070" s="8">
        <v>2464541</v>
      </c>
      <c r="B1070" s="6" t="s">
        <v>80</v>
      </c>
      <c r="C1070" s="1" t="s">
        <v>9</v>
      </c>
      <c r="D1070" s="1" t="s">
        <v>9</v>
      </c>
      <c r="E1070" s="1" t="s">
        <v>9</v>
      </c>
      <c r="F1070" s="6"/>
      <c r="G1070" s="6"/>
      <c r="H1070" s="11"/>
      <c r="I107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70" t="str">
        <f>IF(Table1[[#This Row],[Nationality]]="Nigeria",Table1[[#This Row],[EMJM Scholarship]],"Not Applicable")</f>
        <v>Not Applicable</v>
      </c>
    </row>
    <row r="1071" spans="1:10" ht="19.25" hidden="1" customHeight="1" x14ac:dyDescent="0.3">
      <c r="A1071" s="8">
        <v>2464545</v>
      </c>
      <c r="B1071" s="6" t="s">
        <v>80</v>
      </c>
      <c r="C1071" s="1" t="s">
        <v>9</v>
      </c>
      <c r="D1071" s="1" t="s">
        <v>9</v>
      </c>
      <c r="E1071" s="1" t="s">
        <v>9</v>
      </c>
      <c r="F1071" s="6"/>
      <c r="G1071" s="6"/>
      <c r="H1071" s="11"/>
      <c r="I107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71" t="str">
        <f>IF(Table1[[#This Row],[Nationality]]="Nigeria",Table1[[#This Row],[EMJM Scholarship]],"Not Applicable")</f>
        <v>Not Applicable</v>
      </c>
    </row>
    <row r="1072" spans="1:10" ht="19.25" hidden="1" customHeight="1" x14ac:dyDescent="0.3">
      <c r="A1072" s="8">
        <v>2464546</v>
      </c>
      <c r="B1072" s="6" t="s">
        <v>80</v>
      </c>
      <c r="C1072" s="1" t="s">
        <v>9</v>
      </c>
      <c r="D1072" s="1" t="s">
        <v>9</v>
      </c>
      <c r="E1072" s="1" t="s">
        <v>9</v>
      </c>
      <c r="F1072" s="6"/>
      <c r="G1072" s="6"/>
      <c r="H1072" s="11"/>
      <c r="I107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72" t="str">
        <f>IF(Table1[[#This Row],[Nationality]]="Nigeria",Table1[[#This Row],[EMJM Scholarship]],"Not Applicable")</f>
        <v>Not Applicable</v>
      </c>
    </row>
    <row r="1073" spans="1:10" ht="19.25" hidden="1" customHeight="1" x14ac:dyDescent="0.3">
      <c r="A1073" s="8">
        <v>2464582</v>
      </c>
      <c r="B1073" s="6" t="s">
        <v>80</v>
      </c>
      <c r="C1073" s="1" t="s">
        <v>9</v>
      </c>
      <c r="D1073" s="1" t="s">
        <v>9</v>
      </c>
      <c r="E1073" s="1" t="s">
        <v>9</v>
      </c>
      <c r="F1073" s="6"/>
      <c r="G1073" s="6"/>
      <c r="H1073" s="11"/>
      <c r="I107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73" t="str">
        <f>IF(Table1[[#This Row],[Nationality]]="Nigeria",Table1[[#This Row],[EMJM Scholarship]],"Not Applicable")</f>
        <v>Not Applicable</v>
      </c>
    </row>
    <row r="1074" spans="1:10" ht="19.25" hidden="1" customHeight="1" x14ac:dyDescent="0.3">
      <c r="A1074" s="8">
        <v>2464608</v>
      </c>
      <c r="B1074" s="6" t="s">
        <v>80</v>
      </c>
      <c r="C1074" s="1" t="s">
        <v>9</v>
      </c>
      <c r="D1074" s="1" t="s">
        <v>9</v>
      </c>
      <c r="E1074" s="1" t="s">
        <v>9</v>
      </c>
      <c r="F1074" s="6"/>
      <c r="G1074" s="6"/>
      <c r="H1074" s="11"/>
      <c r="I107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74" t="str">
        <f>IF(Table1[[#This Row],[Nationality]]="Nigeria",Table1[[#This Row],[EMJM Scholarship]],"Not Applicable")</f>
        <v>Not Applicable</v>
      </c>
    </row>
    <row r="1075" spans="1:10" ht="19.25" hidden="1" customHeight="1" x14ac:dyDescent="0.3">
      <c r="A1075" s="8">
        <v>2464618</v>
      </c>
      <c r="B1075" s="6" t="s">
        <v>80</v>
      </c>
      <c r="C1075" s="1" t="s">
        <v>9</v>
      </c>
      <c r="D1075" s="1" t="s">
        <v>9</v>
      </c>
      <c r="E1075" s="1" t="s">
        <v>9</v>
      </c>
      <c r="F1075" s="6"/>
      <c r="G1075" s="6"/>
      <c r="H1075" s="11"/>
      <c r="I107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75" t="str">
        <f>IF(Table1[[#This Row],[Nationality]]="Nigeria",Table1[[#This Row],[EMJM Scholarship]],"Not Applicable")</f>
        <v>Not Applicable</v>
      </c>
    </row>
    <row r="1076" spans="1:10" ht="19.25" hidden="1" customHeight="1" x14ac:dyDescent="0.3">
      <c r="A1076" s="8">
        <v>2464623</v>
      </c>
      <c r="B1076" s="6" t="s">
        <v>80</v>
      </c>
      <c r="C1076" s="1" t="s">
        <v>9</v>
      </c>
      <c r="D1076" s="1" t="s">
        <v>9</v>
      </c>
      <c r="E1076" s="1" t="s">
        <v>9</v>
      </c>
      <c r="F1076" s="6"/>
      <c r="G1076" s="6"/>
      <c r="H1076" s="11"/>
      <c r="I107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76" t="str">
        <f>IF(Table1[[#This Row],[Nationality]]="Nigeria",Table1[[#This Row],[EMJM Scholarship]],"Not Applicable")</f>
        <v>Not Applicable</v>
      </c>
    </row>
    <row r="1077" spans="1:10" ht="19.25" hidden="1" customHeight="1" x14ac:dyDescent="0.3">
      <c r="A1077" s="8">
        <v>2464666</v>
      </c>
      <c r="B1077" s="6" t="s">
        <v>80</v>
      </c>
      <c r="C1077" s="1" t="s">
        <v>9</v>
      </c>
      <c r="D1077" s="1" t="s">
        <v>9</v>
      </c>
      <c r="E1077" s="1" t="s">
        <v>9</v>
      </c>
      <c r="F1077" s="6"/>
      <c r="G1077" s="6"/>
      <c r="H1077" s="11"/>
      <c r="I107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77" t="str">
        <f>IF(Table1[[#This Row],[Nationality]]="Nigeria",Table1[[#This Row],[EMJM Scholarship]],"Not Applicable")</f>
        <v>Not Applicable</v>
      </c>
    </row>
    <row r="1078" spans="1:10" ht="19.25" hidden="1" customHeight="1" x14ac:dyDescent="0.3">
      <c r="A1078" s="8">
        <v>2464667</v>
      </c>
      <c r="B1078" s="6" t="s">
        <v>80</v>
      </c>
      <c r="C1078" s="1" t="s">
        <v>9</v>
      </c>
      <c r="D1078" s="1" t="s">
        <v>9</v>
      </c>
      <c r="E1078" s="1" t="s">
        <v>9</v>
      </c>
      <c r="F1078" s="6"/>
      <c r="G1078" s="6"/>
      <c r="H1078" s="11"/>
      <c r="I107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78" t="str">
        <f>IF(Table1[[#This Row],[Nationality]]="Nigeria",Table1[[#This Row],[EMJM Scholarship]],"Not Applicable")</f>
        <v>Not Applicable</v>
      </c>
    </row>
    <row r="1079" spans="1:10" ht="19.25" hidden="1" customHeight="1" x14ac:dyDescent="0.3">
      <c r="A1079" s="8">
        <v>2464724</v>
      </c>
      <c r="B1079" s="6" t="s">
        <v>80</v>
      </c>
      <c r="C1079" s="1" t="s">
        <v>9</v>
      </c>
      <c r="D1079" s="1" t="s">
        <v>9</v>
      </c>
      <c r="E1079" s="1" t="s">
        <v>9</v>
      </c>
      <c r="F1079" s="6"/>
      <c r="G1079" s="6"/>
      <c r="H1079" s="11"/>
      <c r="I107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79" t="str">
        <f>IF(Table1[[#This Row],[Nationality]]="Nigeria",Table1[[#This Row],[EMJM Scholarship]],"Not Applicable")</f>
        <v>Not Applicable</v>
      </c>
    </row>
    <row r="1080" spans="1:10" ht="19.25" hidden="1" customHeight="1" x14ac:dyDescent="0.3">
      <c r="A1080" s="8">
        <v>2464730</v>
      </c>
      <c r="B1080" s="6" t="s">
        <v>80</v>
      </c>
      <c r="C1080" s="1" t="s">
        <v>9</v>
      </c>
      <c r="D1080" s="1" t="s">
        <v>9</v>
      </c>
      <c r="E1080" s="1" t="s">
        <v>9</v>
      </c>
      <c r="F1080" s="6"/>
      <c r="G1080" s="6"/>
      <c r="H1080" s="11"/>
      <c r="I108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80" t="str">
        <f>IF(Table1[[#This Row],[Nationality]]="Nigeria",Table1[[#This Row],[EMJM Scholarship]],"Not Applicable")</f>
        <v>Not Applicable</v>
      </c>
    </row>
    <row r="1081" spans="1:10" ht="19.25" hidden="1" customHeight="1" x14ac:dyDescent="0.3">
      <c r="A1081" s="8">
        <v>2464770</v>
      </c>
      <c r="B1081" s="6" t="s">
        <v>80</v>
      </c>
      <c r="C1081" s="1" t="s">
        <v>9</v>
      </c>
      <c r="D1081" s="1" t="s">
        <v>9</v>
      </c>
      <c r="E1081" s="1" t="s">
        <v>9</v>
      </c>
      <c r="F1081" s="6"/>
      <c r="G1081" s="6"/>
      <c r="H1081" s="11"/>
      <c r="I108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81" t="str">
        <f>IF(Table1[[#This Row],[Nationality]]="Nigeria",Table1[[#This Row],[EMJM Scholarship]],"Not Applicable")</f>
        <v>Not Applicable</v>
      </c>
    </row>
    <row r="1082" spans="1:10" ht="19.25" hidden="1" customHeight="1" x14ac:dyDescent="0.3">
      <c r="A1082" s="8">
        <v>2464789</v>
      </c>
      <c r="B1082" s="6" t="s">
        <v>80</v>
      </c>
      <c r="C1082" s="1" t="s">
        <v>9</v>
      </c>
      <c r="D1082" s="1" t="s">
        <v>9</v>
      </c>
      <c r="E1082" s="1" t="s">
        <v>9</v>
      </c>
      <c r="F1082" s="6"/>
      <c r="G1082" s="6"/>
      <c r="H1082" s="11"/>
      <c r="I108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82" t="str">
        <f>IF(Table1[[#This Row],[Nationality]]="Nigeria",Table1[[#This Row],[EMJM Scholarship]],"Not Applicable")</f>
        <v>Not Applicable</v>
      </c>
    </row>
    <row r="1083" spans="1:10" ht="19.25" hidden="1" customHeight="1" x14ac:dyDescent="0.3">
      <c r="A1083" s="8">
        <v>2464822</v>
      </c>
      <c r="B1083" s="6" t="s">
        <v>80</v>
      </c>
      <c r="C1083" s="1" t="s">
        <v>9</v>
      </c>
      <c r="D1083" s="1" t="s">
        <v>9</v>
      </c>
      <c r="E1083" s="1" t="s">
        <v>9</v>
      </c>
      <c r="F1083" s="6"/>
      <c r="G1083" s="6"/>
      <c r="H1083" s="11"/>
      <c r="I108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83" t="str">
        <f>IF(Table1[[#This Row],[Nationality]]="Nigeria",Table1[[#This Row],[EMJM Scholarship]],"Not Applicable")</f>
        <v>Not Applicable</v>
      </c>
    </row>
    <row r="1084" spans="1:10" ht="19.25" hidden="1" customHeight="1" x14ac:dyDescent="0.3">
      <c r="A1084" s="8">
        <v>2464828</v>
      </c>
      <c r="B1084" s="6" t="s">
        <v>80</v>
      </c>
      <c r="C1084" s="1" t="s">
        <v>9</v>
      </c>
      <c r="D1084" s="1" t="s">
        <v>9</v>
      </c>
      <c r="E1084" s="1" t="s">
        <v>9</v>
      </c>
      <c r="F1084" s="6"/>
      <c r="G1084" s="6"/>
      <c r="H1084" s="11"/>
      <c r="I108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84" t="str">
        <f>IF(Table1[[#This Row],[Nationality]]="Nigeria",Table1[[#This Row],[EMJM Scholarship]],"Not Applicable")</f>
        <v>Not Applicable</v>
      </c>
    </row>
    <row r="1085" spans="1:10" ht="19.25" hidden="1" customHeight="1" x14ac:dyDescent="0.3">
      <c r="A1085" s="8">
        <v>2464832</v>
      </c>
      <c r="B1085" s="6" t="s">
        <v>80</v>
      </c>
      <c r="C1085" s="1" t="s">
        <v>9</v>
      </c>
      <c r="D1085" s="1" t="s">
        <v>9</v>
      </c>
      <c r="E1085" s="1" t="s">
        <v>9</v>
      </c>
      <c r="F1085" s="6"/>
      <c r="G1085" s="6"/>
      <c r="H1085" s="11"/>
      <c r="I108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85" t="str">
        <f>IF(Table1[[#This Row],[Nationality]]="Nigeria",Table1[[#This Row],[EMJM Scholarship]],"Not Applicable")</f>
        <v>Not Applicable</v>
      </c>
    </row>
    <row r="1086" spans="1:10" ht="19.25" hidden="1" customHeight="1" x14ac:dyDescent="0.3">
      <c r="A1086" s="8">
        <v>2464882</v>
      </c>
      <c r="B1086" s="6" t="s">
        <v>80</v>
      </c>
      <c r="C1086" s="1" t="s">
        <v>9</v>
      </c>
      <c r="D1086" s="1" t="s">
        <v>9</v>
      </c>
      <c r="E1086" s="1" t="s">
        <v>9</v>
      </c>
      <c r="F1086" s="6"/>
      <c r="G1086" s="6"/>
      <c r="H1086" s="11"/>
      <c r="I108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86" t="str">
        <f>IF(Table1[[#This Row],[Nationality]]="Nigeria",Table1[[#This Row],[EMJM Scholarship]],"Not Applicable")</f>
        <v>Not Applicable</v>
      </c>
    </row>
    <row r="1087" spans="1:10" ht="19.25" hidden="1" customHeight="1" x14ac:dyDescent="0.3">
      <c r="A1087" s="8">
        <v>2464883</v>
      </c>
      <c r="B1087" s="6" t="s">
        <v>80</v>
      </c>
      <c r="C1087" s="1" t="s">
        <v>9</v>
      </c>
      <c r="D1087" s="1" t="s">
        <v>9</v>
      </c>
      <c r="E1087" s="1" t="s">
        <v>9</v>
      </c>
      <c r="F1087" s="6"/>
      <c r="G1087" s="6"/>
      <c r="H1087" s="11"/>
      <c r="I108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87" t="str">
        <f>IF(Table1[[#This Row],[Nationality]]="Nigeria",Table1[[#This Row],[EMJM Scholarship]],"Not Applicable")</f>
        <v>Not Applicable</v>
      </c>
    </row>
    <row r="1088" spans="1:10" ht="19.25" hidden="1" customHeight="1" x14ac:dyDescent="0.3">
      <c r="A1088" s="8">
        <v>2465032</v>
      </c>
      <c r="B1088" s="6" t="s">
        <v>80</v>
      </c>
      <c r="C1088" s="1" t="s">
        <v>9</v>
      </c>
      <c r="D1088" s="1" t="s">
        <v>9</v>
      </c>
      <c r="E1088" s="1" t="s">
        <v>9</v>
      </c>
      <c r="F1088" s="6"/>
      <c r="G1088" s="6"/>
      <c r="H1088" s="11"/>
      <c r="I108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88" t="str">
        <f>IF(Table1[[#This Row],[Nationality]]="Nigeria",Table1[[#This Row],[EMJM Scholarship]],"Not Applicable")</f>
        <v>Not Applicable</v>
      </c>
    </row>
    <row r="1089" spans="1:10" ht="19.25" hidden="1" customHeight="1" x14ac:dyDescent="0.3">
      <c r="A1089" s="8">
        <v>2465041</v>
      </c>
      <c r="B1089" s="6" t="s">
        <v>80</v>
      </c>
      <c r="C1089" s="1" t="s">
        <v>9</v>
      </c>
      <c r="D1089" s="1" t="s">
        <v>9</v>
      </c>
      <c r="E1089" s="1" t="s">
        <v>9</v>
      </c>
      <c r="F1089" s="6"/>
      <c r="G1089" s="6"/>
      <c r="H1089" s="11"/>
      <c r="I108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89" t="str">
        <f>IF(Table1[[#This Row],[Nationality]]="Nigeria",Table1[[#This Row],[EMJM Scholarship]],"Not Applicable")</f>
        <v>Not Applicable</v>
      </c>
    </row>
    <row r="1090" spans="1:10" ht="19.25" hidden="1" customHeight="1" x14ac:dyDescent="0.3">
      <c r="A1090" s="8">
        <v>2465050</v>
      </c>
      <c r="B1090" s="6" t="s">
        <v>80</v>
      </c>
      <c r="C1090" s="1" t="s">
        <v>9</v>
      </c>
      <c r="D1090" s="1" t="s">
        <v>9</v>
      </c>
      <c r="E1090" s="1" t="s">
        <v>9</v>
      </c>
      <c r="F1090" s="6"/>
      <c r="G1090" s="6"/>
      <c r="H1090" s="11"/>
      <c r="I109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90" t="str">
        <f>IF(Table1[[#This Row],[Nationality]]="Nigeria",Table1[[#This Row],[EMJM Scholarship]],"Not Applicable")</f>
        <v>Not Applicable</v>
      </c>
    </row>
    <row r="1091" spans="1:10" ht="19.25" hidden="1" customHeight="1" x14ac:dyDescent="0.3">
      <c r="A1091" s="8">
        <v>2465051</v>
      </c>
      <c r="B1091" s="6" t="s">
        <v>80</v>
      </c>
      <c r="C1091" s="1" t="s">
        <v>9</v>
      </c>
      <c r="D1091" s="1" t="s">
        <v>9</v>
      </c>
      <c r="E1091" s="1" t="s">
        <v>9</v>
      </c>
      <c r="F1091" s="6"/>
      <c r="G1091" s="6"/>
      <c r="H1091" s="11"/>
      <c r="I109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91" t="str">
        <f>IF(Table1[[#This Row],[Nationality]]="Nigeria",Table1[[#This Row],[EMJM Scholarship]],"Not Applicable")</f>
        <v>Not Applicable</v>
      </c>
    </row>
    <row r="1092" spans="1:10" ht="19.25" hidden="1" customHeight="1" x14ac:dyDescent="0.3">
      <c r="A1092" s="8">
        <v>2465172</v>
      </c>
      <c r="B1092" s="6" t="s">
        <v>80</v>
      </c>
      <c r="C1092" s="1" t="s">
        <v>9</v>
      </c>
      <c r="D1092" s="1" t="s">
        <v>9</v>
      </c>
      <c r="E1092" s="1" t="s">
        <v>9</v>
      </c>
      <c r="F1092" s="6"/>
      <c r="G1092" s="6"/>
      <c r="H1092" s="11"/>
      <c r="I109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92" t="str">
        <f>IF(Table1[[#This Row],[Nationality]]="Nigeria",Table1[[#This Row],[EMJM Scholarship]],"Not Applicable")</f>
        <v>Not Applicable</v>
      </c>
    </row>
    <row r="1093" spans="1:10" ht="19.25" hidden="1" customHeight="1" x14ac:dyDescent="0.3">
      <c r="A1093" s="8">
        <v>2465179</v>
      </c>
      <c r="B1093" s="6" t="s">
        <v>80</v>
      </c>
      <c r="C1093" s="1" t="s">
        <v>9</v>
      </c>
      <c r="D1093" s="1" t="s">
        <v>9</v>
      </c>
      <c r="E1093" s="1" t="s">
        <v>9</v>
      </c>
      <c r="F1093" s="6"/>
      <c r="G1093" s="6"/>
      <c r="H1093" s="11"/>
      <c r="I109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93" t="str">
        <f>IF(Table1[[#This Row],[Nationality]]="Nigeria",Table1[[#This Row],[EMJM Scholarship]],"Not Applicable")</f>
        <v>Not Applicable</v>
      </c>
    </row>
    <row r="1094" spans="1:10" ht="19.25" hidden="1" customHeight="1" x14ac:dyDescent="0.3">
      <c r="A1094" s="8">
        <v>2465265</v>
      </c>
      <c r="B1094" s="6" t="s">
        <v>80</v>
      </c>
      <c r="C1094" s="1" t="s">
        <v>9</v>
      </c>
      <c r="D1094" s="1" t="s">
        <v>9</v>
      </c>
      <c r="E1094" s="1" t="s">
        <v>9</v>
      </c>
      <c r="F1094" s="6"/>
      <c r="G1094" s="6"/>
      <c r="H1094" s="11"/>
      <c r="I109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94" t="str">
        <f>IF(Table1[[#This Row],[Nationality]]="Nigeria",Table1[[#This Row],[EMJM Scholarship]],"Not Applicable")</f>
        <v>Not Applicable</v>
      </c>
    </row>
    <row r="1095" spans="1:10" ht="19.25" hidden="1" customHeight="1" x14ac:dyDescent="0.3">
      <c r="A1095" s="8">
        <v>2465295</v>
      </c>
      <c r="B1095" s="6" t="s">
        <v>80</v>
      </c>
      <c r="C1095" s="1" t="s">
        <v>9</v>
      </c>
      <c r="D1095" s="1" t="s">
        <v>9</v>
      </c>
      <c r="E1095" s="1" t="s">
        <v>9</v>
      </c>
      <c r="F1095" s="6"/>
      <c r="G1095" s="6"/>
      <c r="H1095" s="11"/>
      <c r="I109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95" t="str">
        <f>IF(Table1[[#This Row],[Nationality]]="Nigeria",Table1[[#This Row],[EMJM Scholarship]],"Not Applicable")</f>
        <v>Not Applicable</v>
      </c>
    </row>
    <row r="1096" spans="1:10" ht="19.25" hidden="1" customHeight="1" x14ac:dyDescent="0.3">
      <c r="A1096" s="8">
        <v>2465349</v>
      </c>
      <c r="B1096" s="6" t="s">
        <v>80</v>
      </c>
      <c r="C1096" s="1" t="s">
        <v>9</v>
      </c>
      <c r="D1096" s="1" t="s">
        <v>9</v>
      </c>
      <c r="E1096" s="1" t="s">
        <v>9</v>
      </c>
      <c r="F1096" s="6"/>
      <c r="G1096" s="6"/>
      <c r="H1096" s="11"/>
      <c r="I109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96" t="str">
        <f>IF(Table1[[#This Row],[Nationality]]="Nigeria",Table1[[#This Row],[EMJM Scholarship]],"Not Applicable")</f>
        <v>Not Applicable</v>
      </c>
    </row>
    <row r="1097" spans="1:10" ht="19.25" hidden="1" customHeight="1" x14ac:dyDescent="0.3">
      <c r="A1097" s="8">
        <v>2465417</v>
      </c>
      <c r="B1097" s="6" t="s">
        <v>80</v>
      </c>
      <c r="C1097" s="1" t="s">
        <v>9</v>
      </c>
      <c r="D1097" s="1" t="s">
        <v>9</v>
      </c>
      <c r="E1097" s="1" t="s">
        <v>9</v>
      </c>
      <c r="F1097" s="6"/>
      <c r="G1097" s="6"/>
      <c r="H1097" s="11"/>
      <c r="I109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97" t="str">
        <f>IF(Table1[[#This Row],[Nationality]]="Nigeria",Table1[[#This Row],[EMJM Scholarship]],"Not Applicable")</f>
        <v>Not Applicable</v>
      </c>
    </row>
    <row r="1098" spans="1:10" ht="19.25" hidden="1" customHeight="1" x14ac:dyDescent="0.3">
      <c r="A1098" s="8">
        <v>2465474</v>
      </c>
      <c r="B1098" s="6" t="s">
        <v>80</v>
      </c>
      <c r="C1098" s="1" t="s">
        <v>9</v>
      </c>
      <c r="D1098" s="1" t="s">
        <v>9</v>
      </c>
      <c r="E1098" s="1" t="s">
        <v>9</v>
      </c>
      <c r="F1098" s="6"/>
      <c r="G1098" s="6"/>
      <c r="H1098" s="11"/>
      <c r="I109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98" t="str">
        <f>IF(Table1[[#This Row],[Nationality]]="Nigeria",Table1[[#This Row],[EMJM Scholarship]],"Not Applicable")</f>
        <v>Not Applicable</v>
      </c>
    </row>
    <row r="1099" spans="1:10" ht="19.25" hidden="1" customHeight="1" x14ac:dyDescent="0.3">
      <c r="A1099" s="8">
        <v>2465526</v>
      </c>
      <c r="B1099" s="6" t="s">
        <v>80</v>
      </c>
      <c r="C1099" s="1" t="s">
        <v>9</v>
      </c>
      <c r="D1099" s="1" t="s">
        <v>9</v>
      </c>
      <c r="E1099" s="1" t="s">
        <v>9</v>
      </c>
      <c r="F1099" s="6"/>
      <c r="G1099" s="6"/>
      <c r="H1099" s="11"/>
      <c r="I109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099" t="str">
        <f>IF(Table1[[#This Row],[Nationality]]="Nigeria",Table1[[#This Row],[EMJM Scholarship]],"Not Applicable")</f>
        <v>Not Applicable</v>
      </c>
    </row>
    <row r="1100" spans="1:10" ht="19.25" hidden="1" customHeight="1" x14ac:dyDescent="0.3">
      <c r="A1100" s="8">
        <v>2465528</v>
      </c>
      <c r="B1100" s="6" t="s">
        <v>80</v>
      </c>
      <c r="C1100" s="1" t="s">
        <v>9</v>
      </c>
      <c r="D1100" s="1" t="s">
        <v>9</v>
      </c>
      <c r="E1100" s="1" t="s">
        <v>9</v>
      </c>
      <c r="F1100" s="6"/>
      <c r="G1100" s="6"/>
      <c r="H1100" s="11"/>
      <c r="I110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00" t="str">
        <f>IF(Table1[[#This Row],[Nationality]]="Nigeria",Table1[[#This Row],[EMJM Scholarship]],"Not Applicable")</f>
        <v>Not Applicable</v>
      </c>
    </row>
    <row r="1101" spans="1:10" ht="19.25" hidden="1" customHeight="1" x14ac:dyDescent="0.3">
      <c r="A1101" s="8">
        <v>2465569</v>
      </c>
      <c r="B1101" s="6" t="s">
        <v>80</v>
      </c>
      <c r="C1101" s="1" t="s">
        <v>9</v>
      </c>
      <c r="D1101" s="1" t="s">
        <v>9</v>
      </c>
      <c r="E1101" s="1" t="s">
        <v>9</v>
      </c>
      <c r="F1101" s="6"/>
      <c r="G1101" s="6"/>
      <c r="H1101" s="11"/>
      <c r="I110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01" t="str">
        <f>IF(Table1[[#This Row],[Nationality]]="Nigeria",Table1[[#This Row],[EMJM Scholarship]],"Not Applicable")</f>
        <v>Not Applicable</v>
      </c>
    </row>
    <row r="1102" spans="1:10" ht="19.25" hidden="1" customHeight="1" x14ac:dyDescent="0.3">
      <c r="A1102" s="8">
        <v>2465685</v>
      </c>
      <c r="B1102" s="6" t="s">
        <v>80</v>
      </c>
      <c r="C1102" s="1" t="s">
        <v>9</v>
      </c>
      <c r="D1102" s="1" t="s">
        <v>9</v>
      </c>
      <c r="E1102" s="1" t="s">
        <v>9</v>
      </c>
      <c r="F1102" s="6"/>
      <c r="G1102" s="6"/>
      <c r="H1102" s="11"/>
      <c r="I110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02" t="str">
        <f>IF(Table1[[#This Row],[Nationality]]="Nigeria",Table1[[#This Row],[EMJM Scholarship]],"Not Applicable")</f>
        <v>Not Applicable</v>
      </c>
    </row>
    <row r="1103" spans="1:10" ht="19.25" hidden="1" customHeight="1" x14ac:dyDescent="0.3">
      <c r="A1103" s="8">
        <v>2465686</v>
      </c>
      <c r="B1103" s="6" t="s">
        <v>80</v>
      </c>
      <c r="C1103" s="1" t="s">
        <v>9</v>
      </c>
      <c r="D1103" s="1" t="s">
        <v>9</v>
      </c>
      <c r="E1103" s="1" t="s">
        <v>9</v>
      </c>
      <c r="F1103" s="6"/>
      <c r="G1103" s="6"/>
      <c r="H1103" s="11"/>
      <c r="I110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03" t="str">
        <f>IF(Table1[[#This Row],[Nationality]]="Nigeria",Table1[[#This Row],[EMJM Scholarship]],"Not Applicable")</f>
        <v>Not Applicable</v>
      </c>
    </row>
    <row r="1104" spans="1:10" ht="19.25" hidden="1" customHeight="1" x14ac:dyDescent="0.3">
      <c r="A1104" s="8">
        <v>2465741</v>
      </c>
      <c r="B1104" s="6" t="s">
        <v>80</v>
      </c>
      <c r="C1104" s="1" t="s">
        <v>9</v>
      </c>
      <c r="D1104" s="1" t="s">
        <v>9</v>
      </c>
      <c r="E1104" s="1" t="s">
        <v>9</v>
      </c>
      <c r="F1104" s="6"/>
      <c r="G1104" s="6"/>
      <c r="H1104" s="11"/>
      <c r="I110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04" t="str">
        <f>IF(Table1[[#This Row],[Nationality]]="Nigeria",Table1[[#This Row],[EMJM Scholarship]],"Not Applicable")</f>
        <v>Not Applicable</v>
      </c>
    </row>
    <row r="1105" spans="1:10" ht="19.25" hidden="1" customHeight="1" x14ac:dyDescent="0.3">
      <c r="A1105" s="8">
        <v>2465773</v>
      </c>
      <c r="B1105" s="6" t="s">
        <v>80</v>
      </c>
      <c r="C1105" s="1" t="s">
        <v>9</v>
      </c>
      <c r="D1105" s="1" t="s">
        <v>9</v>
      </c>
      <c r="E1105" s="1" t="s">
        <v>9</v>
      </c>
      <c r="F1105" s="6"/>
      <c r="G1105" s="6"/>
      <c r="H1105" s="11"/>
      <c r="I110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05" t="str">
        <f>IF(Table1[[#This Row],[Nationality]]="Nigeria",Table1[[#This Row],[EMJM Scholarship]],"Not Applicable")</f>
        <v>Not Applicable</v>
      </c>
    </row>
    <row r="1106" spans="1:10" ht="19.25" hidden="1" customHeight="1" x14ac:dyDescent="0.3">
      <c r="A1106" s="8">
        <v>2465775</v>
      </c>
      <c r="B1106" s="6" t="s">
        <v>80</v>
      </c>
      <c r="C1106" s="1" t="s">
        <v>9</v>
      </c>
      <c r="D1106" s="1" t="s">
        <v>9</v>
      </c>
      <c r="E1106" s="1" t="s">
        <v>9</v>
      </c>
      <c r="F1106" s="6"/>
      <c r="G1106" s="6"/>
      <c r="H1106" s="11"/>
      <c r="I110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06" t="str">
        <f>IF(Table1[[#This Row],[Nationality]]="Nigeria",Table1[[#This Row],[EMJM Scholarship]],"Not Applicable")</f>
        <v>Not Applicable</v>
      </c>
    </row>
    <row r="1107" spans="1:10" ht="19.25" hidden="1" customHeight="1" x14ac:dyDescent="0.3">
      <c r="A1107" s="8">
        <v>2465805</v>
      </c>
      <c r="B1107" s="6" t="s">
        <v>80</v>
      </c>
      <c r="C1107" s="1" t="s">
        <v>9</v>
      </c>
      <c r="D1107" s="1" t="s">
        <v>9</v>
      </c>
      <c r="E1107" s="1" t="s">
        <v>9</v>
      </c>
      <c r="F1107" s="6"/>
      <c r="G1107" s="6"/>
      <c r="H1107" s="11"/>
      <c r="I110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07" t="str">
        <f>IF(Table1[[#This Row],[Nationality]]="Nigeria",Table1[[#This Row],[EMJM Scholarship]],"Not Applicable")</f>
        <v>Not Applicable</v>
      </c>
    </row>
    <row r="1108" spans="1:10" ht="19.25" hidden="1" customHeight="1" x14ac:dyDescent="0.3">
      <c r="A1108" s="8">
        <v>2465866</v>
      </c>
      <c r="B1108" s="6" t="s">
        <v>80</v>
      </c>
      <c r="C1108" s="1" t="s">
        <v>9</v>
      </c>
      <c r="D1108" s="1" t="s">
        <v>9</v>
      </c>
      <c r="E1108" s="1" t="s">
        <v>9</v>
      </c>
      <c r="F1108" s="6"/>
      <c r="G1108" s="6"/>
      <c r="H1108" s="11"/>
      <c r="I110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08" t="str">
        <f>IF(Table1[[#This Row],[Nationality]]="Nigeria",Table1[[#This Row],[EMJM Scholarship]],"Not Applicable")</f>
        <v>Not Applicable</v>
      </c>
    </row>
    <row r="1109" spans="1:10" ht="19.25" hidden="1" customHeight="1" x14ac:dyDescent="0.3">
      <c r="A1109" s="8">
        <v>2465876</v>
      </c>
      <c r="B1109" s="6" t="s">
        <v>80</v>
      </c>
      <c r="C1109" s="1" t="s">
        <v>9</v>
      </c>
      <c r="D1109" s="1" t="s">
        <v>9</v>
      </c>
      <c r="E1109" s="1" t="s">
        <v>9</v>
      </c>
      <c r="F1109" s="6"/>
      <c r="G1109" s="6"/>
      <c r="H1109" s="11"/>
      <c r="I110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09" t="str">
        <f>IF(Table1[[#This Row],[Nationality]]="Nigeria",Table1[[#This Row],[EMJM Scholarship]],"Not Applicable")</f>
        <v>Not Applicable</v>
      </c>
    </row>
    <row r="1110" spans="1:10" ht="19.25" hidden="1" customHeight="1" x14ac:dyDescent="0.3">
      <c r="A1110" s="8">
        <v>2465947</v>
      </c>
      <c r="B1110" s="6" t="s">
        <v>80</v>
      </c>
      <c r="C1110" s="1" t="s">
        <v>9</v>
      </c>
      <c r="D1110" s="1" t="s">
        <v>9</v>
      </c>
      <c r="E1110" s="1" t="s">
        <v>9</v>
      </c>
      <c r="F1110" s="6"/>
      <c r="G1110" s="6"/>
      <c r="H1110" s="11"/>
      <c r="I111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10" t="str">
        <f>IF(Table1[[#This Row],[Nationality]]="Nigeria",Table1[[#This Row],[EMJM Scholarship]],"Not Applicable")</f>
        <v>Not Applicable</v>
      </c>
    </row>
    <row r="1111" spans="1:10" ht="19.25" hidden="1" customHeight="1" x14ac:dyDescent="0.3">
      <c r="A1111" s="8">
        <v>2465985</v>
      </c>
      <c r="B1111" s="6" t="s">
        <v>80</v>
      </c>
      <c r="C1111" s="1" t="s">
        <v>9</v>
      </c>
      <c r="D1111" s="1" t="s">
        <v>9</v>
      </c>
      <c r="E1111" s="1" t="s">
        <v>9</v>
      </c>
      <c r="F1111" s="6"/>
      <c r="G1111" s="6"/>
      <c r="H1111" s="11"/>
      <c r="I111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11" t="str">
        <f>IF(Table1[[#This Row],[Nationality]]="Nigeria",Table1[[#This Row],[EMJM Scholarship]],"Not Applicable")</f>
        <v>Not Applicable</v>
      </c>
    </row>
    <row r="1112" spans="1:10" ht="19.25" hidden="1" customHeight="1" x14ac:dyDescent="0.3">
      <c r="A1112" s="8">
        <v>2465990</v>
      </c>
      <c r="B1112" s="6" t="s">
        <v>80</v>
      </c>
      <c r="C1112" s="1" t="s">
        <v>9</v>
      </c>
      <c r="D1112" s="1" t="s">
        <v>9</v>
      </c>
      <c r="E1112" s="1" t="s">
        <v>9</v>
      </c>
      <c r="F1112" s="6"/>
      <c r="G1112" s="6"/>
      <c r="H1112" s="11"/>
      <c r="I111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12" t="str">
        <f>IF(Table1[[#This Row],[Nationality]]="Nigeria",Table1[[#This Row],[EMJM Scholarship]],"Not Applicable")</f>
        <v>Not Applicable</v>
      </c>
    </row>
    <row r="1113" spans="1:10" ht="19.25" hidden="1" customHeight="1" x14ac:dyDescent="0.3">
      <c r="A1113" s="8">
        <v>2466024</v>
      </c>
      <c r="B1113" s="6" t="s">
        <v>80</v>
      </c>
      <c r="C1113" s="1" t="s">
        <v>9</v>
      </c>
      <c r="D1113" s="1" t="s">
        <v>9</v>
      </c>
      <c r="E1113" s="1" t="s">
        <v>9</v>
      </c>
      <c r="F1113" s="6"/>
      <c r="G1113" s="6"/>
      <c r="H1113" s="11"/>
      <c r="I111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13" t="str">
        <f>IF(Table1[[#This Row],[Nationality]]="Nigeria",Table1[[#This Row],[EMJM Scholarship]],"Not Applicable")</f>
        <v>Not Applicable</v>
      </c>
    </row>
    <row r="1114" spans="1:10" ht="19.25" hidden="1" customHeight="1" x14ac:dyDescent="0.3">
      <c r="A1114" s="8">
        <v>2466070</v>
      </c>
      <c r="B1114" s="6" t="s">
        <v>80</v>
      </c>
      <c r="C1114" s="1" t="s">
        <v>9</v>
      </c>
      <c r="D1114" s="1" t="s">
        <v>9</v>
      </c>
      <c r="E1114" s="1" t="s">
        <v>9</v>
      </c>
      <c r="F1114" s="6"/>
      <c r="G1114" s="6"/>
      <c r="H1114" s="11"/>
      <c r="I111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14" t="str">
        <f>IF(Table1[[#This Row],[Nationality]]="Nigeria",Table1[[#This Row],[EMJM Scholarship]],"Not Applicable")</f>
        <v>Not Applicable</v>
      </c>
    </row>
    <row r="1115" spans="1:10" ht="19.25" hidden="1" customHeight="1" x14ac:dyDescent="0.3">
      <c r="A1115" s="8">
        <v>2466085</v>
      </c>
      <c r="B1115" s="6" t="s">
        <v>80</v>
      </c>
      <c r="C1115" s="1" t="s">
        <v>9</v>
      </c>
      <c r="D1115" s="1" t="s">
        <v>9</v>
      </c>
      <c r="E1115" s="1" t="s">
        <v>9</v>
      </c>
      <c r="F1115" s="6"/>
      <c r="G1115" s="6"/>
      <c r="H1115" s="11"/>
      <c r="I111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15" t="str">
        <f>IF(Table1[[#This Row],[Nationality]]="Nigeria",Table1[[#This Row],[EMJM Scholarship]],"Not Applicable")</f>
        <v>Not Applicable</v>
      </c>
    </row>
    <row r="1116" spans="1:10" ht="19.25" hidden="1" customHeight="1" x14ac:dyDescent="0.3">
      <c r="A1116" s="8">
        <v>2466142</v>
      </c>
      <c r="B1116" s="6" t="s">
        <v>80</v>
      </c>
      <c r="C1116" s="1" t="s">
        <v>9</v>
      </c>
      <c r="D1116" s="1" t="s">
        <v>9</v>
      </c>
      <c r="E1116" s="1" t="s">
        <v>9</v>
      </c>
      <c r="F1116" s="6"/>
      <c r="G1116" s="6"/>
      <c r="H1116" s="11"/>
      <c r="I111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16" t="str">
        <f>IF(Table1[[#This Row],[Nationality]]="Nigeria",Table1[[#This Row],[EMJM Scholarship]],"Not Applicable")</f>
        <v>Not Applicable</v>
      </c>
    </row>
    <row r="1117" spans="1:10" ht="19.25" hidden="1" customHeight="1" x14ac:dyDescent="0.3">
      <c r="A1117" s="8">
        <v>2466342</v>
      </c>
      <c r="B1117" s="6" t="s">
        <v>80</v>
      </c>
      <c r="C1117" s="1" t="s">
        <v>9</v>
      </c>
      <c r="D1117" s="1" t="s">
        <v>9</v>
      </c>
      <c r="E1117" s="1" t="s">
        <v>9</v>
      </c>
      <c r="F1117" s="6"/>
      <c r="G1117" s="6"/>
      <c r="H1117" s="11"/>
      <c r="I111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17" t="str">
        <f>IF(Table1[[#This Row],[Nationality]]="Nigeria",Table1[[#This Row],[EMJM Scholarship]],"Not Applicable")</f>
        <v>Not Applicable</v>
      </c>
    </row>
    <row r="1118" spans="1:10" ht="19.25" hidden="1" customHeight="1" x14ac:dyDescent="0.3">
      <c r="A1118" s="8">
        <v>2466346</v>
      </c>
      <c r="B1118" s="6" t="s">
        <v>80</v>
      </c>
      <c r="C1118" s="1" t="s">
        <v>9</v>
      </c>
      <c r="D1118" s="1" t="s">
        <v>9</v>
      </c>
      <c r="E1118" s="1" t="s">
        <v>9</v>
      </c>
      <c r="F1118" s="6"/>
      <c r="G1118" s="6"/>
      <c r="H1118" s="11"/>
      <c r="I111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18" t="str">
        <f>IF(Table1[[#This Row],[Nationality]]="Nigeria",Table1[[#This Row],[EMJM Scholarship]],"Not Applicable")</f>
        <v>Not Applicable</v>
      </c>
    </row>
    <row r="1119" spans="1:10" ht="19.25" hidden="1" customHeight="1" x14ac:dyDescent="0.3">
      <c r="A1119" s="8">
        <v>2466371</v>
      </c>
      <c r="B1119" s="6" t="s">
        <v>80</v>
      </c>
      <c r="C1119" s="1" t="s">
        <v>9</v>
      </c>
      <c r="D1119" s="1" t="s">
        <v>9</v>
      </c>
      <c r="E1119" s="1" t="s">
        <v>9</v>
      </c>
      <c r="F1119" s="6"/>
      <c r="G1119" s="6"/>
      <c r="H1119" s="11"/>
      <c r="I111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19" t="str">
        <f>IF(Table1[[#This Row],[Nationality]]="Nigeria",Table1[[#This Row],[EMJM Scholarship]],"Not Applicable")</f>
        <v>Not Applicable</v>
      </c>
    </row>
    <row r="1120" spans="1:10" ht="19.25" hidden="1" customHeight="1" x14ac:dyDescent="0.3">
      <c r="A1120" s="8">
        <v>2466419</v>
      </c>
      <c r="B1120" s="6" t="s">
        <v>80</v>
      </c>
      <c r="C1120" s="1" t="s">
        <v>9</v>
      </c>
      <c r="D1120" s="1" t="s">
        <v>9</v>
      </c>
      <c r="E1120" s="1" t="s">
        <v>9</v>
      </c>
      <c r="F1120" s="6"/>
      <c r="G1120" s="6"/>
      <c r="H1120" s="11"/>
      <c r="I112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20" t="str">
        <f>IF(Table1[[#This Row],[Nationality]]="Nigeria",Table1[[#This Row],[EMJM Scholarship]],"Not Applicable")</f>
        <v>Not Applicable</v>
      </c>
    </row>
    <row r="1121" spans="1:10" ht="19.25" hidden="1" customHeight="1" x14ac:dyDescent="0.3">
      <c r="A1121" s="8">
        <v>2466558</v>
      </c>
      <c r="B1121" s="6" t="s">
        <v>80</v>
      </c>
      <c r="C1121" s="1" t="s">
        <v>9</v>
      </c>
      <c r="D1121" s="1" t="s">
        <v>9</v>
      </c>
      <c r="E1121" s="1" t="s">
        <v>9</v>
      </c>
      <c r="F1121" s="6"/>
      <c r="G1121" s="6"/>
      <c r="H1121" s="11"/>
      <c r="I112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21" t="str">
        <f>IF(Table1[[#This Row],[Nationality]]="Nigeria",Table1[[#This Row],[EMJM Scholarship]],"Not Applicable")</f>
        <v>Not Applicable</v>
      </c>
    </row>
    <row r="1122" spans="1:10" ht="19.25" hidden="1" customHeight="1" x14ac:dyDescent="0.3">
      <c r="A1122" s="8">
        <v>2466584</v>
      </c>
      <c r="B1122" s="6" t="s">
        <v>80</v>
      </c>
      <c r="C1122" s="1" t="s">
        <v>9</v>
      </c>
      <c r="D1122" s="1" t="s">
        <v>9</v>
      </c>
      <c r="E1122" s="1" t="s">
        <v>9</v>
      </c>
      <c r="F1122" s="6"/>
      <c r="G1122" s="6"/>
      <c r="H1122" s="11"/>
      <c r="I112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22" t="str">
        <f>IF(Table1[[#This Row],[Nationality]]="Nigeria",Table1[[#This Row],[EMJM Scholarship]],"Not Applicable")</f>
        <v>Not Applicable</v>
      </c>
    </row>
    <row r="1123" spans="1:10" ht="19.25" hidden="1" customHeight="1" x14ac:dyDescent="0.3">
      <c r="A1123" s="8">
        <v>2466605</v>
      </c>
      <c r="B1123" s="6" t="s">
        <v>80</v>
      </c>
      <c r="C1123" s="1" t="s">
        <v>9</v>
      </c>
      <c r="D1123" s="1" t="s">
        <v>9</v>
      </c>
      <c r="E1123" s="1" t="s">
        <v>9</v>
      </c>
      <c r="F1123" s="6"/>
      <c r="G1123" s="6"/>
      <c r="H1123" s="11"/>
      <c r="I112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23" t="str">
        <f>IF(Table1[[#This Row],[Nationality]]="Nigeria",Table1[[#This Row],[EMJM Scholarship]],"Not Applicable")</f>
        <v>Not Applicable</v>
      </c>
    </row>
    <row r="1124" spans="1:10" ht="19.25" hidden="1" customHeight="1" x14ac:dyDescent="0.3">
      <c r="A1124" s="8">
        <v>2466610</v>
      </c>
      <c r="B1124" s="6" t="s">
        <v>80</v>
      </c>
      <c r="C1124" s="1" t="s">
        <v>9</v>
      </c>
      <c r="D1124" s="1" t="s">
        <v>9</v>
      </c>
      <c r="E1124" s="1" t="s">
        <v>9</v>
      </c>
      <c r="F1124" s="6"/>
      <c r="G1124" s="6"/>
      <c r="H1124" s="11"/>
      <c r="I112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24" t="str">
        <f>IF(Table1[[#This Row],[Nationality]]="Nigeria",Table1[[#This Row],[EMJM Scholarship]],"Not Applicable")</f>
        <v>Not Applicable</v>
      </c>
    </row>
    <row r="1125" spans="1:10" ht="19.25" hidden="1" customHeight="1" x14ac:dyDescent="0.3">
      <c r="A1125" s="8">
        <v>2466644</v>
      </c>
      <c r="B1125" s="6" t="s">
        <v>80</v>
      </c>
      <c r="C1125" s="1" t="s">
        <v>9</v>
      </c>
      <c r="D1125" s="1" t="s">
        <v>9</v>
      </c>
      <c r="E1125" s="1" t="s">
        <v>9</v>
      </c>
      <c r="F1125" s="6"/>
      <c r="G1125" s="6"/>
      <c r="H1125" s="11"/>
      <c r="I112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25" t="str">
        <f>IF(Table1[[#This Row],[Nationality]]="Nigeria",Table1[[#This Row],[EMJM Scholarship]],"Not Applicable")</f>
        <v>Not Applicable</v>
      </c>
    </row>
    <row r="1126" spans="1:10" ht="19.25" hidden="1" customHeight="1" x14ac:dyDescent="0.3">
      <c r="A1126" s="8">
        <v>2466688</v>
      </c>
      <c r="B1126" s="6" t="s">
        <v>80</v>
      </c>
      <c r="C1126" s="1" t="s">
        <v>9</v>
      </c>
      <c r="D1126" s="1" t="s">
        <v>9</v>
      </c>
      <c r="E1126" s="1" t="s">
        <v>9</v>
      </c>
      <c r="F1126" s="6"/>
      <c r="G1126" s="6"/>
      <c r="H1126" s="11"/>
      <c r="I112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26" t="str">
        <f>IF(Table1[[#This Row],[Nationality]]="Nigeria",Table1[[#This Row],[EMJM Scholarship]],"Not Applicable")</f>
        <v>Not Applicable</v>
      </c>
    </row>
    <row r="1127" spans="1:10" ht="19.25" hidden="1" customHeight="1" x14ac:dyDescent="0.3">
      <c r="A1127" s="8">
        <v>2466834</v>
      </c>
      <c r="B1127" s="6" t="s">
        <v>80</v>
      </c>
      <c r="C1127" s="1" t="s">
        <v>9</v>
      </c>
      <c r="D1127" s="1" t="s">
        <v>9</v>
      </c>
      <c r="E1127" s="1" t="s">
        <v>9</v>
      </c>
      <c r="F1127" s="6"/>
      <c r="G1127" s="6"/>
      <c r="H1127" s="11"/>
      <c r="I112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27" t="str">
        <f>IF(Table1[[#This Row],[Nationality]]="Nigeria",Table1[[#This Row],[EMJM Scholarship]],"Not Applicable")</f>
        <v>Not Applicable</v>
      </c>
    </row>
    <row r="1128" spans="1:10" ht="19.25" hidden="1" customHeight="1" x14ac:dyDescent="0.3">
      <c r="A1128" s="8">
        <v>2467079</v>
      </c>
      <c r="B1128" s="6" t="s">
        <v>80</v>
      </c>
      <c r="C1128" s="1" t="s">
        <v>9</v>
      </c>
      <c r="D1128" s="1" t="s">
        <v>9</v>
      </c>
      <c r="E1128" s="1" t="s">
        <v>9</v>
      </c>
      <c r="F1128" s="6"/>
      <c r="G1128" s="6"/>
      <c r="H1128" s="11"/>
      <c r="I112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28" t="str">
        <f>IF(Table1[[#This Row],[Nationality]]="Nigeria",Table1[[#This Row],[EMJM Scholarship]],"Not Applicable")</f>
        <v>Not Applicable</v>
      </c>
    </row>
    <row r="1129" spans="1:10" ht="19.25" hidden="1" customHeight="1" x14ac:dyDescent="0.3">
      <c r="A1129" s="8">
        <v>2467180</v>
      </c>
      <c r="B1129" s="6" t="s">
        <v>80</v>
      </c>
      <c r="C1129" s="1" t="s">
        <v>9</v>
      </c>
      <c r="D1129" s="1" t="s">
        <v>9</v>
      </c>
      <c r="E1129" s="1" t="s">
        <v>9</v>
      </c>
      <c r="F1129" s="6"/>
      <c r="G1129" s="6"/>
      <c r="H1129" s="11"/>
      <c r="I112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29" t="str">
        <f>IF(Table1[[#This Row],[Nationality]]="Nigeria",Table1[[#This Row],[EMJM Scholarship]],"Not Applicable")</f>
        <v>Not Applicable</v>
      </c>
    </row>
    <row r="1130" spans="1:10" ht="19.25" hidden="1" customHeight="1" x14ac:dyDescent="0.3">
      <c r="A1130" s="8">
        <v>2467211</v>
      </c>
      <c r="B1130" s="6" t="s">
        <v>80</v>
      </c>
      <c r="C1130" s="1" t="s">
        <v>9</v>
      </c>
      <c r="D1130" s="1" t="s">
        <v>9</v>
      </c>
      <c r="E1130" s="1" t="s">
        <v>9</v>
      </c>
      <c r="F1130" s="6"/>
      <c r="G1130" s="6"/>
      <c r="H1130" s="11"/>
      <c r="I113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30" t="str">
        <f>IF(Table1[[#This Row],[Nationality]]="Nigeria",Table1[[#This Row],[EMJM Scholarship]],"Not Applicable")</f>
        <v>Not Applicable</v>
      </c>
    </row>
    <row r="1131" spans="1:10" ht="19.25" hidden="1" customHeight="1" x14ac:dyDescent="0.3">
      <c r="A1131" s="8">
        <v>2467264</v>
      </c>
      <c r="B1131" s="6" t="s">
        <v>80</v>
      </c>
      <c r="C1131" s="1" t="s">
        <v>9</v>
      </c>
      <c r="D1131" s="1" t="s">
        <v>9</v>
      </c>
      <c r="E1131" s="1" t="s">
        <v>9</v>
      </c>
      <c r="F1131" s="6"/>
      <c r="G1131" s="6"/>
      <c r="H1131" s="11"/>
      <c r="I113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31" t="str">
        <f>IF(Table1[[#This Row],[Nationality]]="Nigeria",Table1[[#This Row],[EMJM Scholarship]],"Not Applicable")</f>
        <v>Not Applicable</v>
      </c>
    </row>
    <row r="1132" spans="1:10" ht="19.25" hidden="1" customHeight="1" x14ac:dyDescent="0.3">
      <c r="A1132" s="8">
        <v>2467276</v>
      </c>
      <c r="B1132" s="6" t="s">
        <v>80</v>
      </c>
      <c r="C1132" s="1" t="s">
        <v>9</v>
      </c>
      <c r="D1132" s="1" t="s">
        <v>9</v>
      </c>
      <c r="E1132" s="1" t="s">
        <v>9</v>
      </c>
      <c r="F1132" s="6"/>
      <c r="G1132" s="6"/>
      <c r="H1132" s="11"/>
      <c r="I113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32" t="str">
        <f>IF(Table1[[#This Row],[Nationality]]="Nigeria",Table1[[#This Row],[EMJM Scholarship]],"Not Applicable")</f>
        <v>Not Applicable</v>
      </c>
    </row>
    <row r="1133" spans="1:10" ht="19.25" hidden="1" customHeight="1" x14ac:dyDescent="0.3">
      <c r="A1133" s="8">
        <v>2467416</v>
      </c>
      <c r="B1133" s="6" t="s">
        <v>80</v>
      </c>
      <c r="C1133" s="1" t="s">
        <v>9</v>
      </c>
      <c r="D1133" s="1" t="s">
        <v>9</v>
      </c>
      <c r="E1133" s="1" t="s">
        <v>9</v>
      </c>
      <c r="F1133" s="6"/>
      <c r="G1133" s="6"/>
      <c r="H1133" s="11"/>
      <c r="I113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33" t="str">
        <f>IF(Table1[[#This Row],[Nationality]]="Nigeria",Table1[[#This Row],[EMJM Scholarship]],"Not Applicable")</f>
        <v>Not Applicable</v>
      </c>
    </row>
    <row r="1134" spans="1:10" ht="19.25" hidden="1" customHeight="1" x14ac:dyDescent="0.3">
      <c r="A1134" s="8">
        <v>2467430</v>
      </c>
      <c r="B1134" s="6" t="s">
        <v>80</v>
      </c>
      <c r="C1134" s="1" t="s">
        <v>9</v>
      </c>
      <c r="D1134" s="1" t="s">
        <v>9</v>
      </c>
      <c r="E1134" s="1" t="s">
        <v>9</v>
      </c>
      <c r="F1134" s="6"/>
      <c r="G1134" s="6"/>
      <c r="H1134" s="11"/>
      <c r="I113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34" t="str">
        <f>IF(Table1[[#This Row],[Nationality]]="Nigeria",Table1[[#This Row],[EMJM Scholarship]],"Not Applicable")</f>
        <v>Not Applicable</v>
      </c>
    </row>
    <row r="1135" spans="1:10" ht="19.25" hidden="1" customHeight="1" x14ac:dyDescent="0.3">
      <c r="A1135" s="8">
        <v>2467866</v>
      </c>
      <c r="B1135" s="6" t="s">
        <v>80</v>
      </c>
      <c r="C1135" s="1" t="s">
        <v>9</v>
      </c>
      <c r="D1135" s="1" t="s">
        <v>9</v>
      </c>
      <c r="E1135" s="1" t="s">
        <v>9</v>
      </c>
      <c r="F1135" s="6"/>
      <c r="G1135" s="6"/>
      <c r="H1135" s="11"/>
      <c r="I113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35" t="str">
        <f>IF(Table1[[#This Row],[Nationality]]="Nigeria",Table1[[#This Row],[EMJM Scholarship]],"Not Applicable")</f>
        <v>Not Applicable</v>
      </c>
    </row>
    <row r="1136" spans="1:10" ht="19.25" hidden="1" customHeight="1" x14ac:dyDescent="0.3">
      <c r="A1136" s="8">
        <v>2468000</v>
      </c>
      <c r="B1136" s="6" t="s">
        <v>80</v>
      </c>
      <c r="C1136" s="1" t="s">
        <v>9</v>
      </c>
      <c r="D1136" s="1" t="s">
        <v>9</v>
      </c>
      <c r="E1136" s="1" t="s">
        <v>9</v>
      </c>
      <c r="F1136" s="6"/>
      <c r="G1136" s="6"/>
      <c r="H1136" s="11"/>
      <c r="I113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36" t="str">
        <f>IF(Table1[[#This Row],[Nationality]]="Nigeria",Table1[[#This Row],[EMJM Scholarship]],"Not Applicable")</f>
        <v>Not Applicable</v>
      </c>
    </row>
    <row r="1137" spans="1:10" ht="19.25" hidden="1" customHeight="1" x14ac:dyDescent="0.3">
      <c r="A1137" s="8">
        <v>2468119</v>
      </c>
      <c r="B1137" s="6" t="s">
        <v>80</v>
      </c>
      <c r="C1137" s="1" t="s">
        <v>9</v>
      </c>
      <c r="D1137" s="1" t="s">
        <v>9</v>
      </c>
      <c r="E1137" s="1" t="s">
        <v>9</v>
      </c>
      <c r="F1137" s="6"/>
      <c r="G1137" s="6"/>
      <c r="H1137" s="11"/>
      <c r="I113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37" t="str">
        <f>IF(Table1[[#This Row],[Nationality]]="Nigeria",Table1[[#This Row],[EMJM Scholarship]],"Not Applicable")</f>
        <v>Not Applicable</v>
      </c>
    </row>
    <row r="1138" spans="1:10" ht="19.25" hidden="1" customHeight="1" x14ac:dyDescent="0.3">
      <c r="A1138" s="8">
        <v>2468231</v>
      </c>
      <c r="B1138" s="6" t="s">
        <v>80</v>
      </c>
      <c r="C1138" s="1" t="s">
        <v>9</v>
      </c>
      <c r="D1138" s="1" t="s">
        <v>9</v>
      </c>
      <c r="E1138" s="1" t="s">
        <v>9</v>
      </c>
      <c r="F1138" s="6"/>
      <c r="G1138" s="6"/>
      <c r="H1138" s="11"/>
      <c r="I113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38" t="str">
        <f>IF(Table1[[#This Row],[Nationality]]="Nigeria",Table1[[#This Row],[EMJM Scholarship]],"Not Applicable")</f>
        <v>Not Applicable</v>
      </c>
    </row>
    <row r="1139" spans="1:10" ht="19.25" hidden="1" customHeight="1" x14ac:dyDescent="0.3">
      <c r="A1139" s="8">
        <v>2468239</v>
      </c>
      <c r="B1139" s="6" t="s">
        <v>80</v>
      </c>
      <c r="C1139" s="1" t="s">
        <v>9</v>
      </c>
      <c r="D1139" s="1" t="s">
        <v>9</v>
      </c>
      <c r="E1139" s="1" t="s">
        <v>9</v>
      </c>
      <c r="F1139" s="6"/>
      <c r="G1139" s="6"/>
      <c r="H1139" s="11"/>
      <c r="I113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39" t="str">
        <f>IF(Table1[[#This Row],[Nationality]]="Nigeria",Table1[[#This Row],[EMJM Scholarship]],"Not Applicable")</f>
        <v>Not Applicable</v>
      </c>
    </row>
    <row r="1140" spans="1:10" ht="19.25" hidden="1" customHeight="1" x14ac:dyDescent="0.3">
      <c r="A1140" s="8">
        <v>2468395</v>
      </c>
      <c r="B1140" s="6" t="s">
        <v>80</v>
      </c>
      <c r="C1140" s="1" t="s">
        <v>9</v>
      </c>
      <c r="D1140" s="1" t="s">
        <v>9</v>
      </c>
      <c r="E1140" s="1" t="s">
        <v>9</v>
      </c>
      <c r="F1140" s="6"/>
      <c r="G1140" s="6"/>
      <c r="H1140" s="11"/>
      <c r="I114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40" t="str">
        <f>IF(Table1[[#This Row],[Nationality]]="Nigeria",Table1[[#This Row],[EMJM Scholarship]],"Not Applicable")</f>
        <v>Not Applicable</v>
      </c>
    </row>
    <row r="1141" spans="1:10" ht="19.25" hidden="1" customHeight="1" x14ac:dyDescent="0.3">
      <c r="A1141" s="8">
        <v>2468440</v>
      </c>
      <c r="B1141" s="6" t="s">
        <v>80</v>
      </c>
      <c r="C1141" s="1" t="s">
        <v>9</v>
      </c>
      <c r="D1141" s="1" t="s">
        <v>9</v>
      </c>
      <c r="E1141" s="1" t="s">
        <v>9</v>
      </c>
      <c r="F1141" s="6"/>
      <c r="G1141" s="6"/>
      <c r="H1141" s="11"/>
      <c r="I114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41" t="str">
        <f>IF(Table1[[#This Row],[Nationality]]="Nigeria",Table1[[#This Row],[EMJM Scholarship]],"Not Applicable")</f>
        <v>Not Applicable</v>
      </c>
    </row>
    <row r="1142" spans="1:10" ht="19.25" hidden="1" customHeight="1" x14ac:dyDescent="0.3">
      <c r="A1142" s="8">
        <v>2468447</v>
      </c>
      <c r="B1142" s="6" t="s">
        <v>80</v>
      </c>
      <c r="C1142" s="1" t="s">
        <v>9</v>
      </c>
      <c r="D1142" s="1" t="s">
        <v>9</v>
      </c>
      <c r="E1142" s="1" t="s">
        <v>9</v>
      </c>
      <c r="F1142" s="6"/>
      <c r="G1142" s="6"/>
      <c r="H1142" s="11"/>
      <c r="I114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42" t="str">
        <f>IF(Table1[[#This Row],[Nationality]]="Nigeria",Table1[[#This Row],[EMJM Scholarship]],"Not Applicable")</f>
        <v>Not Applicable</v>
      </c>
    </row>
    <row r="1143" spans="1:10" ht="19.25" hidden="1" customHeight="1" x14ac:dyDescent="0.3">
      <c r="A1143" s="8">
        <v>2468511</v>
      </c>
      <c r="B1143" s="6" t="s">
        <v>80</v>
      </c>
      <c r="C1143" s="1" t="s">
        <v>9</v>
      </c>
      <c r="D1143" s="1" t="s">
        <v>9</v>
      </c>
      <c r="E1143" s="1" t="s">
        <v>9</v>
      </c>
      <c r="F1143" s="6"/>
      <c r="G1143" s="6"/>
      <c r="H1143" s="11"/>
      <c r="I114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43" t="str">
        <f>IF(Table1[[#This Row],[Nationality]]="Nigeria",Table1[[#This Row],[EMJM Scholarship]],"Not Applicable")</f>
        <v>Not Applicable</v>
      </c>
    </row>
    <row r="1144" spans="1:10" ht="19.25" hidden="1" customHeight="1" x14ac:dyDescent="0.3">
      <c r="A1144" s="8">
        <v>2468697</v>
      </c>
      <c r="B1144" s="6" t="s">
        <v>80</v>
      </c>
      <c r="C1144" s="1" t="s">
        <v>9</v>
      </c>
      <c r="D1144" s="1" t="s">
        <v>9</v>
      </c>
      <c r="E1144" s="1" t="s">
        <v>9</v>
      </c>
      <c r="F1144" s="6"/>
      <c r="G1144" s="6"/>
      <c r="H1144" s="11"/>
      <c r="I114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44" t="str">
        <f>IF(Table1[[#This Row],[Nationality]]="Nigeria",Table1[[#This Row],[EMJM Scholarship]],"Not Applicable")</f>
        <v>Not Applicable</v>
      </c>
    </row>
    <row r="1145" spans="1:10" ht="19.25" hidden="1" customHeight="1" x14ac:dyDescent="0.3">
      <c r="A1145" s="8">
        <v>2468987</v>
      </c>
      <c r="B1145" s="6" t="s">
        <v>80</v>
      </c>
      <c r="C1145" s="1" t="s">
        <v>9</v>
      </c>
      <c r="D1145" s="1" t="s">
        <v>9</v>
      </c>
      <c r="E1145" s="1" t="s">
        <v>9</v>
      </c>
      <c r="F1145" s="6"/>
      <c r="G1145" s="6"/>
      <c r="H1145" s="11"/>
      <c r="I114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45" t="str">
        <f>IF(Table1[[#This Row],[Nationality]]="Nigeria",Table1[[#This Row],[EMJM Scholarship]],"Not Applicable")</f>
        <v>Not Applicable</v>
      </c>
    </row>
    <row r="1146" spans="1:10" ht="19.25" hidden="1" customHeight="1" x14ac:dyDescent="0.3">
      <c r="A1146" s="8">
        <v>2469089</v>
      </c>
      <c r="B1146" s="6" t="s">
        <v>80</v>
      </c>
      <c r="C1146" s="1" t="s">
        <v>9</v>
      </c>
      <c r="D1146" s="1" t="s">
        <v>9</v>
      </c>
      <c r="E1146" s="1" t="s">
        <v>9</v>
      </c>
      <c r="F1146" s="6"/>
      <c r="G1146" s="6"/>
      <c r="H1146" s="11"/>
      <c r="I114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46" t="str">
        <f>IF(Table1[[#This Row],[Nationality]]="Nigeria",Table1[[#This Row],[EMJM Scholarship]],"Not Applicable")</f>
        <v>Not Applicable</v>
      </c>
    </row>
    <row r="1147" spans="1:10" ht="19.25" hidden="1" customHeight="1" x14ac:dyDescent="0.3">
      <c r="A1147" s="8">
        <v>2469120</v>
      </c>
      <c r="B1147" s="6" t="s">
        <v>80</v>
      </c>
      <c r="C1147" s="1" t="s">
        <v>9</v>
      </c>
      <c r="D1147" s="1" t="s">
        <v>9</v>
      </c>
      <c r="E1147" s="1" t="s">
        <v>9</v>
      </c>
      <c r="F1147" s="6"/>
      <c r="G1147" s="6"/>
      <c r="H1147" s="11"/>
      <c r="I114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47" t="str">
        <f>IF(Table1[[#This Row],[Nationality]]="Nigeria",Table1[[#This Row],[EMJM Scholarship]],"Not Applicable")</f>
        <v>Not Applicable</v>
      </c>
    </row>
    <row r="1148" spans="1:10" ht="19.25" hidden="1" customHeight="1" x14ac:dyDescent="0.3">
      <c r="A1148" s="8">
        <v>2469224</v>
      </c>
      <c r="B1148" s="6" t="s">
        <v>80</v>
      </c>
      <c r="C1148" s="1" t="s">
        <v>9</v>
      </c>
      <c r="D1148" s="1" t="s">
        <v>9</v>
      </c>
      <c r="E1148" s="1" t="s">
        <v>9</v>
      </c>
      <c r="F1148" s="6"/>
      <c r="G1148" s="6"/>
      <c r="H1148" s="11"/>
      <c r="I114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48" t="str">
        <f>IF(Table1[[#This Row],[Nationality]]="Nigeria",Table1[[#This Row],[EMJM Scholarship]],"Not Applicable")</f>
        <v>Not Applicable</v>
      </c>
    </row>
    <row r="1149" spans="1:10" ht="19.25" hidden="1" customHeight="1" x14ac:dyDescent="0.3">
      <c r="A1149" s="8">
        <v>2469238</v>
      </c>
      <c r="B1149" s="6" t="s">
        <v>80</v>
      </c>
      <c r="C1149" s="1" t="s">
        <v>9</v>
      </c>
      <c r="D1149" s="1" t="s">
        <v>9</v>
      </c>
      <c r="E1149" s="1" t="s">
        <v>9</v>
      </c>
      <c r="F1149" s="6"/>
      <c r="G1149" s="6"/>
      <c r="H1149" s="11"/>
      <c r="I114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49" t="str">
        <f>IF(Table1[[#This Row],[Nationality]]="Nigeria",Table1[[#This Row],[EMJM Scholarship]],"Not Applicable")</f>
        <v>Not Applicable</v>
      </c>
    </row>
    <row r="1150" spans="1:10" ht="19.25" hidden="1" customHeight="1" x14ac:dyDescent="0.3">
      <c r="A1150" s="8">
        <v>2469251</v>
      </c>
      <c r="B1150" s="6" t="s">
        <v>80</v>
      </c>
      <c r="C1150" s="1" t="s">
        <v>9</v>
      </c>
      <c r="D1150" s="1" t="s">
        <v>9</v>
      </c>
      <c r="E1150" s="1" t="s">
        <v>9</v>
      </c>
      <c r="F1150" s="6"/>
      <c r="G1150" s="6"/>
      <c r="H1150" s="11"/>
      <c r="I115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50" t="str">
        <f>IF(Table1[[#This Row],[Nationality]]="Nigeria",Table1[[#This Row],[EMJM Scholarship]],"Not Applicable")</f>
        <v>Not Applicable</v>
      </c>
    </row>
    <row r="1151" spans="1:10" ht="19.25" hidden="1" customHeight="1" x14ac:dyDescent="0.3">
      <c r="A1151" s="8">
        <v>2469360</v>
      </c>
      <c r="B1151" s="6" t="s">
        <v>80</v>
      </c>
      <c r="C1151" s="1" t="s">
        <v>9</v>
      </c>
      <c r="D1151" s="1" t="s">
        <v>9</v>
      </c>
      <c r="E1151" s="1" t="s">
        <v>9</v>
      </c>
      <c r="F1151" s="6"/>
      <c r="G1151" s="6"/>
      <c r="H1151" s="11"/>
      <c r="I115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51" t="str">
        <f>IF(Table1[[#This Row],[Nationality]]="Nigeria",Table1[[#This Row],[EMJM Scholarship]],"Not Applicable")</f>
        <v>Not Applicable</v>
      </c>
    </row>
    <row r="1152" spans="1:10" ht="19.25" hidden="1" customHeight="1" x14ac:dyDescent="0.3">
      <c r="A1152" s="8">
        <v>2469461</v>
      </c>
      <c r="B1152" s="6" t="s">
        <v>80</v>
      </c>
      <c r="C1152" s="1" t="s">
        <v>9</v>
      </c>
      <c r="D1152" s="1" t="s">
        <v>9</v>
      </c>
      <c r="E1152" s="1" t="s">
        <v>9</v>
      </c>
      <c r="F1152" s="6"/>
      <c r="G1152" s="6"/>
      <c r="H1152" s="11"/>
      <c r="I115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52" t="str">
        <f>IF(Table1[[#This Row],[Nationality]]="Nigeria",Table1[[#This Row],[EMJM Scholarship]],"Not Applicable")</f>
        <v>Not Applicable</v>
      </c>
    </row>
    <row r="1153" spans="1:10" ht="19.25" hidden="1" customHeight="1" x14ac:dyDescent="0.3">
      <c r="A1153" s="8">
        <v>2469476</v>
      </c>
      <c r="B1153" s="6" t="s">
        <v>80</v>
      </c>
      <c r="C1153" s="1" t="s">
        <v>9</v>
      </c>
      <c r="D1153" s="1" t="s">
        <v>9</v>
      </c>
      <c r="E1153" s="1" t="s">
        <v>9</v>
      </c>
      <c r="F1153" s="6"/>
      <c r="G1153" s="6"/>
      <c r="H1153" s="11"/>
      <c r="I115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53" t="str">
        <f>IF(Table1[[#This Row],[Nationality]]="Nigeria",Table1[[#This Row],[EMJM Scholarship]],"Not Applicable")</f>
        <v>Not Applicable</v>
      </c>
    </row>
    <row r="1154" spans="1:10" ht="19.25" hidden="1" customHeight="1" x14ac:dyDescent="0.3">
      <c r="A1154" s="8">
        <v>2469486</v>
      </c>
      <c r="B1154" s="6" t="s">
        <v>80</v>
      </c>
      <c r="C1154" s="1" t="s">
        <v>9</v>
      </c>
      <c r="D1154" s="1" t="s">
        <v>9</v>
      </c>
      <c r="E1154" s="1" t="s">
        <v>9</v>
      </c>
      <c r="F1154" s="6"/>
      <c r="G1154" s="6"/>
      <c r="H1154" s="11"/>
      <c r="I115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54" t="str">
        <f>IF(Table1[[#This Row],[Nationality]]="Nigeria",Table1[[#This Row],[EMJM Scholarship]],"Not Applicable")</f>
        <v>Not Applicable</v>
      </c>
    </row>
    <row r="1155" spans="1:10" ht="19.25" hidden="1" customHeight="1" x14ac:dyDescent="0.3">
      <c r="A1155" s="8">
        <v>2469488</v>
      </c>
      <c r="B1155" s="6" t="s">
        <v>80</v>
      </c>
      <c r="C1155" s="1" t="s">
        <v>9</v>
      </c>
      <c r="D1155" s="1" t="s">
        <v>9</v>
      </c>
      <c r="E1155" s="1" t="s">
        <v>9</v>
      </c>
      <c r="F1155" s="6"/>
      <c r="G1155" s="6"/>
      <c r="H1155" s="11"/>
      <c r="I115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55" t="str">
        <f>IF(Table1[[#This Row],[Nationality]]="Nigeria",Table1[[#This Row],[EMJM Scholarship]],"Not Applicable")</f>
        <v>Not Applicable</v>
      </c>
    </row>
    <row r="1156" spans="1:10" ht="19.25" hidden="1" customHeight="1" x14ac:dyDescent="0.3">
      <c r="A1156" s="8">
        <v>2469489</v>
      </c>
      <c r="B1156" s="6" t="s">
        <v>80</v>
      </c>
      <c r="C1156" s="1" t="s">
        <v>9</v>
      </c>
      <c r="D1156" s="1" t="s">
        <v>9</v>
      </c>
      <c r="E1156" s="1" t="s">
        <v>9</v>
      </c>
      <c r="F1156" s="6"/>
      <c r="G1156" s="6"/>
      <c r="H1156" s="11"/>
      <c r="I115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56" t="str">
        <f>IF(Table1[[#This Row],[Nationality]]="Nigeria",Table1[[#This Row],[EMJM Scholarship]],"Not Applicable")</f>
        <v>Not Applicable</v>
      </c>
    </row>
    <row r="1157" spans="1:10" ht="19.25" hidden="1" customHeight="1" x14ac:dyDescent="0.3">
      <c r="A1157" s="8">
        <v>2469500</v>
      </c>
      <c r="B1157" s="6" t="s">
        <v>80</v>
      </c>
      <c r="C1157" s="1" t="s">
        <v>9</v>
      </c>
      <c r="D1157" s="1" t="s">
        <v>9</v>
      </c>
      <c r="E1157" s="1" t="s">
        <v>9</v>
      </c>
      <c r="F1157" s="6"/>
      <c r="G1157" s="6"/>
      <c r="H1157" s="11"/>
      <c r="I115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57" t="str">
        <f>IF(Table1[[#This Row],[Nationality]]="Nigeria",Table1[[#This Row],[EMJM Scholarship]],"Not Applicable")</f>
        <v>Not Applicable</v>
      </c>
    </row>
    <row r="1158" spans="1:10" ht="19.25" hidden="1" customHeight="1" x14ac:dyDescent="0.3">
      <c r="A1158" s="8">
        <v>2469638</v>
      </c>
      <c r="B1158" s="6" t="s">
        <v>80</v>
      </c>
      <c r="C1158" s="1" t="s">
        <v>9</v>
      </c>
      <c r="D1158" s="1" t="s">
        <v>9</v>
      </c>
      <c r="E1158" s="1" t="s">
        <v>9</v>
      </c>
      <c r="F1158" s="6"/>
      <c r="G1158" s="6"/>
      <c r="H1158" s="11"/>
      <c r="I115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58" t="str">
        <f>IF(Table1[[#This Row],[Nationality]]="Nigeria",Table1[[#This Row],[EMJM Scholarship]],"Not Applicable")</f>
        <v>Not Applicable</v>
      </c>
    </row>
    <row r="1159" spans="1:10" ht="19.25" hidden="1" customHeight="1" x14ac:dyDescent="0.3">
      <c r="A1159" s="8">
        <v>2469659</v>
      </c>
      <c r="B1159" s="6" t="s">
        <v>80</v>
      </c>
      <c r="C1159" s="1" t="s">
        <v>9</v>
      </c>
      <c r="D1159" s="1" t="s">
        <v>9</v>
      </c>
      <c r="E1159" s="1" t="s">
        <v>9</v>
      </c>
      <c r="F1159" s="6"/>
      <c r="G1159" s="6"/>
      <c r="H1159" s="11"/>
      <c r="I115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59" t="str">
        <f>IF(Table1[[#This Row],[Nationality]]="Nigeria",Table1[[#This Row],[EMJM Scholarship]],"Not Applicable")</f>
        <v>Not Applicable</v>
      </c>
    </row>
    <row r="1160" spans="1:10" ht="19.25" hidden="1" customHeight="1" x14ac:dyDescent="0.3">
      <c r="A1160" s="8">
        <v>2469668</v>
      </c>
      <c r="B1160" s="6" t="s">
        <v>80</v>
      </c>
      <c r="C1160" s="1" t="s">
        <v>9</v>
      </c>
      <c r="D1160" s="1" t="s">
        <v>9</v>
      </c>
      <c r="E1160" s="1" t="s">
        <v>9</v>
      </c>
      <c r="F1160" s="6"/>
      <c r="G1160" s="6"/>
      <c r="H1160" s="11"/>
      <c r="I116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60" t="str">
        <f>IF(Table1[[#This Row],[Nationality]]="Nigeria",Table1[[#This Row],[EMJM Scholarship]],"Not Applicable")</f>
        <v>Not Applicable</v>
      </c>
    </row>
    <row r="1161" spans="1:10" ht="19.25" hidden="1" customHeight="1" x14ac:dyDescent="0.3">
      <c r="A1161" s="8">
        <v>2469803</v>
      </c>
      <c r="B1161" s="6" t="s">
        <v>80</v>
      </c>
      <c r="C1161" s="1" t="s">
        <v>9</v>
      </c>
      <c r="D1161" s="1" t="s">
        <v>9</v>
      </c>
      <c r="E1161" s="1" t="s">
        <v>9</v>
      </c>
      <c r="F1161" s="6"/>
      <c r="G1161" s="6"/>
      <c r="H1161" s="11"/>
      <c r="I116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61" t="str">
        <f>IF(Table1[[#This Row],[Nationality]]="Nigeria",Table1[[#This Row],[EMJM Scholarship]],"Not Applicable")</f>
        <v>Not Applicable</v>
      </c>
    </row>
    <row r="1162" spans="1:10" ht="19.25" hidden="1" customHeight="1" x14ac:dyDescent="0.3">
      <c r="A1162" s="8">
        <v>2469826</v>
      </c>
      <c r="B1162" s="6" t="s">
        <v>80</v>
      </c>
      <c r="C1162" s="1" t="s">
        <v>9</v>
      </c>
      <c r="D1162" s="1" t="s">
        <v>9</v>
      </c>
      <c r="E1162" s="1" t="s">
        <v>9</v>
      </c>
      <c r="F1162" s="6"/>
      <c r="G1162" s="6"/>
      <c r="H1162" s="11"/>
      <c r="I116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62" t="str">
        <f>IF(Table1[[#This Row],[Nationality]]="Nigeria",Table1[[#This Row],[EMJM Scholarship]],"Not Applicable")</f>
        <v>Not Applicable</v>
      </c>
    </row>
    <row r="1163" spans="1:10" ht="19.25" hidden="1" customHeight="1" x14ac:dyDescent="0.3">
      <c r="A1163" s="8">
        <v>2469899</v>
      </c>
      <c r="B1163" s="6" t="s">
        <v>80</v>
      </c>
      <c r="C1163" s="1" t="s">
        <v>9</v>
      </c>
      <c r="D1163" s="1" t="s">
        <v>9</v>
      </c>
      <c r="E1163" s="1" t="s">
        <v>9</v>
      </c>
      <c r="F1163" s="6"/>
      <c r="G1163" s="6"/>
      <c r="H1163" s="11"/>
      <c r="I116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63" t="str">
        <f>IF(Table1[[#This Row],[Nationality]]="Nigeria",Table1[[#This Row],[EMJM Scholarship]],"Not Applicable")</f>
        <v>Not Applicable</v>
      </c>
    </row>
    <row r="1164" spans="1:10" ht="19.25" hidden="1" customHeight="1" x14ac:dyDescent="0.3">
      <c r="A1164" s="8">
        <v>2469911</v>
      </c>
      <c r="B1164" s="6" t="s">
        <v>80</v>
      </c>
      <c r="C1164" s="1" t="s">
        <v>9</v>
      </c>
      <c r="D1164" s="1" t="s">
        <v>9</v>
      </c>
      <c r="E1164" s="1" t="s">
        <v>9</v>
      </c>
      <c r="F1164" s="6"/>
      <c r="G1164" s="6"/>
      <c r="H1164" s="11"/>
      <c r="I116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64" t="str">
        <f>IF(Table1[[#This Row],[Nationality]]="Nigeria",Table1[[#This Row],[EMJM Scholarship]],"Not Applicable")</f>
        <v>Not Applicable</v>
      </c>
    </row>
    <row r="1165" spans="1:10" ht="19.25" hidden="1" customHeight="1" x14ac:dyDescent="0.3">
      <c r="A1165" s="8">
        <v>2469995</v>
      </c>
      <c r="B1165" s="6" t="s">
        <v>80</v>
      </c>
      <c r="C1165" s="1" t="s">
        <v>9</v>
      </c>
      <c r="D1165" s="1" t="s">
        <v>9</v>
      </c>
      <c r="E1165" s="1" t="s">
        <v>9</v>
      </c>
      <c r="F1165" s="6"/>
      <c r="G1165" s="6"/>
      <c r="H1165" s="11"/>
      <c r="I116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65" t="str">
        <f>IF(Table1[[#This Row],[Nationality]]="Nigeria",Table1[[#This Row],[EMJM Scholarship]],"Not Applicable")</f>
        <v>Not Applicable</v>
      </c>
    </row>
    <row r="1166" spans="1:10" ht="19.25" hidden="1" customHeight="1" x14ac:dyDescent="0.3">
      <c r="A1166" s="8">
        <v>2470036</v>
      </c>
      <c r="B1166" s="6" t="s">
        <v>80</v>
      </c>
      <c r="C1166" s="1" t="s">
        <v>9</v>
      </c>
      <c r="D1166" s="1" t="s">
        <v>9</v>
      </c>
      <c r="E1166" s="1" t="s">
        <v>9</v>
      </c>
      <c r="F1166" s="6"/>
      <c r="G1166" s="6"/>
      <c r="H1166" s="11"/>
      <c r="I116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66" t="str">
        <f>IF(Table1[[#This Row],[Nationality]]="Nigeria",Table1[[#This Row],[EMJM Scholarship]],"Not Applicable")</f>
        <v>Not Applicable</v>
      </c>
    </row>
    <row r="1167" spans="1:10" ht="19.25" hidden="1" customHeight="1" x14ac:dyDescent="0.3">
      <c r="A1167" s="8">
        <v>2470049</v>
      </c>
      <c r="B1167" s="6" t="s">
        <v>80</v>
      </c>
      <c r="C1167" s="1" t="s">
        <v>9</v>
      </c>
      <c r="D1167" s="1" t="s">
        <v>9</v>
      </c>
      <c r="E1167" s="1" t="s">
        <v>9</v>
      </c>
      <c r="F1167" s="6"/>
      <c r="G1167" s="6"/>
      <c r="H1167" s="11"/>
      <c r="I116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67" t="str">
        <f>IF(Table1[[#This Row],[Nationality]]="Nigeria",Table1[[#This Row],[EMJM Scholarship]],"Not Applicable")</f>
        <v>Not Applicable</v>
      </c>
    </row>
    <row r="1168" spans="1:10" ht="19.25" hidden="1" customHeight="1" x14ac:dyDescent="0.3">
      <c r="A1168" s="8">
        <v>2470116</v>
      </c>
      <c r="B1168" s="6" t="s">
        <v>80</v>
      </c>
      <c r="C1168" s="1" t="s">
        <v>9</v>
      </c>
      <c r="D1168" s="1" t="s">
        <v>9</v>
      </c>
      <c r="E1168" s="1" t="s">
        <v>9</v>
      </c>
      <c r="F1168" s="6"/>
      <c r="G1168" s="6"/>
      <c r="H1168" s="11"/>
      <c r="I116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68" t="str">
        <f>IF(Table1[[#This Row],[Nationality]]="Nigeria",Table1[[#This Row],[EMJM Scholarship]],"Not Applicable")</f>
        <v>Not Applicable</v>
      </c>
    </row>
    <row r="1169" spans="1:10" ht="19.25" hidden="1" customHeight="1" x14ac:dyDescent="0.3">
      <c r="A1169" s="8">
        <v>2470188</v>
      </c>
      <c r="B1169" s="6" t="s">
        <v>80</v>
      </c>
      <c r="C1169" s="1" t="s">
        <v>9</v>
      </c>
      <c r="D1169" s="1" t="s">
        <v>9</v>
      </c>
      <c r="E1169" s="1" t="s">
        <v>9</v>
      </c>
      <c r="F1169" s="6"/>
      <c r="G1169" s="6"/>
      <c r="H1169" s="11"/>
      <c r="I116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69" t="str">
        <f>IF(Table1[[#This Row],[Nationality]]="Nigeria",Table1[[#This Row],[EMJM Scholarship]],"Not Applicable")</f>
        <v>Not Applicable</v>
      </c>
    </row>
    <row r="1170" spans="1:10" ht="19.25" hidden="1" customHeight="1" x14ac:dyDescent="0.3">
      <c r="A1170" s="8">
        <v>2470213</v>
      </c>
      <c r="B1170" s="6" t="s">
        <v>80</v>
      </c>
      <c r="C1170" s="1" t="s">
        <v>9</v>
      </c>
      <c r="D1170" s="1" t="s">
        <v>9</v>
      </c>
      <c r="E1170" s="1" t="s">
        <v>9</v>
      </c>
      <c r="F1170" s="6"/>
      <c r="G1170" s="6"/>
      <c r="H1170" s="11"/>
      <c r="I117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70" t="str">
        <f>IF(Table1[[#This Row],[Nationality]]="Nigeria",Table1[[#This Row],[EMJM Scholarship]],"Not Applicable")</f>
        <v>Not Applicable</v>
      </c>
    </row>
    <row r="1171" spans="1:10" ht="19.25" hidden="1" customHeight="1" x14ac:dyDescent="0.3">
      <c r="A1171" s="8">
        <v>2470244</v>
      </c>
      <c r="B1171" s="6" t="s">
        <v>80</v>
      </c>
      <c r="C1171" s="1" t="s">
        <v>9</v>
      </c>
      <c r="D1171" s="1" t="s">
        <v>9</v>
      </c>
      <c r="E1171" s="1" t="s">
        <v>9</v>
      </c>
      <c r="F1171" s="6"/>
      <c r="G1171" s="6"/>
      <c r="H1171" s="11"/>
      <c r="I117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71" t="str">
        <f>IF(Table1[[#This Row],[Nationality]]="Nigeria",Table1[[#This Row],[EMJM Scholarship]],"Not Applicable")</f>
        <v>Not Applicable</v>
      </c>
    </row>
    <row r="1172" spans="1:10" ht="19.25" hidden="1" customHeight="1" x14ac:dyDescent="0.3">
      <c r="A1172" s="8">
        <v>2470251</v>
      </c>
      <c r="B1172" s="6" t="s">
        <v>80</v>
      </c>
      <c r="C1172" s="1" t="s">
        <v>9</v>
      </c>
      <c r="D1172" s="1" t="s">
        <v>9</v>
      </c>
      <c r="E1172" s="1" t="s">
        <v>9</v>
      </c>
      <c r="F1172" s="6"/>
      <c r="G1172" s="6"/>
      <c r="H1172" s="11"/>
      <c r="I117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72" t="str">
        <f>IF(Table1[[#This Row],[Nationality]]="Nigeria",Table1[[#This Row],[EMJM Scholarship]],"Not Applicable")</f>
        <v>Not Applicable</v>
      </c>
    </row>
    <row r="1173" spans="1:10" ht="19.25" hidden="1" customHeight="1" x14ac:dyDescent="0.3">
      <c r="A1173" s="8">
        <v>2470266</v>
      </c>
      <c r="B1173" s="6" t="s">
        <v>80</v>
      </c>
      <c r="C1173" s="1" t="s">
        <v>9</v>
      </c>
      <c r="D1173" s="1" t="s">
        <v>9</v>
      </c>
      <c r="E1173" s="1" t="s">
        <v>9</v>
      </c>
      <c r="F1173" s="6"/>
      <c r="G1173" s="6"/>
      <c r="H1173" s="11"/>
      <c r="I117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73" t="str">
        <f>IF(Table1[[#This Row],[Nationality]]="Nigeria",Table1[[#This Row],[EMJM Scholarship]],"Not Applicable")</f>
        <v>Not Applicable</v>
      </c>
    </row>
    <row r="1174" spans="1:10" ht="19.25" hidden="1" customHeight="1" x14ac:dyDescent="0.3">
      <c r="A1174" s="8">
        <v>2470377</v>
      </c>
      <c r="B1174" s="6" t="s">
        <v>80</v>
      </c>
      <c r="C1174" s="1" t="s">
        <v>9</v>
      </c>
      <c r="D1174" s="1" t="s">
        <v>9</v>
      </c>
      <c r="E1174" s="1" t="s">
        <v>9</v>
      </c>
      <c r="F1174" s="6"/>
      <c r="G1174" s="6"/>
      <c r="H1174" s="11"/>
      <c r="I117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74" t="str">
        <f>IF(Table1[[#This Row],[Nationality]]="Nigeria",Table1[[#This Row],[EMJM Scholarship]],"Not Applicable")</f>
        <v>Not Applicable</v>
      </c>
    </row>
    <row r="1175" spans="1:10" ht="19.25" hidden="1" customHeight="1" x14ac:dyDescent="0.3">
      <c r="A1175" s="8">
        <v>2470386</v>
      </c>
      <c r="B1175" s="6" t="s">
        <v>80</v>
      </c>
      <c r="C1175" s="1" t="s">
        <v>9</v>
      </c>
      <c r="D1175" s="1" t="s">
        <v>9</v>
      </c>
      <c r="E1175" s="1" t="s">
        <v>9</v>
      </c>
      <c r="F1175" s="6"/>
      <c r="G1175" s="6"/>
      <c r="H1175" s="11"/>
      <c r="I117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75" t="str">
        <f>IF(Table1[[#This Row],[Nationality]]="Nigeria",Table1[[#This Row],[EMJM Scholarship]],"Not Applicable")</f>
        <v>Not Applicable</v>
      </c>
    </row>
    <row r="1176" spans="1:10" ht="19.25" hidden="1" customHeight="1" x14ac:dyDescent="0.3">
      <c r="A1176" s="8">
        <v>2470407</v>
      </c>
      <c r="B1176" s="6" t="s">
        <v>80</v>
      </c>
      <c r="C1176" s="1" t="s">
        <v>9</v>
      </c>
      <c r="D1176" s="1" t="s">
        <v>9</v>
      </c>
      <c r="E1176" s="1" t="s">
        <v>9</v>
      </c>
      <c r="F1176" s="6"/>
      <c r="G1176" s="6"/>
      <c r="H1176" s="11"/>
      <c r="I117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76" t="str">
        <f>IF(Table1[[#This Row],[Nationality]]="Nigeria",Table1[[#This Row],[EMJM Scholarship]],"Not Applicable")</f>
        <v>Not Applicable</v>
      </c>
    </row>
    <row r="1177" spans="1:10" ht="19.25" hidden="1" customHeight="1" x14ac:dyDescent="0.3">
      <c r="A1177" s="8">
        <v>2470422</v>
      </c>
      <c r="B1177" s="6" t="s">
        <v>80</v>
      </c>
      <c r="C1177" s="1" t="s">
        <v>9</v>
      </c>
      <c r="D1177" s="1" t="s">
        <v>9</v>
      </c>
      <c r="E1177" s="1" t="s">
        <v>9</v>
      </c>
      <c r="F1177" s="6"/>
      <c r="G1177" s="6"/>
      <c r="H1177" s="11"/>
      <c r="I117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77" t="str">
        <f>IF(Table1[[#This Row],[Nationality]]="Nigeria",Table1[[#This Row],[EMJM Scholarship]],"Not Applicable")</f>
        <v>Not Applicable</v>
      </c>
    </row>
    <row r="1178" spans="1:10" ht="19.25" hidden="1" customHeight="1" x14ac:dyDescent="0.3">
      <c r="A1178" s="8">
        <v>2470494</v>
      </c>
      <c r="B1178" s="6" t="s">
        <v>80</v>
      </c>
      <c r="C1178" s="1" t="s">
        <v>9</v>
      </c>
      <c r="D1178" s="1" t="s">
        <v>9</v>
      </c>
      <c r="E1178" s="1" t="s">
        <v>9</v>
      </c>
      <c r="F1178" s="6"/>
      <c r="G1178" s="6"/>
      <c r="H1178" s="11"/>
      <c r="I117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78" t="str">
        <f>IF(Table1[[#This Row],[Nationality]]="Nigeria",Table1[[#This Row],[EMJM Scholarship]],"Not Applicable")</f>
        <v>Not Applicable</v>
      </c>
    </row>
    <row r="1179" spans="1:10" ht="19.25" hidden="1" customHeight="1" x14ac:dyDescent="0.3">
      <c r="A1179" s="8">
        <v>2470578</v>
      </c>
      <c r="B1179" s="6" t="s">
        <v>80</v>
      </c>
      <c r="C1179" s="1" t="s">
        <v>9</v>
      </c>
      <c r="D1179" s="1" t="s">
        <v>9</v>
      </c>
      <c r="E1179" s="1" t="s">
        <v>9</v>
      </c>
      <c r="F1179" s="6"/>
      <c r="G1179" s="6"/>
      <c r="H1179" s="11"/>
      <c r="I117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79" t="str">
        <f>IF(Table1[[#This Row],[Nationality]]="Nigeria",Table1[[#This Row],[EMJM Scholarship]],"Not Applicable")</f>
        <v>Not Applicable</v>
      </c>
    </row>
    <row r="1180" spans="1:10" ht="19.25" hidden="1" customHeight="1" x14ac:dyDescent="0.3">
      <c r="A1180" s="8">
        <v>2470583</v>
      </c>
      <c r="B1180" s="6" t="s">
        <v>80</v>
      </c>
      <c r="C1180" s="1" t="s">
        <v>9</v>
      </c>
      <c r="D1180" s="1" t="s">
        <v>9</v>
      </c>
      <c r="E1180" s="1" t="s">
        <v>9</v>
      </c>
      <c r="F1180" s="6"/>
      <c r="G1180" s="6"/>
      <c r="H1180" s="11"/>
      <c r="I118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80" t="str">
        <f>IF(Table1[[#This Row],[Nationality]]="Nigeria",Table1[[#This Row],[EMJM Scholarship]],"Not Applicable")</f>
        <v>Not Applicable</v>
      </c>
    </row>
    <row r="1181" spans="1:10" ht="19.25" hidden="1" customHeight="1" x14ac:dyDescent="0.3">
      <c r="A1181" s="8">
        <v>2470602</v>
      </c>
      <c r="B1181" s="6" t="s">
        <v>80</v>
      </c>
      <c r="C1181" s="1" t="s">
        <v>9</v>
      </c>
      <c r="D1181" s="1" t="s">
        <v>9</v>
      </c>
      <c r="E1181" s="1" t="s">
        <v>9</v>
      </c>
      <c r="F1181" s="6"/>
      <c r="G1181" s="6"/>
      <c r="H1181" s="11"/>
      <c r="I118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81" t="str">
        <f>IF(Table1[[#This Row],[Nationality]]="Nigeria",Table1[[#This Row],[EMJM Scholarship]],"Not Applicable")</f>
        <v>Not Applicable</v>
      </c>
    </row>
    <row r="1182" spans="1:10" ht="19.25" hidden="1" customHeight="1" x14ac:dyDescent="0.3">
      <c r="A1182" s="8">
        <v>2471287</v>
      </c>
      <c r="B1182" s="6" t="s">
        <v>80</v>
      </c>
      <c r="C1182" s="1" t="s">
        <v>9</v>
      </c>
      <c r="D1182" s="1" t="s">
        <v>9</v>
      </c>
      <c r="E1182" s="1" t="s">
        <v>9</v>
      </c>
      <c r="F1182" s="6"/>
      <c r="G1182" s="6"/>
      <c r="H1182" s="11"/>
      <c r="I118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82" t="str">
        <f>IF(Table1[[#This Row],[Nationality]]="Nigeria",Table1[[#This Row],[EMJM Scholarship]],"Not Applicable")</f>
        <v>Not Applicable</v>
      </c>
    </row>
    <row r="1183" spans="1:10" ht="19.25" hidden="1" customHeight="1" x14ac:dyDescent="0.3">
      <c r="A1183" s="8">
        <v>2471349</v>
      </c>
      <c r="B1183" s="6" t="s">
        <v>80</v>
      </c>
      <c r="C1183" s="1" t="s">
        <v>9</v>
      </c>
      <c r="D1183" s="1" t="s">
        <v>9</v>
      </c>
      <c r="E1183" s="1" t="s">
        <v>9</v>
      </c>
      <c r="F1183" s="6"/>
      <c r="G1183" s="6"/>
      <c r="H1183" s="11"/>
      <c r="I118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83" t="str">
        <f>IF(Table1[[#This Row],[Nationality]]="Nigeria",Table1[[#This Row],[EMJM Scholarship]],"Not Applicable")</f>
        <v>Not Applicable</v>
      </c>
    </row>
    <row r="1184" spans="1:10" ht="19.25" hidden="1" customHeight="1" x14ac:dyDescent="0.3">
      <c r="A1184" s="8">
        <v>2471390</v>
      </c>
      <c r="B1184" s="6" t="s">
        <v>80</v>
      </c>
      <c r="C1184" s="1" t="s">
        <v>9</v>
      </c>
      <c r="D1184" s="1" t="s">
        <v>9</v>
      </c>
      <c r="E1184" s="1" t="s">
        <v>9</v>
      </c>
      <c r="F1184" s="6"/>
      <c r="G1184" s="6"/>
      <c r="H1184" s="11"/>
      <c r="I118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84" t="str">
        <f>IF(Table1[[#This Row],[Nationality]]="Nigeria",Table1[[#This Row],[EMJM Scholarship]],"Not Applicable")</f>
        <v>Not Applicable</v>
      </c>
    </row>
    <row r="1185" spans="1:10" ht="19.25" hidden="1" customHeight="1" x14ac:dyDescent="0.3">
      <c r="A1185" s="8">
        <v>2471603</v>
      </c>
      <c r="B1185" s="6" t="s">
        <v>80</v>
      </c>
      <c r="C1185" s="1" t="s">
        <v>9</v>
      </c>
      <c r="D1185" s="1" t="s">
        <v>9</v>
      </c>
      <c r="E1185" s="1" t="s">
        <v>9</v>
      </c>
      <c r="F1185" s="6"/>
      <c r="G1185" s="6"/>
      <c r="H1185" s="11"/>
      <c r="I118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85" t="str">
        <f>IF(Table1[[#This Row],[Nationality]]="Nigeria",Table1[[#This Row],[EMJM Scholarship]],"Not Applicable")</f>
        <v>Not Applicable</v>
      </c>
    </row>
    <row r="1186" spans="1:10" ht="19.25" hidden="1" customHeight="1" x14ac:dyDescent="0.3">
      <c r="A1186" s="8">
        <v>2471637</v>
      </c>
      <c r="B1186" s="6" t="s">
        <v>80</v>
      </c>
      <c r="C1186" s="1" t="s">
        <v>9</v>
      </c>
      <c r="D1186" s="1" t="s">
        <v>9</v>
      </c>
      <c r="E1186" s="1" t="s">
        <v>9</v>
      </c>
      <c r="F1186" s="6"/>
      <c r="G1186" s="6"/>
      <c r="H1186" s="11"/>
      <c r="I118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86" t="str">
        <f>IF(Table1[[#This Row],[Nationality]]="Nigeria",Table1[[#This Row],[EMJM Scholarship]],"Not Applicable")</f>
        <v>Not Applicable</v>
      </c>
    </row>
    <row r="1187" spans="1:10" ht="19.25" hidden="1" customHeight="1" x14ac:dyDescent="0.3">
      <c r="A1187" s="8">
        <v>2471665</v>
      </c>
      <c r="B1187" s="6" t="s">
        <v>80</v>
      </c>
      <c r="C1187" s="1" t="s">
        <v>9</v>
      </c>
      <c r="D1187" s="1" t="s">
        <v>9</v>
      </c>
      <c r="E1187" s="1" t="s">
        <v>9</v>
      </c>
      <c r="F1187" s="6"/>
      <c r="G1187" s="6"/>
      <c r="H1187" s="11"/>
      <c r="I118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87" t="str">
        <f>IF(Table1[[#This Row],[Nationality]]="Nigeria",Table1[[#This Row],[EMJM Scholarship]],"Not Applicable")</f>
        <v>Not Applicable</v>
      </c>
    </row>
    <row r="1188" spans="1:10" ht="19.25" hidden="1" customHeight="1" x14ac:dyDescent="0.3">
      <c r="A1188" s="8">
        <v>2471692</v>
      </c>
      <c r="B1188" s="6" t="s">
        <v>80</v>
      </c>
      <c r="C1188" s="1" t="s">
        <v>9</v>
      </c>
      <c r="D1188" s="1" t="s">
        <v>9</v>
      </c>
      <c r="E1188" s="1" t="s">
        <v>9</v>
      </c>
      <c r="F1188" s="6"/>
      <c r="G1188" s="6"/>
      <c r="H1188" s="11"/>
      <c r="I118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88" t="str">
        <f>IF(Table1[[#This Row],[Nationality]]="Nigeria",Table1[[#This Row],[EMJM Scholarship]],"Not Applicable")</f>
        <v>Not Applicable</v>
      </c>
    </row>
    <row r="1189" spans="1:10" ht="19.25" hidden="1" customHeight="1" x14ac:dyDescent="0.3">
      <c r="A1189" s="8">
        <v>2471774</v>
      </c>
      <c r="B1189" s="6" t="s">
        <v>80</v>
      </c>
      <c r="C1189" s="1" t="s">
        <v>9</v>
      </c>
      <c r="D1189" s="1" t="s">
        <v>9</v>
      </c>
      <c r="E1189" s="1" t="s">
        <v>9</v>
      </c>
      <c r="F1189" s="6"/>
      <c r="G1189" s="6"/>
      <c r="H1189" s="11"/>
      <c r="I118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89" t="str">
        <f>IF(Table1[[#This Row],[Nationality]]="Nigeria",Table1[[#This Row],[EMJM Scholarship]],"Not Applicable")</f>
        <v>Not Applicable</v>
      </c>
    </row>
    <row r="1190" spans="1:10" ht="19.25" hidden="1" customHeight="1" x14ac:dyDescent="0.3">
      <c r="A1190" s="8">
        <v>2471789</v>
      </c>
      <c r="B1190" s="6" t="s">
        <v>80</v>
      </c>
      <c r="C1190" s="1" t="s">
        <v>9</v>
      </c>
      <c r="D1190" s="1" t="s">
        <v>9</v>
      </c>
      <c r="E1190" s="1" t="s">
        <v>9</v>
      </c>
      <c r="F1190" s="6"/>
      <c r="G1190" s="6"/>
      <c r="H1190" s="11"/>
      <c r="I119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90" t="str">
        <f>IF(Table1[[#This Row],[Nationality]]="Nigeria",Table1[[#This Row],[EMJM Scholarship]],"Not Applicable")</f>
        <v>Not Applicable</v>
      </c>
    </row>
    <row r="1191" spans="1:10" ht="19.25" hidden="1" customHeight="1" x14ac:dyDescent="0.3">
      <c r="A1191" s="8">
        <v>2471887</v>
      </c>
      <c r="B1191" s="6" t="s">
        <v>80</v>
      </c>
      <c r="C1191" s="1" t="s">
        <v>9</v>
      </c>
      <c r="D1191" s="1" t="s">
        <v>9</v>
      </c>
      <c r="E1191" s="1" t="s">
        <v>9</v>
      </c>
      <c r="F1191" s="6"/>
      <c r="G1191" s="6"/>
      <c r="H1191" s="11"/>
      <c r="I119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91" t="str">
        <f>IF(Table1[[#This Row],[Nationality]]="Nigeria",Table1[[#This Row],[EMJM Scholarship]],"Not Applicable")</f>
        <v>Not Applicable</v>
      </c>
    </row>
    <row r="1192" spans="1:10" ht="19.25" hidden="1" customHeight="1" x14ac:dyDescent="0.3">
      <c r="A1192" s="8">
        <v>2472006</v>
      </c>
      <c r="B1192" s="6" t="s">
        <v>80</v>
      </c>
      <c r="C1192" s="1" t="s">
        <v>9</v>
      </c>
      <c r="D1192" s="1" t="s">
        <v>9</v>
      </c>
      <c r="E1192" s="1" t="s">
        <v>9</v>
      </c>
      <c r="F1192" s="6"/>
      <c r="G1192" s="6"/>
      <c r="H1192" s="11"/>
      <c r="I119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92" t="str">
        <f>IF(Table1[[#This Row],[Nationality]]="Nigeria",Table1[[#This Row],[EMJM Scholarship]],"Not Applicable")</f>
        <v>Not Applicable</v>
      </c>
    </row>
    <row r="1193" spans="1:10" ht="19.25" hidden="1" customHeight="1" x14ac:dyDescent="0.3">
      <c r="A1193" s="8">
        <v>2472052</v>
      </c>
      <c r="B1193" s="6" t="s">
        <v>80</v>
      </c>
      <c r="C1193" s="1" t="s">
        <v>9</v>
      </c>
      <c r="D1193" s="1" t="s">
        <v>9</v>
      </c>
      <c r="E1193" s="1" t="s">
        <v>9</v>
      </c>
      <c r="F1193" s="6"/>
      <c r="G1193" s="6"/>
      <c r="H1193" s="11"/>
      <c r="I119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93" t="str">
        <f>IF(Table1[[#This Row],[Nationality]]="Nigeria",Table1[[#This Row],[EMJM Scholarship]],"Not Applicable")</f>
        <v>Not Applicable</v>
      </c>
    </row>
    <row r="1194" spans="1:10" ht="19.25" hidden="1" customHeight="1" x14ac:dyDescent="0.3">
      <c r="A1194" s="8">
        <v>2472117</v>
      </c>
      <c r="B1194" s="6" t="s">
        <v>80</v>
      </c>
      <c r="C1194" s="1" t="s">
        <v>9</v>
      </c>
      <c r="D1194" s="1" t="s">
        <v>9</v>
      </c>
      <c r="E1194" s="1" t="s">
        <v>9</v>
      </c>
      <c r="F1194" s="6"/>
      <c r="G1194" s="6"/>
      <c r="H1194" s="11"/>
      <c r="I119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94" t="str">
        <f>IF(Table1[[#This Row],[Nationality]]="Nigeria",Table1[[#This Row],[EMJM Scholarship]],"Not Applicable")</f>
        <v>Not Applicable</v>
      </c>
    </row>
    <row r="1195" spans="1:10" ht="19.25" hidden="1" customHeight="1" x14ac:dyDescent="0.3">
      <c r="A1195" s="8">
        <v>2472230</v>
      </c>
      <c r="B1195" s="6" t="s">
        <v>80</v>
      </c>
      <c r="C1195" s="1" t="s">
        <v>9</v>
      </c>
      <c r="D1195" s="1" t="s">
        <v>9</v>
      </c>
      <c r="E1195" s="1" t="s">
        <v>9</v>
      </c>
      <c r="F1195" s="6"/>
      <c r="G1195" s="6"/>
      <c r="H1195" s="11"/>
      <c r="I119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95" t="str">
        <f>IF(Table1[[#This Row],[Nationality]]="Nigeria",Table1[[#This Row],[EMJM Scholarship]],"Not Applicable")</f>
        <v>Not Applicable</v>
      </c>
    </row>
    <row r="1196" spans="1:10" ht="19.25" hidden="1" customHeight="1" x14ac:dyDescent="0.3">
      <c r="A1196" s="8">
        <v>2472316</v>
      </c>
      <c r="B1196" s="6" t="s">
        <v>80</v>
      </c>
      <c r="C1196" s="1" t="s">
        <v>9</v>
      </c>
      <c r="D1196" s="1" t="s">
        <v>9</v>
      </c>
      <c r="E1196" s="1" t="s">
        <v>9</v>
      </c>
      <c r="F1196" s="6"/>
      <c r="G1196" s="6"/>
      <c r="H1196" s="11"/>
      <c r="I119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96" t="str">
        <f>IF(Table1[[#This Row],[Nationality]]="Nigeria",Table1[[#This Row],[EMJM Scholarship]],"Not Applicable")</f>
        <v>Not Applicable</v>
      </c>
    </row>
    <row r="1197" spans="1:10" ht="19.25" hidden="1" customHeight="1" x14ac:dyDescent="0.3">
      <c r="A1197" s="8">
        <v>2472470</v>
      </c>
      <c r="B1197" s="6" t="s">
        <v>80</v>
      </c>
      <c r="C1197" s="1" t="s">
        <v>9</v>
      </c>
      <c r="D1197" s="1" t="s">
        <v>9</v>
      </c>
      <c r="E1197" s="1" t="s">
        <v>9</v>
      </c>
      <c r="F1197" s="6"/>
      <c r="G1197" s="6"/>
      <c r="H1197" s="11"/>
      <c r="I119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97" t="str">
        <f>IF(Table1[[#This Row],[Nationality]]="Nigeria",Table1[[#This Row],[EMJM Scholarship]],"Not Applicable")</f>
        <v>Not Applicable</v>
      </c>
    </row>
    <row r="1198" spans="1:10" ht="19.25" hidden="1" customHeight="1" x14ac:dyDescent="0.3">
      <c r="A1198" s="8">
        <v>2472483</v>
      </c>
      <c r="B1198" s="6" t="s">
        <v>80</v>
      </c>
      <c r="C1198" s="1" t="s">
        <v>9</v>
      </c>
      <c r="D1198" s="1" t="s">
        <v>9</v>
      </c>
      <c r="E1198" s="1" t="s">
        <v>9</v>
      </c>
      <c r="F1198" s="6"/>
      <c r="G1198" s="6"/>
      <c r="H1198" s="11"/>
      <c r="I119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98" t="str">
        <f>IF(Table1[[#This Row],[Nationality]]="Nigeria",Table1[[#This Row],[EMJM Scholarship]],"Not Applicable")</f>
        <v>Not Applicable</v>
      </c>
    </row>
    <row r="1199" spans="1:10" ht="19.25" hidden="1" customHeight="1" x14ac:dyDescent="0.3">
      <c r="A1199" s="8">
        <v>2472530</v>
      </c>
      <c r="B1199" s="6" t="s">
        <v>80</v>
      </c>
      <c r="C1199" s="1" t="s">
        <v>9</v>
      </c>
      <c r="D1199" s="1" t="s">
        <v>9</v>
      </c>
      <c r="E1199" s="1" t="s">
        <v>9</v>
      </c>
      <c r="F1199" s="6"/>
      <c r="G1199" s="6"/>
      <c r="H1199" s="11"/>
      <c r="I119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199" t="str">
        <f>IF(Table1[[#This Row],[Nationality]]="Nigeria",Table1[[#This Row],[EMJM Scholarship]],"Not Applicable")</f>
        <v>Not Applicable</v>
      </c>
    </row>
    <row r="1200" spans="1:10" ht="19.25" hidden="1" customHeight="1" x14ac:dyDescent="0.3">
      <c r="A1200" s="8">
        <v>2472532</v>
      </c>
      <c r="B1200" s="6" t="s">
        <v>80</v>
      </c>
      <c r="C1200" s="1" t="s">
        <v>9</v>
      </c>
      <c r="D1200" s="1" t="s">
        <v>9</v>
      </c>
      <c r="E1200" s="1" t="s">
        <v>9</v>
      </c>
      <c r="F1200" s="6"/>
      <c r="G1200" s="6"/>
      <c r="H1200" s="11"/>
      <c r="I120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00" t="str">
        <f>IF(Table1[[#This Row],[Nationality]]="Nigeria",Table1[[#This Row],[EMJM Scholarship]],"Not Applicable")</f>
        <v>Not Applicable</v>
      </c>
    </row>
    <row r="1201" spans="1:10" ht="19.25" hidden="1" customHeight="1" x14ac:dyDescent="0.3">
      <c r="A1201" s="8">
        <v>2472592</v>
      </c>
      <c r="B1201" s="6" t="s">
        <v>80</v>
      </c>
      <c r="C1201" s="1" t="s">
        <v>9</v>
      </c>
      <c r="D1201" s="1" t="s">
        <v>9</v>
      </c>
      <c r="E1201" s="1" t="s">
        <v>9</v>
      </c>
      <c r="F1201" s="6"/>
      <c r="G1201" s="6"/>
      <c r="H1201" s="11"/>
      <c r="I120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01" t="str">
        <f>IF(Table1[[#This Row],[Nationality]]="Nigeria",Table1[[#This Row],[EMJM Scholarship]],"Not Applicable")</f>
        <v>Not Applicable</v>
      </c>
    </row>
    <row r="1202" spans="1:10" ht="19.25" hidden="1" customHeight="1" x14ac:dyDescent="0.3">
      <c r="A1202" s="8">
        <v>2472716</v>
      </c>
      <c r="B1202" s="6" t="s">
        <v>80</v>
      </c>
      <c r="C1202" s="1" t="s">
        <v>9</v>
      </c>
      <c r="D1202" s="1" t="s">
        <v>9</v>
      </c>
      <c r="E1202" s="1" t="s">
        <v>9</v>
      </c>
      <c r="F1202" s="6"/>
      <c r="G1202" s="6"/>
      <c r="H1202" s="11"/>
      <c r="I120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02" t="str">
        <f>IF(Table1[[#This Row],[Nationality]]="Nigeria",Table1[[#This Row],[EMJM Scholarship]],"Not Applicable")</f>
        <v>Not Applicable</v>
      </c>
    </row>
    <row r="1203" spans="1:10" ht="19.25" hidden="1" customHeight="1" x14ac:dyDescent="0.3">
      <c r="A1203" s="8">
        <v>2472733</v>
      </c>
      <c r="B1203" s="6" t="s">
        <v>80</v>
      </c>
      <c r="C1203" s="1" t="s">
        <v>9</v>
      </c>
      <c r="D1203" s="1" t="s">
        <v>9</v>
      </c>
      <c r="E1203" s="1" t="s">
        <v>9</v>
      </c>
      <c r="F1203" s="6"/>
      <c r="G1203" s="6"/>
      <c r="H1203" s="11"/>
      <c r="I120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03" t="str">
        <f>IF(Table1[[#This Row],[Nationality]]="Nigeria",Table1[[#This Row],[EMJM Scholarship]],"Not Applicable")</f>
        <v>Not Applicable</v>
      </c>
    </row>
    <row r="1204" spans="1:10" ht="19.25" hidden="1" customHeight="1" x14ac:dyDescent="0.3">
      <c r="A1204" s="8">
        <v>2473015</v>
      </c>
      <c r="B1204" s="6" t="s">
        <v>80</v>
      </c>
      <c r="C1204" s="1" t="s">
        <v>9</v>
      </c>
      <c r="D1204" s="1" t="s">
        <v>9</v>
      </c>
      <c r="E1204" s="1" t="s">
        <v>9</v>
      </c>
      <c r="F1204" s="6"/>
      <c r="G1204" s="6"/>
      <c r="H1204" s="11"/>
      <c r="I120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04" t="str">
        <f>IF(Table1[[#This Row],[Nationality]]="Nigeria",Table1[[#This Row],[EMJM Scholarship]],"Not Applicable")</f>
        <v>Not Applicable</v>
      </c>
    </row>
    <row r="1205" spans="1:10" ht="19.25" hidden="1" customHeight="1" x14ac:dyDescent="0.3">
      <c r="A1205" s="8">
        <v>2473093</v>
      </c>
      <c r="B1205" s="6" t="s">
        <v>80</v>
      </c>
      <c r="C1205" s="1" t="s">
        <v>9</v>
      </c>
      <c r="D1205" s="1" t="s">
        <v>9</v>
      </c>
      <c r="E1205" s="1" t="s">
        <v>9</v>
      </c>
      <c r="F1205" s="6"/>
      <c r="G1205" s="6"/>
      <c r="H1205" s="11"/>
      <c r="I120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05" t="str">
        <f>IF(Table1[[#This Row],[Nationality]]="Nigeria",Table1[[#This Row],[EMJM Scholarship]],"Not Applicable")</f>
        <v>Not Applicable</v>
      </c>
    </row>
    <row r="1206" spans="1:10" ht="19.25" hidden="1" customHeight="1" x14ac:dyDescent="0.3">
      <c r="A1206" s="8">
        <v>2473181</v>
      </c>
      <c r="B1206" s="6" t="s">
        <v>80</v>
      </c>
      <c r="C1206" s="1" t="s">
        <v>9</v>
      </c>
      <c r="D1206" s="1" t="s">
        <v>9</v>
      </c>
      <c r="E1206" s="1" t="s">
        <v>9</v>
      </c>
      <c r="F1206" s="6"/>
      <c r="G1206" s="6"/>
      <c r="H1206" s="11"/>
      <c r="I120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06" t="str">
        <f>IF(Table1[[#This Row],[Nationality]]="Nigeria",Table1[[#This Row],[EMJM Scholarship]],"Not Applicable")</f>
        <v>Not Applicable</v>
      </c>
    </row>
    <row r="1207" spans="1:10" ht="19.25" hidden="1" customHeight="1" x14ac:dyDescent="0.3">
      <c r="A1207" s="8">
        <v>2473252</v>
      </c>
      <c r="B1207" s="6" t="s">
        <v>80</v>
      </c>
      <c r="C1207" s="1" t="s">
        <v>9</v>
      </c>
      <c r="D1207" s="1" t="s">
        <v>9</v>
      </c>
      <c r="E1207" s="1" t="s">
        <v>9</v>
      </c>
      <c r="F1207" s="6"/>
      <c r="G1207" s="6"/>
      <c r="H1207" s="11"/>
      <c r="I120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07" t="str">
        <f>IF(Table1[[#This Row],[Nationality]]="Nigeria",Table1[[#This Row],[EMJM Scholarship]],"Not Applicable")</f>
        <v>Not Applicable</v>
      </c>
    </row>
    <row r="1208" spans="1:10" ht="19.25" hidden="1" customHeight="1" x14ac:dyDescent="0.3">
      <c r="A1208" s="8">
        <v>2473302</v>
      </c>
      <c r="B1208" s="6" t="s">
        <v>80</v>
      </c>
      <c r="C1208" s="1" t="s">
        <v>9</v>
      </c>
      <c r="D1208" s="1" t="s">
        <v>9</v>
      </c>
      <c r="E1208" s="1" t="s">
        <v>9</v>
      </c>
      <c r="F1208" s="6"/>
      <c r="G1208" s="6"/>
      <c r="H1208" s="11"/>
      <c r="I120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08" t="str">
        <f>IF(Table1[[#This Row],[Nationality]]="Nigeria",Table1[[#This Row],[EMJM Scholarship]],"Not Applicable")</f>
        <v>Not Applicable</v>
      </c>
    </row>
    <row r="1209" spans="1:10" ht="19.25" hidden="1" customHeight="1" x14ac:dyDescent="0.3">
      <c r="A1209" s="8">
        <v>2473579</v>
      </c>
      <c r="B1209" s="6" t="s">
        <v>80</v>
      </c>
      <c r="C1209" s="1" t="s">
        <v>9</v>
      </c>
      <c r="D1209" s="1" t="s">
        <v>9</v>
      </c>
      <c r="E1209" s="1" t="s">
        <v>9</v>
      </c>
      <c r="F1209" s="6"/>
      <c r="G1209" s="6"/>
      <c r="H1209" s="11"/>
      <c r="I120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09" t="str">
        <f>IF(Table1[[#This Row],[Nationality]]="Nigeria",Table1[[#This Row],[EMJM Scholarship]],"Not Applicable")</f>
        <v>Not Applicable</v>
      </c>
    </row>
    <row r="1210" spans="1:10" ht="19.25" hidden="1" customHeight="1" x14ac:dyDescent="0.3">
      <c r="A1210" s="8">
        <v>2473601</v>
      </c>
      <c r="B1210" s="6" t="s">
        <v>80</v>
      </c>
      <c r="C1210" s="1" t="s">
        <v>9</v>
      </c>
      <c r="D1210" s="1" t="s">
        <v>9</v>
      </c>
      <c r="E1210" s="1" t="s">
        <v>9</v>
      </c>
      <c r="F1210" s="6"/>
      <c r="G1210" s="6"/>
      <c r="H1210" s="11"/>
      <c r="I121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10" t="str">
        <f>IF(Table1[[#This Row],[Nationality]]="Nigeria",Table1[[#This Row],[EMJM Scholarship]],"Not Applicable")</f>
        <v>Not Applicable</v>
      </c>
    </row>
    <row r="1211" spans="1:10" ht="19.25" hidden="1" customHeight="1" x14ac:dyDescent="0.3">
      <c r="A1211" s="8">
        <v>2473656</v>
      </c>
      <c r="B1211" s="6" t="s">
        <v>80</v>
      </c>
      <c r="C1211" s="1" t="s">
        <v>9</v>
      </c>
      <c r="D1211" s="1" t="s">
        <v>9</v>
      </c>
      <c r="E1211" s="1" t="s">
        <v>9</v>
      </c>
      <c r="F1211" s="6"/>
      <c r="G1211" s="6"/>
      <c r="H1211" s="11"/>
      <c r="I121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11" t="str">
        <f>IF(Table1[[#This Row],[Nationality]]="Nigeria",Table1[[#This Row],[EMJM Scholarship]],"Not Applicable")</f>
        <v>Not Applicable</v>
      </c>
    </row>
    <row r="1212" spans="1:10" ht="19.25" hidden="1" customHeight="1" x14ac:dyDescent="0.3">
      <c r="A1212" s="8">
        <v>2473665</v>
      </c>
      <c r="B1212" s="6" t="s">
        <v>80</v>
      </c>
      <c r="C1212" s="1" t="s">
        <v>9</v>
      </c>
      <c r="D1212" s="1" t="s">
        <v>9</v>
      </c>
      <c r="E1212" s="1" t="s">
        <v>9</v>
      </c>
      <c r="F1212" s="6"/>
      <c r="G1212" s="6"/>
      <c r="H1212" s="11"/>
      <c r="I121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12" t="str">
        <f>IF(Table1[[#This Row],[Nationality]]="Nigeria",Table1[[#This Row],[EMJM Scholarship]],"Not Applicable")</f>
        <v>Not Applicable</v>
      </c>
    </row>
    <row r="1213" spans="1:10" ht="19.25" hidden="1" customHeight="1" x14ac:dyDescent="0.3">
      <c r="A1213" s="8">
        <v>2473713</v>
      </c>
      <c r="B1213" s="6" t="s">
        <v>80</v>
      </c>
      <c r="C1213" s="1" t="s">
        <v>9</v>
      </c>
      <c r="D1213" s="1" t="s">
        <v>9</v>
      </c>
      <c r="E1213" s="1" t="s">
        <v>9</v>
      </c>
      <c r="F1213" s="6"/>
      <c r="G1213" s="6"/>
      <c r="H1213" s="11"/>
      <c r="I121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13" t="str">
        <f>IF(Table1[[#This Row],[Nationality]]="Nigeria",Table1[[#This Row],[EMJM Scholarship]],"Not Applicable")</f>
        <v>Not Applicable</v>
      </c>
    </row>
    <row r="1214" spans="1:10" ht="19.25" hidden="1" customHeight="1" x14ac:dyDescent="0.3">
      <c r="A1214" s="8">
        <v>2473957</v>
      </c>
      <c r="B1214" s="6" t="s">
        <v>80</v>
      </c>
      <c r="C1214" s="1" t="s">
        <v>9</v>
      </c>
      <c r="D1214" s="1" t="s">
        <v>9</v>
      </c>
      <c r="E1214" s="1" t="s">
        <v>9</v>
      </c>
      <c r="F1214" s="6"/>
      <c r="G1214" s="6"/>
      <c r="H1214" s="11"/>
      <c r="I121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14" t="str">
        <f>IF(Table1[[#This Row],[Nationality]]="Nigeria",Table1[[#This Row],[EMJM Scholarship]],"Not Applicable")</f>
        <v>Not Applicable</v>
      </c>
    </row>
    <row r="1215" spans="1:10" ht="19.25" hidden="1" customHeight="1" x14ac:dyDescent="0.3">
      <c r="A1215" s="8">
        <v>2474141</v>
      </c>
      <c r="B1215" s="6" t="s">
        <v>80</v>
      </c>
      <c r="C1215" s="1" t="s">
        <v>9</v>
      </c>
      <c r="D1215" s="1" t="s">
        <v>9</v>
      </c>
      <c r="E1215" s="1" t="s">
        <v>9</v>
      </c>
      <c r="F1215" s="6"/>
      <c r="G1215" s="6"/>
      <c r="H1215" s="11"/>
      <c r="I121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15" t="str">
        <f>IF(Table1[[#This Row],[Nationality]]="Nigeria",Table1[[#This Row],[EMJM Scholarship]],"Not Applicable")</f>
        <v>Not Applicable</v>
      </c>
    </row>
    <row r="1216" spans="1:10" ht="19.25" hidden="1" customHeight="1" x14ac:dyDescent="0.3">
      <c r="A1216" s="8">
        <v>2474192</v>
      </c>
      <c r="B1216" s="6" t="s">
        <v>80</v>
      </c>
      <c r="C1216" s="1" t="s">
        <v>9</v>
      </c>
      <c r="D1216" s="1" t="s">
        <v>9</v>
      </c>
      <c r="E1216" s="1" t="s">
        <v>9</v>
      </c>
      <c r="F1216" s="6"/>
      <c r="G1216" s="6"/>
      <c r="H1216" s="11"/>
      <c r="I121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16" t="str">
        <f>IF(Table1[[#This Row],[Nationality]]="Nigeria",Table1[[#This Row],[EMJM Scholarship]],"Not Applicable")</f>
        <v>Not Applicable</v>
      </c>
    </row>
    <row r="1217" spans="1:10" ht="19.25" hidden="1" customHeight="1" x14ac:dyDescent="0.3">
      <c r="A1217" s="8">
        <v>2474522</v>
      </c>
      <c r="B1217" s="6" t="s">
        <v>80</v>
      </c>
      <c r="C1217" s="1" t="s">
        <v>9</v>
      </c>
      <c r="D1217" s="1" t="s">
        <v>9</v>
      </c>
      <c r="E1217" s="1" t="s">
        <v>9</v>
      </c>
      <c r="F1217" s="6"/>
      <c r="G1217" s="6"/>
      <c r="H1217" s="11"/>
      <c r="I121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17" t="str">
        <f>IF(Table1[[#This Row],[Nationality]]="Nigeria",Table1[[#This Row],[EMJM Scholarship]],"Not Applicable")</f>
        <v>Not Applicable</v>
      </c>
    </row>
    <row r="1218" spans="1:10" ht="19.25" hidden="1" customHeight="1" x14ac:dyDescent="0.3">
      <c r="A1218" s="8">
        <v>2474579</v>
      </c>
      <c r="B1218" s="6" t="s">
        <v>80</v>
      </c>
      <c r="C1218" s="1" t="s">
        <v>9</v>
      </c>
      <c r="D1218" s="1" t="s">
        <v>9</v>
      </c>
      <c r="E1218" s="1" t="s">
        <v>9</v>
      </c>
      <c r="F1218" s="6"/>
      <c r="G1218" s="6"/>
      <c r="H1218" s="11"/>
      <c r="I121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18" t="str">
        <f>IF(Table1[[#This Row],[Nationality]]="Nigeria",Table1[[#This Row],[EMJM Scholarship]],"Not Applicable")</f>
        <v>Not Applicable</v>
      </c>
    </row>
    <row r="1219" spans="1:10" ht="19.25" hidden="1" customHeight="1" x14ac:dyDescent="0.3">
      <c r="A1219" s="8">
        <v>2474584</v>
      </c>
      <c r="B1219" s="6" t="s">
        <v>80</v>
      </c>
      <c r="C1219" s="1" t="s">
        <v>9</v>
      </c>
      <c r="D1219" s="1" t="s">
        <v>9</v>
      </c>
      <c r="E1219" s="1" t="s">
        <v>9</v>
      </c>
      <c r="F1219" s="6"/>
      <c r="G1219" s="6"/>
      <c r="H1219" s="11"/>
      <c r="I121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19" t="str">
        <f>IF(Table1[[#This Row],[Nationality]]="Nigeria",Table1[[#This Row],[EMJM Scholarship]],"Not Applicable")</f>
        <v>Not Applicable</v>
      </c>
    </row>
    <row r="1220" spans="1:10" ht="19.25" hidden="1" customHeight="1" x14ac:dyDescent="0.3">
      <c r="A1220" s="8">
        <v>2474633</v>
      </c>
      <c r="B1220" s="6" t="s">
        <v>80</v>
      </c>
      <c r="C1220" s="1" t="s">
        <v>9</v>
      </c>
      <c r="D1220" s="1" t="s">
        <v>9</v>
      </c>
      <c r="E1220" s="1" t="s">
        <v>9</v>
      </c>
      <c r="F1220" s="6"/>
      <c r="G1220" s="6"/>
      <c r="H1220" s="11"/>
      <c r="I122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20" t="str">
        <f>IF(Table1[[#This Row],[Nationality]]="Nigeria",Table1[[#This Row],[EMJM Scholarship]],"Not Applicable")</f>
        <v>Not Applicable</v>
      </c>
    </row>
    <row r="1221" spans="1:10" ht="19.25" hidden="1" customHeight="1" x14ac:dyDescent="0.3">
      <c r="A1221" s="8">
        <v>2474698</v>
      </c>
      <c r="B1221" s="6" t="s">
        <v>80</v>
      </c>
      <c r="C1221" s="1" t="s">
        <v>9</v>
      </c>
      <c r="D1221" s="1" t="s">
        <v>9</v>
      </c>
      <c r="E1221" s="1" t="s">
        <v>9</v>
      </c>
      <c r="F1221" s="6"/>
      <c r="G1221" s="6"/>
      <c r="H1221" s="11"/>
      <c r="I122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21" t="str">
        <f>IF(Table1[[#This Row],[Nationality]]="Nigeria",Table1[[#This Row],[EMJM Scholarship]],"Not Applicable")</f>
        <v>Not Applicable</v>
      </c>
    </row>
    <row r="1222" spans="1:10" ht="19.25" hidden="1" customHeight="1" x14ac:dyDescent="0.3">
      <c r="A1222" s="8">
        <v>2474791</v>
      </c>
      <c r="B1222" s="6" t="s">
        <v>80</v>
      </c>
      <c r="C1222" s="1" t="s">
        <v>9</v>
      </c>
      <c r="D1222" s="1" t="s">
        <v>9</v>
      </c>
      <c r="E1222" s="1" t="s">
        <v>9</v>
      </c>
      <c r="F1222" s="6"/>
      <c r="G1222" s="6"/>
      <c r="H1222" s="11"/>
      <c r="I122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22" t="str">
        <f>IF(Table1[[#This Row],[Nationality]]="Nigeria",Table1[[#This Row],[EMJM Scholarship]],"Not Applicable")</f>
        <v>Not Applicable</v>
      </c>
    </row>
    <row r="1223" spans="1:10" ht="19.25" hidden="1" customHeight="1" x14ac:dyDescent="0.3">
      <c r="A1223" s="8">
        <v>2474912</v>
      </c>
      <c r="B1223" s="6" t="s">
        <v>80</v>
      </c>
      <c r="C1223" s="1" t="s">
        <v>9</v>
      </c>
      <c r="D1223" s="1" t="s">
        <v>9</v>
      </c>
      <c r="E1223" s="1" t="s">
        <v>9</v>
      </c>
      <c r="F1223" s="6"/>
      <c r="G1223" s="6"/>
      <c r="H1223" s="11"/>
      <c r="I122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23" t="str">
        <f>IF(Table1[[#This Row],[Nationality]]="Nigeria",Table1[[#This Row],[EMJM Scholarship]],"Not Applicable")</f>
        <v>Not Applicable</v>
      </c>
    </row>
    <row r="1224" spans="1:10" ht="19.25" hidden="1" customHeight="1" x14ac:dyDescent="0.3">
      <c r="A1224" s="8">
        <v>2474945</v>
      </c>
      <c r="B1224" s="6" t="s">
        <v>80</v>
      </c>
      <c r="C1224" s="1" t="s">
        <v>9</v>
      </c>
      <c r="D1224" s="1" t="s">
        <v>9</v>
      </c>
      <c r="E1224" s="1" t="s">
        <v>9</v>
      </c>
      <c r="F1224" s="6"/>
      <c r="G1224" s="6"/>
      <c r="H1224" s="11"/>
      <c r="I122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24" t="str">
        <f>IF(Table1[[#This Row],[Nationality]]="Nigeria",Table1[[#This Row],[EMJM Scholarship]],"Not Applicable")</f>
        <v>Not Applicable</v>
      </c>
    </row>
    <row r="1225" spans="1:10" ht="19.25" hidden="1" customHeight="1" x14ac:dyDescent="0.3">
      <c r="A1225" s="8">
        <v>2474974</v>
      </c>
      <c r="B1225" s="6" t="s">
        <v>80</v>
      </c>
      <c r="C1225" s="1" t="s">
        <v>9</v>
      </c>
      <c r="D1225" s="1" t="s">
        <v>9</v>
      </c>
      <c r="E1225" s="1" t="s">
        <v>9</v>
      </c>
      <c r="F1225" s="6"/>
      <c r="G1225" s="6"/>
      <c r="H1225" s="11"/>
      <c r="I122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25" t="str">
        <f>IF(Table1[[#This Row],[Nationality]]="Nigeria",Table1[[#This Row],[EMJM Scholarship]],"Not Applicable")</f>
        <v>Not Applicable</v>
      </c>
    </row>
    <row r="1226" spans="1:10" ht="19.25" hidden="1" customHeight="1" x14ac:dyDescent="0.3">
      <c r="A1226" s="8">
        <v>2474975</v>
      </c>
      <c r="B1226" s="6" t="s">
        <v>80</v>
      </c>
      <c r="C1226" s="1" t="s">
        <v>9</v>
      </c>
      <c r="D1226" s="1" t="s">
        <v>9</v>
      </c>
      <c r="E1226" s="1" t="s">
        <v>9</v>
      </c>
      <c r="F1226" s="6"/>
      <c r="G1226" s="6"/>
      <c r="H1226" s="11"/>
      <c r="I122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26" t="str">
        <f>IF(Table1[[#This Row],[Nationality]]="Nigeria",Table1[[#This Row],[EMJM Scholarship]],"Not Applicable")</f>
        <v>Not Applicable</v>
      </c>
    </row>
    <row r="1227" spans="1:10" ht="19.25" hidden="1" customHeight="1" x14ac:dyDescent="0.3">
      <c r="A1227" s="8">
        <v>2475016</v>
      </c>
      <c r="B1227" s="6" t="s">
        <v>80</v>
      </c>
      <c r="C1227" s="1" t="s">
        <v>9</v>
      </c>
      <c r="D1227" s="1" t="s">
        <v>9</v>
      </c>
      <c r="E1227" s="1" t="s">
        <v>9</v>
      </c>
      <c r="F1227" s="6"/>
      <c r="G1227" s="6"/>
      <c r="H1227" s="11"/>
      <c r="I122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27" t="str">
        <f>IF(Table1[[#This Row],[Nationality]]="Nigeria",Table1[[#This Row],[EMJM Scholarship]],"Not Applicable")</f>
        <v>Not Applicable</v>
      </c>
    </row>
    <row r="1228" spans="1:10" ht="19.25" hidden="1" customHeight="1" x14ac:dyDescent="0.3">
      <c r="A1228" s="8">
        <v>2475044</v>
      </c>
      <c r="B1228" s="6" t="s">
        <v>80</v>
      </c>
      <c r="C1228" s="1" t="s">
        <v>9</v>
      </c>
      <c r="D1228" s="1" t="s">
        <v>9</v>
      </c>
      <c r="E1228" s="1" t="s">
        <v>9</v>
      </c>
      <c r="F1228" s="6"/>
      <c r="G1228" s="6"/>
      <c r="H1228" s="11"/>
      <c r="I122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28" t="str">
        <f>IF(Table1[[#This Row],[Nationality]]="Nigeria",Table1[[#This Row],[EMJM Scholarship]],"Not Applicable")</f>
        <v>Not Applicable</v>
      </c>
    </row>
    <row r="1229" spans="1:10" ht="19.25" hidden="1" customHeight="1" x14ac:dyDescent="0.3">
      <c r="A1229" s="8">
        <v>2475241</v>
      </c>
      <c r="B1229" s="6" t="s">
        <v>80</v>
      </c>
      <c r="C1229" s="1" t="s">
        <v>9</v>
      </c>
      <c r="D1229" s="1" t="s">
        <v>9</v>
      </c>
      <c r="E1229" s="1" t="s">
        <v>9</v>
      </c>
      <c r="F1229" s="6"/>
      <c r="G1229" s="6"/>
      <c r="H1229" s="11"/>
      <c r="I122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29" t="str">
        <f>IF(Table1[[#This Row],[Nationality]]="Nigeria",Table1[[#This Row],[EMJM Scholarship]],"Not Applicable")</f>
        <v>Not Applicable</v>
      </c>
    </row>
    <row r="1230" spans="1:10" ht="19.25" hidden="1" customHeight="1" x14ac:dyDescent="0.3">
      <c r="A1230" s="8">
        <v>2475487</v>
      </c>
      <c r="B1230" s="6" t="s">
        <v>80</v>
      </c>
      <c r="C1230" s="1" t="s">
        <v>9</v>
      </c>
      <c r="D1230" s="1" t="s">
        <v>9</v>
      </c>
      <c r="E1230" s="1" t="s">
        <v>9</v>
      </c>
      <c r="F1230" s="6"/>
      <c r="G1230" s="6"/>
      <c r="H1230" s="11"/>
      <c r="I123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30" t="str">
        <f>IF(Table1[[#This Row],[Nationality]]="Nigeria",Table1[[#This Row],[EMJM Scholarship]],"Not Applicable")</f>
        <v>Not Applicable</v>
      </c>
    </row>
    <row r="1231" spans="1:10" ht="19.25" hidden="1" customHeight="1" x14ac:dyDescent="0.3">
      <c r="A1231" s="8">
        <v>2475505</v>
      </c>
      <c r="B1231" s="6" t="s">
        <v>80</v>
      </c>
      <c r="C1231" s="1" t="s">
        <v>9</v>
      </c>
      <c r="D1231" s="1" t="s">
        <v>9</v>
      </c>
      <c r="E1231" s="1" t="s">
        <v>9</v>
      </c>
      <c r="F1231" s="6"/>
      <c r="G1231" s="6"/>
      <c r="H1231" s="11"/>
      <c r="I123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31" t="str">
        <f>IF(Table1[[#This Row],[Nationality]]="Nigeria",Table1[[#This Row],[EMJM Scholarship]],"Not Applicable")</f>
        <v>Not Applicable</v>
      </c>
    </row>
    <row r="1232" spans="1:10" ht="19.25" hidden="1" customHeight="1" x14ac:dyDescent="0.3">
      <c r="A1232" s="8">
        <v>2475513</v>
      </c>
      <c r="B1232" s="6" t="s">
        <v>80</v>
      </c>
      <c r="C1232" s="1" t="s">
        <v>9</v>
      </c>
      <c r="D1232" s="1" t="s">
        <v>9</v>
      </c>
      <c r="E1232" s="1" t="s">
        <v>9</v>
      </c>
      <c r="F1232" s="6"/>
      <c r="G1232" s="6"/>
      <c r="H1232" s="11"/>
      <c r="I123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32" t="str">
        <f>IF(Table1[[#This Row],[Nationality]]="Nigeria",Table1[[#This Row],[EMJM Scholarship]],"Not Applicable")</f>
        <v>Not Applicable</v>
      </c>
    </row>
    <row r="1233" spans="1:10" ht="19.25" hidden="1" customHeight="1" x14ac:dyDescent="0.3">
      <c r="A1233" s="8">
        <v>2475668</v>
      </c>
      <c r="B1233" s="6" t="s">
        <v>80</v>
      </c>
      <c r="C1233" s="1" t="s">
        <v>9</v>
      </c>
      <c r="D1233" s="1" t="s">
        <v>9</v>
      </c>
      <c r="E1233" s="1" t="s">
        <v>9</v>
      </c>
      <c r="F1233" s="6"/>
      <c r="G1233" s="6"/>
      <c r="H1233" s="11"/>
      <c r="I123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33" t="str">
        <f>IF(Table1[[#This Row],[Nationality]]="Nigeria",Table1[[#This Row],[EMJM Scholarship]],"Not Applicable")</f>
        <v>Not Applicable</v>
      </c>
    </row>
    <row r="1234" spans="1:10" ht="19.25" hidden="1" customHeight="1" x14ac:dyDescent="0.3">
      <c r="A1234" s="8">
        <v>2475799</v>
      </c>
      <c r="B1234" s="6" t="s">
        <v>80</v>
      </c>
      <c r="C1234" s="1" t="s">
        <v>9</v>
      </c>
      <c r="D1234" s="1" t="s">
        <v>9</v>
      </c>
      <c r="E1234" s="1" t="s">
        <v>9</v>
      </c>
      <c r="F1234" s="6"/>
      <c r="G1234" s="6"/>
      <c r="H1234" s="11"/>
      <c r="I123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34" t="str">
        <f>IF(Table1[[#This Row],[Nationality]]="Nigeria",Table1[[#This Row],[EMJM Scholarship]],"Not Applicable")</f>
        <v>Not Applicable</v>
      </c>
    </row>
    <row r="1235" spans="1:10" ht="19.25" hidden="1" customHeight="1" x14ac:dyDescent="0.3">
      <c r="A1235" s="8">
        <v>2475819</v>
      </c>
      <c r="B1235" s="6" t="s">
        <v>80</v>
      </c>
      <c r="C1235" s="1" t="s">
        <v>9</v>
      </c>
      <c r="D1235" s="1" t="s">
        <v>9</v>
      </c>
      <c r="E1235" s="1" t="s">
        <v>9</v>
      </c>
      <c r="F1235" s="6"/>
      <c r="G1235" s="6"/>
      <c r="H1235" s="11"/>
      <c r="I123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35" t="str">
        <f>IF(Table1[[#This Row],[Nationality]]="Nigeria",Table1[[#This Row],[EMJM Scholarship]],"Not Applicable")</f>
        <v>Not Applicable</v>
      </c>
    </row>
    <row r="1236" spans="1:10" ht="19.25" hidden="1" customHeight="1" x14ac:dyDescent="0.3">
      <c r="A1236" s="8">
        <v>2475877</v>
      </c>
      <c r="B1236" s="6" t="s">
        <v>80</v>
      </c>
      <c r="C1236" s="1" t="s">
        <v>9</v>
      </c>
      <c r="D1236" s="1" t="s">
        <v>9</v>
      </c>
      <c r="E1236" s="1" t="s">
        <v>9</v>
      </c>
      <c r="F1236" s="6"/>
      <c r="G1236" s="6"/>
      <c r="H1236" s="11"/>
      <c r="I123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36" t="str">
        <f>IF(Table1[[#This Row],[Nationality]]="Nigeria",Table1[[#This Row],[EMJM Scholarship]],"Not Applicable")</f>
        <v>Not Applicable</v>
      </c>
    </row>
    <row r="1237" spans="1:10" ht="19.25" hidden="1" customHeight="1" x14ac:dyDescent="0.3">
      <c r="A1237" s="8">
        <v>2475959</v>
      </c>
      <c r="B1237" s="6" t="s">
        <v>80</v>
      </c>
      <c r="C1237" s="1" t="s">
        <v>9</v>
      </c>
      <c r="D1237" s="1" t="s">
        <v>9</v>
      </c>
      <c r="E1237" s="1" t="s">
        <v>9</v>
      </c>
      <c r="F1237" s="6"/>
      <c r="G1237" s="6"/>
      <c r="H1237" s="11"/>
      <c r="I123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37" t="str">
        <f>IF(Table1[[#This Row],[Nationality]]="Nigeria",Table1[[#This Row],[EMJM Scholarship]],"Not Applicable")</f>
        <v>Not Applicable</v>
      </c>
    </row>
    <row r="1238" spans="1:10" ht="19.25" hidden="1" customHeight="1" x14ac:dyDescent="0.3">
      <c r="A1238" s="8">
        <v>2475963</v>
      </c>
      <c r="B1238" s="6" t="s">
        <v>80</v>
      </c>
      <c r="C1238" s="1" t="s">
        <v>9</v>
      </c>
      <c r="D1238" s="1" t="s">
        <v>9</v>
      </c>
      <c r="E1238" s="1" t="s">
        <v>9</v>
      </c>
      <c r="F1238" s="6"/>
      <c r="G1238" s="6"/>
      <c r="H1238" s="11"/>
      <c r="I123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38" t="str">
        <f>IF(Table1[[#This Row],[Nationality]]="Nigeria",Table1[[#This Row],[EMJM Scholarship]],"Not Applicable")</f>
        <v>Not Applicable</v>
      </c>
    </row>
    <row r="1239" spans="1:10" ht="19.25" hidden="1" customHeight="1" x14ac:dyDescent="0.3">
      <c r="A1239" s="8">
        <v>2475985</v>
      </c>
      <c r="B1239" s="6" t="s">
        <v>80</v>
      </c>
      <c r="C1239" s="1" t="s">
        <v>9</v>
      </c>
      <c r="D1239" s="1" t="s">
        <v>9</v>
      </c>
      <c r="E1239" s="1" t="s">
        <v>9</v>
      </c>
      <c r="F1239" s="6"/>
      <c r="G1239" s="6"/>
      <c r="H1239" s="11"/>
      <c r="I123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39" t="str">
        <f>IF(Table1[[#This Row],[Nationality]]="Nigeria",Table1[[#This Row],[EMJM Scholarship]],"Not Applicable")</f>
        <v>Not Applicable</v>
      </c>
    </row>
    <row r="1240" spans="1:10" ht="19.25" hidden="1" customHeight="1" x14ac:dyDescent="0.3">
      <c r="A1240" s="8">
        <v>2476003</v>
      </c>
      <c r="B1240" s="6" t="s">
        <v>80</v>
      </c>
      <c r="C1240" s="1" t="s">
        <v>9</v>
      </c>
      <c r="D1240" s="1" t="s">
        <v>9</v>
      </c>
      <c r="E1240" s="1" t="s">
        <v>9</v>
      </c>
      <c r="F1240" s="6"/>
      <c r="G1240" s="6"/>
      <c r="H1240" s="11"/>
      <c r="I124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40" t="str">
        <f>IF(Table1[[#This Row],[Nationality]]="Nigeria",Table1[[#This Row],[EMJM Scholarship]],"Not Applicable")</f>
        <v>Not Applicable</v>
      </c>
    </row>
    <row r="1241" spans="1:10" ht="19.25" hidden="1" customHeight="1" x14ac:dyDescent="0.3">
      <c r="A1241" s="8">
        <v>2476018</v>
      </c>
      <c r="B1241" s="6" t="s">
        <v>80</v>
      </c>
      <c r="C1241" s="1" t="s">
        <v>9</v>
      </c>
      <c r="D1241" s="1" t="s">
        <v>9</v>
      </c>
      <c r="E1241" s="1" t="s">
        <v>9</v>
      </c>
      <c r="F1241" s="6"/>
      <c r="G1241" s="6"/>
      <c r="H1241" s="11"/>
      <c r="I124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41" t="str">
        <f>IF(Table1[[#This Row],[Nationality]]="Nigeria",Table1[[#This Row],[EMJM Scholarship]],"Not Applicable")</f>
        <v>Not Applicable</v>
      </c>
    </row>
    <row r="1242" spans="1:10" ht="19.25" hidden="1" customHeight="1" x14ac:dyDescent="0.3">
      <c r="A1242" s="8">
        <v>2476019</v>
      </c>
      <c r="B1242" s="6" t="s">
        <v>80</v>
      </c>
      <c r="C1242" s="1" t="s">
        <v>9</v>
      </c>
      <c r="D1242" s="1" t="s">
        <v>9</v>
      </c>
      <c r="E1242" s="1" t="s">
        <v>9</v>
      </c>
      <c r="F1242" s="6"/>
      <c r="G1242" s="6"/>
      <c r="H1242" s="11"/>
      <c r="I124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42" t="str">
        <f>IF(Table1[[#This Row],[Nationality]]="Nigeria",Table1[[#This Row],[EMJM Scholarship]],"Not Applicable")</f>
        <v>Not Applicable</v>
      </c>
    </row>
    <row r="1243" spans="1:10" ht="19.25" hidden="1" customHeight="1" x14ac:dyDescent="0.3">
      <c r="A1243" s="8">
        <v>2476026</v>
      </c>
      <c r="B1243" s="6" t="s">
        <v>80</v>
      </c>
      <c r="C1243" s="1" t="s">
        <v>9</v>
      </c>
      <c r="D1243" s="1" t="s">
        <v>9</v>
      </c>
      <c r="E1243" s="1" t="s">
        <v>9</v>
      </c>
      <c r="F1243" s="6"/>
      <c r="G1243" s="6"/>
      <c r="H1243" s="11"/>
      <c r="I124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43" t="str">
        <f>IF(Table1[[#This Row],[Nationality]]="Nigeria",Table1[[#This Row],[EMJM Scholarship]],"Not Applicable")</f>
        <v>Not Applicable</v>
      </c>
    </row>
    <row r="1244" spans="1:10" ht="19.25" hidden="1" customHeight="1" x14ac:dyDescent="0.3">
      <c r="A1244" s="8">
        <v>2476030</v>
      </c>
      <c r="B1244" s="6" t="s">
        <v>80</v>
      </c>
      <c r="C1244" s="1" t="s">
        <v>9</v>
      </c>
      <c r="D1244" s="1" t="s">
        <v>9</v>
      </c>
      <c r="E1244" s="1" t="s">
        <v>9</v>
      </c>
      <c r="F1244" s="6"/>
      <c r="G1244" s="6"/>
      <c r="H1244" s="11"/>
      <c r="I124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44" t="str">
        <f>IF(Table1[[#This Row],[Nationality]]="Nigeria",Table1[[#This Row],[EMJM Scholarship]],"Not Applicable")</f>
        <v>Not Applicable</v>
      </c>
    </row>
    <row r="1245" spans="1:10" ht="19.25" hidden="1" customHeight="1" x14ac:dyDescent="0.3">
      <c r="A1245" s="8">
        <v>2476110</v>
      </c>
      <c r="B1245" s="6" t="s">
        <v>80</v>
      </c>
      <c r="C1245" s="1" t="s">
        <v>9</v>
      </c>
      <c r="D1245" s="1" t="s">
        <v>9</v>
      </c>
      <c r="E1245" s="1" t="s">
        <v>9</v>
      </c>
      <c r="F1245" s="6"/>
      <c r="G1245" s="6"/>
      <c r="H1245" s="11"/>
      <c r="I124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45" t="str">
        <f>IF(Table1[[#This Row],[Nationality]]="Nigeria",Table1[[#This Row],[EMJM Scholarship]],"Not Applicable")</f>
        <v>Not Applicable</v>
      </c>
    </row>
    <row r="1246" spans="1:10" ht="19.25" hidden="1" customHeight="1" x14ac:dyDescent="0.3">
      <c r="A1246" s="8">
        <v>2476262</v>
      </c>
      <c r="B1246" s="6" t="s">
        <v>80</v>
      </c>
      <c r="C1246" s="1" t="s">
        <v>9</v>
      </c>
      <c r="D1246" s="1" t="s">
        <v>9</v>
      </c>
      <c r="E1246" s="1" t="s">
        <v>9</v>
      </c>
      <c r="F1246" s="6"/>
      <c r="G1246" s="6"/>
      <c r="H1246" s="11"/>
      <c r="I124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46" t="str">
        <f>IF(Table1[[#This Row],[Nationality]]="Nigeria",Table1[[#This Row],[EMJM Scholarship]],"Not Applicable")</f>
        <v>Not Applicable</v>
      </c>
    </row>
    <row r="1247" spans="1:10" ht="19.25" hidden="1" customHeight="1" x14ac:dyDescent="0.3">
      <c r="A1247" s="8">
        <v>2476314</v>
      </c>
      <c r="B1247" s="6" t="s">
        <v>80</v>
      </c>
      <c r="C1247" s="1" t="s">
        <v>9</v>
      </c>
      <c r="D1247" s="1" t="s">
        <v>9</v>
      </c>
      <c r="E1247" s="1" t="s">
        <v>9</v>
      </c>
      <c r="F1247" s="6"/>
      <c r="G1247" s="6"/>
      <c r="H1247" s="11"/>
      <c r="I124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47" t="str">
        <f>IF(Table1[[#This Row],[Nationality]]="Nigeria",Table1[[#This Row],[EMJM Scholarship]],"Not Applicable")</f>
        <v>Not Applicable</v>
      </c>
    </row>
    <row r="1248" spans="1:10" ht="19.25" hidden="1" customHeight="1" x14ac:dyDescent="0.3">
      <c r="A1248" s="8">
        <v>2476379</v>
      </c>
      <c r="B1248" s="6" t="s">
        <v>80</v>
      </c>
      <c r="C1248" s="1" t="s">
        <v>9</v>
      </c>
      <c r="D1248" s="1" t="s">
        <v>9</v>
      </c>
      <c r="E1248" s="1" t="s">
        <v>9</v>
      </c>
      <c r="F1248" s="6"/>
      <c r="G1248" s="6"/>
      <c r="H1248" s="11"/>
      <c r="I124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48" t="str">
        <f>IF(Table1[[#This Row],[Nationality]]="Nigeria",Table1[[#This Row],[EMJM Scholarship]],"Not Applicable")</f>
        <v>Not Applicable</v>
      </c>
    </row>
    <row r="1249" spans="1:10" ht="19.25" hidden="1" customHeight="1" x14ac:dyDescent="0.3">
      <c r="A1249" s="8">
        <v>2476445</v>
      </c>
      <c r="B1249" s="6" t="s">
        <v>80</v>
      </c>
      <c r="C1249" s="1" t="s">
        <v>9</v>
      </c>
      <c r="D1249" s="1" t="s">
        <v>9</v>
      </c>
      <c r="E1249" s="1" t="s">
        <v>9</v>
      </c>
      <c r="F1249" s="6"/>
      <c r="G1249" s="6"/>
      <c r="H1249" s="11"/>
      <c r="I124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49" t="str">
        <f>IF(Table1[[#This Row],[Nationality]]="Nigeria",Table1[[#This Row],[EMJM Scholarship]],"Not Applicable")</f>
        <v>Not Applicable</v>
      </c>
    </row>
    <row r="1250" spans="1:10" ht="19.25" hidden="1" customHeight="1" x14ac:dyDescent="0.3">
      <c r="A1250" s="8">
        <v>2476455</v>
      </c>
      <c r="B1250" s="6" t="s">
        <v>80</v>
      </c>
      <c r="C1250" s="1" t="s">
        <v>9</v>
      </c>
      <c r="D1250" s="1" t="s">
        <v>9</v>
      </c>
      <c r="E1250" s="1" t="s">
        <v>9</v>
      </c>
      <c r="F1250" s="6"/>
      <c r="G1250" s="6"/>
      <c r="H1250" s="11"/>
      <c r="I125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50" t="str">
        <f>IF(Table1[[#This Row],[Nationality]]="Nigeria",Table1[[#This Row],[EMJM Scholarship]],"Not Applicable")</f>
        <v>Not Applicable</v>
      </c>
    </row>
    <row r="1251" spans="1:10" ht="19.25" hidden="1" customHeight="1" x14ac:dyDescent="0.3">
      <c r="A1251" s="8">
        <v>2476531</v>
      </c>
      <c r="B1251" s="6" t="s">
        <v>80</v>
      </c>
      <c r="C1251" s="1" t="s">
        <v>9</v>
      </c>
      <c r="D1251" s="1" t="s">
        <v>9</v>
      </c>
      <c r="E1251" s="1" t="s">
        <v>9</v>
      </c>
      <c r="F1251" s="6"/>
      <c r="G1251" s="6"/>
      <c r="H1251" s="11"/>
      <c r="I125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51" t="str">
        <f>IF(Table1[[#This Row],[Nationality]]="Nigeria",Table1[[#This Row],[EMJM Scholarship]],"Not Applicable")</f>
        <v>Not Applicable</v>
      </c>
    </row>
    <row r="1252" spans="1:10" ht="19.25" hidden="1" customHeight="1" x14ac:dyDescent="0.3">
      <c r="A1252" s="8">
        <v>2476537</v>
      </c>
      <c r="B1252" s="6" t="s">
        <v>80</v>
      </c>
      <c r="C1252" s="1" t="s">
        <v>9</v>
      </c>
      <c r="D1252" s="1" t="s">
        <v>9</v>
      </c>
      <c r="E1252" s="1" t="s">
        <v>9</v>
      </c>
      <c r="F1252" s="6"/>
      <c r="G1252" s="6"/>
      <c r="H1252" s="11"/>
      <c r="I125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52" t="str">
        <f>IF(Table1[[#This Row],[Nationality]]="Nigeria",Table1[[#This Row],[EMJM Scholarship]],"Not Applicable")</f>
        <v>Not Applicable</v>
      </c>
    </row>
    <row r="1253" spans="1:10" ht="19.25" hidden="1" customHeight="1" x14ac:dyDescent="0.3">
      <c r="A1253" s="8">
        <v>2476540</v>
      </c>
      <c r="B1253" s="6" t="s">
        <v>80</v>
      </c>
      <c r="C1253" s="1" t="s">
        <v>9</v>
      </c>
      <c r="D1253" s="1" t="s">
        <v>9</v>
      </c>
      <c r="E1253" s="1" t="s">
        <v>9</v>
      </c>
      <c r="F1253" s="6"/>
      <c r="G1253" s="6"/>
      <c r="H1253" s="11"/>
      <c r="I125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53" t="str">
        <f>IF(Table1[[#This Row],[Nationality]]="Nigeria",Table1[[#This Row],[EMJM Scholarship]],"Not Applicable")</f>
        <v>Not Applicable</v>
      </c>
    </row>
    <row r="1254" spans="1:10" ht="19.25" hidden="1" customHeight="1" x14ac:dyDescent="0.3">
      <c r="A1254" s="8">
        <v>2476562</v>
      </c>
      <c r="B1254" s="6" t="s">
        <v>80</v>
      </c>
      <c r="C1254" s="1" t="s">
        <v>9</v>
      </c>
      <c r="D1254" s="1" t="s">
        <v>9</v>
      </c>
      <c r="E1254" s="1" t="s">
        <v>9</v>
      </c>
      <c r="F1254" s="6"/>
      <c r="G1254" s="6"/>
      <c r="H1254" s="11"/>
      <c r="I125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54" t="str">
        <f>IF(Table1[[#This Row],[Nationality]]="Nigeria",Table1[[#This Row],[EMJM Scholarship]],"Not Applicable")</f>
        <v>Not Applicable</v>
      </c>
    </row>
    <row r="1255" spans="1:10" ht="19.25" hidden="1" customHeight="1" x14ac:dyDescent="0.3">
      <c r="A1255" s="8">
        <v>2476618</v>
      </c>
      <c r="B1255" s="6" t="s">
        <v>80</v>
      </c>
      <c r="C1255" s="1" t="s">
        <v>9</v>
      </c>
      <c r="D1255" s="1" t="s">
        <v>9</v>
      </c>
      <c r="E1255" s="1" t="s">
        <v>9</v>
      </c>
      <c r="F1255" s="6"/>
      <c r="G1255" s="6"/>
      <c r="H1255" s="11"/>
      <c r="I125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55" t="str">
        <f>IF(Table1[[#This Row],[Nationality]]="Nigeria",Table1[[#This Row],[EMJM Scholarship]],"Not Applicable")</f>
        <v>Not Applicable</v>
      </c>
    </row>
    <row r="1256" spans="1:10" ht="19.25" hidden="1" customHeight="1" x14ac:dyDescent="0.3">
      <c r="A1256" s="8">
        <v>2476625</v>
      </c>
      <c r="B1256" s="6" t="s">
        <v>80</v>
      </c>
      <c r="C1256" s="1" t="s">
        <v>9</v>
      </c>
      <c r="D1256" s="1" t="s">
        <v>9</v>
      </c>
      <c r="E1256" s="1" t="s">
        <v>9</v>
      </c>
      <c r="F1256" s="6"/>
      <c r="G1256" s="6"/>
      <c r="H1256" s="11"/>
      <c r="I125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56" t="str">
        <f>IF(Table1[[#This Row],[Nationality]]="Nigeria",Table1[[#This Row],[EMJM Scholarship]],"Not Applicable")</f>
        <v>Not Applicable</v>
      </c>
    </row>
    <row r="1257" spans="1:10" ht="19.25" hidden="1" customHeight="1" x14ac:dyDescent="0.3">
      <c r="A1257" s="8">
        <v>2476642</v>
      </c>
      <c r="B1257" s="6" t="s">
        <v>80</v>
      </c>
      <c r="C1257" s="1" t="s">
        <v>9</v>
      </c>
      <c r="D1257" s="1" t="s">
        <v>9</v>
      </c>
      <c r="E1257" s="1" t="s">
        <v>9</v>
      </c>
      <c r="F1257" s="6"/>
      <c r="G1257" s="6"/>
      <c r="H1257" s="11"/>
      <c r="I125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57" t="str">
        <f>IF(Table1[[#This Row],[Nationality]]="Nigeria",Table1[[#This Row],[EMJM Scholarship]],"Not Applicable")</f>
        <v>Not Applicable</v>
      </c>
    </row>
    <row r="1258" spans="1:10" ht="19.25" hidden="1" customHeight="1" x14ac:dyDescent="0.3">
      <c r="A1258" s="8">
        <v>2476648</v>
      </c>
      <c r="B1258" s="6" t="s">
        <v>80</v>
      </c>
      <c r="C1258" s="1" t="s">
        <v>9</v>
      </c>
      <c r="D1258" s="1" t="s">
        <v>9</v>
      </c>
      <c r="E1258" s="1" t="s">
        <v>9</v>
      </c>
      <c r="F1258" s="6"/>
      <c r="G1258" s="6"/>
      <c r="H1258" s="11"/>
      <c r="I125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58" t="str">
        <f>IF(Table1[[#This Row],[Nationality]]="Nigeria",Table1[[#This Row],[EMJM Scholarship]],"Not Applicable")</f>
        <v>Not Applicable</v>
      </c>
    </row>
    <row r="1259" spans="1:10" ht="19.25" hidden="1" customHeight="1" x14ac:dyDescent="0.3">
      <c r="A1259" s="8">
        <v>2476699</v>
      </c>
      <c r="B1259" s="6" t="s">
        <v>80</v>
      </c>
      <c r="C1259" s="1" t="s">
        <v>9</v>
      </c>
      <c r="D1259" s="1" t="s">
        <v>9</v>
      </c>
      <c r="E1259" s="1" t="s">
        <v>9</v>
      </c>
      <c r="F1259" s="6"/>
      <c r="G1259" s="6"/>
      <c r="H1259" s="11"/>
      <c r="I125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59" t="str">
        <f>IF(Table1[[#This Row],[Nationality]]="Nigeria",Table1[[#This Row],[EMJM Scholarship]],"Not Applicable")</f>
        <v>Not Applicable</v>
      </c>
    </row>
    <row r="1260" spans="1:10" ht="19.25" hidden="1" customHeight="1" x14ac:dyDescent="0.3">
      <c r="A1260" s="8">
        <v>2476754</v>
      </c>
      <c r="B1260" s="6" t="s">
        <v>80</v>
      </c>
      <c r="C1260" s="1" t="s">
        <v>9</v>
      </c>
      <c r="D1260" s="1" t="s">
        <v>9</v>
      </c>
      <c r="E1260" s="1" t="s">
        <v>9</v>
      </c>
      <c r="F1260" s="6"/>
      <c r="G1260" s="6"/>
      <c r="H1260" s="11"/>
      <c r="I126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60" t="str">
        <f>IF(Table1[[#This Row],[Nationality]]="Nigeria",Table1[[#This Row],[EMJM Scholarship]],"Not Applicable")</f>
        <v>Not Applicable</v>
      </c>
    </row>
    <row r="1261" spans="1:10" ht="19.25" hidden="1" customHeight="1" x14ac:dyDescent="0.3">
      <c r="A1261" s="8">
        <v>2476927</v>
      </c>
      <c r="B1261" s="6" t="s">
        <v>80</v>
      </c>
      <c r="C1261" s="1" t="s">
        <v>9</v>
      </c>
      <c r="D1261" s="1" t="s">
        <v>9</v>
      </c>
      <c r="E1261" s="1" t="s">
        <v>9</v>
      </c>
      <c r="F1261" s="6"/>
      <c r="G1261" s="6"/>
      <c r="H1261" s="11"/>
      <c r="I126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61" t="str">
        <f>IF(Table1[[#This Row],[Nationality]]="Nigeria",Table1[[#This Row],[EMJM Scholarship]],"Not Applicable")</f>
        <v>Not Applicable</v>
      </c>
    </row>
    <row r="1262" spans="1:10" ht="19.25" hidden="1" customHeight="1" x14ac:dyDescent="0.3">
      <c r="A1262" s="8">
        <v>2477068</v>
      </c>
      <c r="B1262" s="6" t="s">
        <v>80</v>
      </c>
      <c r="C1262" s="1" t="s">
        <v>9</v>
      </c>
      <c r="D1262" s="1" t="s">
        <v>9</v>
      </c>
      <c r="E1262" s="1" t="s">
        <v>9</v>
      </c>
      <c r="F1262" s="6"/>
      <c r="G1262" s="6"/>
      <c r="H1262" s="11"/>
      <c r="I126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62" t="str">
        <f>IF(Table1[[#This Row],[Nationality]]="Nigeria",Table1[[#This Row],[EMJM Scholarship]],"Not Applicable")</f>
        <v>Not Applicable</v>
      </c>
    </row>
    <row r="1263" spans="1:10" ht="19.25" hidden="1" customHeight="1" x14ac:dyDescent="0.3">
      <c r="A1263" s="8">
        <v>2477069</v>
      </c>
      <c r="B1263" s="6" t="s">
        <v>80</v>
      </c>
      <c r="C1263" s="1" t="s">
        <v>9</v>
      </c>
      <c r="D1263" s="1" t="s">
        <v>9</v>
      </c>
      <c r="E1263" s="1" t="s">
        <v>9</v>
      </c>
      <c r="F1263" s="6"/>
      <c r="G1263" s="6"/>
      <c r="H1263" s="11"/>
      <c r="I126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63" t="str">
        <f>IF(Table1[[#This Row],[Nationality]]="Nigeria",Table1[[#This Row],[EMJM Scholarship]],"Not Applicable")</f>
        <v>Not Applicable</v>
      </c>
    </row>
    <row r="1264" spans="1:10" ht="19.25" hidden="1" customHeight="1" x14ac:dyDescent="0.3">
      <c r="A1264" s="8">
        <v>2477071</v>
      </c>
      <c r="B1264" s="6" t="s">
        <v>80</v>
      </c>
      <c r="C1264" s="1" t="s">
        <v>9</v>
      </c>
      <c r="D1264" s="1" t="s">
        <v>9</v>
      </c>
      <c r="E1264" s="1" t="s">
        <v>9</v>
      </c>
      <c r="F1264" s="6"/>
      <c r="G1264" s="6"/>
      <c r="H1264" s="11"/>
      <c r="I126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64" t="str">
        <f>IF(Table1[[#This Row],[Nationality]]="Nigeria",Table1[[#This Row],[EMJM Scholarship]],"Not Applicable")</f>
        <v>Not Applicable</v>
      </c>
    </row>
    <row r="1265" spans="1:10" ht="19.25" hidden="1" customHeight="1" x14ac:dyDescent="0.3">
      <c r="A1265" s="8">
        <v>2477092</v>
      </c>
      <c r="B1265" s="6" t="s">
        <v>80</v>
      </c>
      <c r="C1265" s="1" t="s">
        <v>9</v>
      </c>
      <c r="D1265" s="1" t="s">
        <v>9</v>
      </c>
      <c r="E1265" s="1" t="s">
        <v>9</v>
      </c>
      <c r="F1265" s="6"/>
      <c r="G1265" s="6"/>
      <c r="H1265" s="11"/>
      <c r="I126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65" t="str">
        <f>IF(Table1[[#This Row],[Nationality]]="Nigeria",Table1[[#This Row],[EMJM Scholarship]],"Not Applicable")</f>
        <v>Not Applicable</v>
      </c>
    </row>
    <row r="1266" spans="1:10" ht="19.25" hidden="1" customHeight="1" x14ac:dyDescent="0.3">
      <c r="A1266" s="8">
        <v>2477099</v>
      </c>
      <c r="B1266" s="6" t="s">
        <v>80</v>
      </c>
      <c r="C1266" s="1" t="s">
        <v>9</v>
      </c>
      <c r="D1266" s="1" t="s">
        <v>9</v>
      </c>
      <c r="E1266" s="1" t="s">
        <v>9</v>
      </c>
      <c r="F1266" s="6"/>
      <c r="G1266" s="6"/>
      <c r="H1266" s="11"/>
      <c r="I126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66" t="str">
        <f>IF(Table1[[#This Row],[Nationality]]="Nigeria",Table1[[#This Row],[EMJM Scholarship]],"Not Applicable")</f>
        <v>Not Applicable</v>
      </c>
    </row>
    <row r="1267" spans="1:10" ht="19.25" hidden="1" customHeight="1" x14ac:dyDescent="0.3">
      <c r="A1267" s="8">
        <v>2477280</v>
      </c>
      <c r="B1267" s="6" t="s">
        <v>80</v>
      </c>
      <c r="C1267" s="1" t="s">
        <v>9</v>
      </c>
      <c r="D1267" s="1" t="s">
        <v>9</v>
      </c>
      <c r="E1267" s="1" t="s">
        <v>9</v>
      </c>
      <c r="F1267" s="6"/>
      <c r="G1267" s="6"/>
      <c r="H1267" s="11"/>
      <c r="I126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67" t="str">
        <f>IF(Table1[[#This Row],[Nationality]]="Nigeria",Table1[[#This Row],[EMJM Scholarship]],"Not Applicable")</f>
        <v>Not Applicable</v>
      </c>
    </row>
    <row r="1268" spans="1:10" ht="19.25" hidden="1" customHeight="1" x14ac:dyDescent="0.3">
      <c r="A1268" s="8">
        <v>2477361</v>
      </c>
      <c r="B1268" s="6" t="s">
        <v>80</v>
      </c>
      <c r="C1268" s="1" t="s">
        <v>9</v>
      </c>
      <c r="D1268" s="1" t="s">
        <v>9</v>
      </c>
      <c r="E1268" s="1" t="s">
        <v>9</v>
      </c>
      <c r="F1268" s="6"/>
      <c r="G1268" s="6"/>
      <c r="H1268" s="11"/>
      <c r="I126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68" t="str">
        <f>IF(Table1[[#This Row],[Nationality]]="Nigeria",Table1[[#This Row],[EMJM Scholarship]],"Not Applicable")</f>
        <v>Not Applicable</v>
      </c>
    </row>
    <row r="1269" spans="1:10" ht="19.25" hidden="1" customHeight="1" x14ac:dyDescent="0.3">
      <c r="A1269" s="8">
        <v>2477425</v>
      </c>
      <c r="B1269" s="6" t="s">
        <v>80</v>
      </c>
      <c r="C1269" s="1" t="s">
        <v>9</v>
      </c>
      <c r="D1269" s="1" t="s">
        <v>9</v>
      </c>
      <c r="E1269" s="1" t="s">
        <v>9</v>
      </c>
      <c r="F1269" s="6"/>
      <c r="G1269" s="6"/>
      <c r="H1269" s="11"/>
      <c r="I126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69" t="str">
        <f>IF(Table1[[#This Row],[Nationality]]="Nigeria",Table1[[#This Row],[EMJM Scholarship]],"Not Applicable")</f>
        <v>Not Applicable</v>
      </c>
    </row>
    <row r="1270" spans="1:10" ht="19.25" hidden="1" customHeight="1" x14ac:dyDescent="0.3">
      <c r="A1270" s="8">
        <v>2477516</v>
      </c>
      <c r="B1270" s="6" t="s">
        <v>80</v>
      </c>
      <c r="C1270" s="1" t="s">
        <v>9</v>
      </c>
      <c r="D1270" s="1" t="s">
        <v>9</v>
      </c>
      <c r="E1270" s="1" t="s">
        <v>9</v>
      </c>
      <c r="F1270" s="6"/>
      <c r="G1270" s="6"/>
      <c r="H1270" s="11"/>
      <c r="I127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70" t="str">
        <f>IF(Table1[[#This Row],[Nationality]]="Nigeria",Table1[[#This Row],[EMJM Scholarship]],"Not Applicable")</f>
        <v>Not Applicable</v>
      </c>
    </row>
    <row r="1271" spans="1:10" ht="19.25" hidden="1" customHeight="1" x14ac:dyDescent="0.3">
      <c r="A1271" s="8">
        <v>2477658</v>
      </c>
      <c r="B1271" s="6" t="s">
        <v>80</v>
      </c>
      <c r="C1271" s="1" t="s">
        <v>9</v>
      </c>
      <c r="D1271" s="1" t="s">
        <v>9</v>
      </c>
      <c r="E1271" s="1" t="s">
        <v>9</v>
      </c>
      <c r="F1271" s="6"/>
      <c r="G1271" s="6"/>
      <c r="H1271" s="11"/>
      <c r="I127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71" t="str">
        <f>IF(Table1[[#This Row],[Nationality]]="Nigeria",Table1[[#This Row],[EMJM Scholarship]],"Not Applicable")</f>
        <v>Not Applicable</v>
      </c>
    </row>
    <row r="1272" spans="1:10" ht="19.25" hidden="1" customHeight="1" x14ac:dyDescent="0.3">
      <c r="A1272" s="8">
        <v>2477737</v>
      </c>
      <c r="B1272" s="6" t="s">
        <v>80</v>
      </c>
      <c r="C1272" s="1" t="s">
        <v>9</v>
      </c>
      <c r="D1272" s="1" t="s">
        <v>9</v>
      </c>
      <c r="E1272" s="1" t="s">
        <v>9</v>
      </c>
      <c r="F1272" s="6"/>
      <c r="G1272" s="6"/>
      <c r="H1272" s="11"/>
      <c r="I127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72" t="str">
        <f>IF(Table1[[#This Row],[Nationality]]="Nigeria",Table1[[#This Row],[EMJM Scholarship]],"Not Applicable")</f>
        <v>Not Applicable</v>
      </c>
    </row>
    <row r="1273" spans="1:10" ht="19.25" hidden="1" customHeight="1" x14ac:dyDescent="0.3">
      <c r="A1273" s="8">
        <v>2477765</v>
      </c>
      <c r="B1273" s="6" t="s">
        <v>80</v>
      </c>
      <c r="C1273" s="1" t="s">
        <v>9</v>
      </c>
      <c r="D1273" s="1" t="s">
        <v>9</v>
      </c>
      <c r="E1273" s="1" t="s">
        <v>9</v>
      </c>
      <c r="F1273" s="6"/>
      <c r="G1273" s="6"/>
      <c r="H1273" s="11"/>
      <c r="I127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73" t="str">
        <f>IF(Table1[[#This Row],[Nationality]]="Nigeria",Table1[[#This Row],[EMJM Scholarship]],"Not Applicable")</f>
        <v>Not Applicable</v>
      </c>
    </row>
    <row r="1274" spans="1:10" ht="19.25" hidden="1" customHeight="1" x14ac:dyDescent="0.3">
      <c r="A1274" s="8">
        <v>2477794</v>
      </c>
      <c r="B1274" s="6" t="s">
        <v>80</v>
      </c>
      <c r="C1274" s="1" t="s">
        <v>9</v>
      </c>
      <c r="D1274" s="1" t="s">
        <v>9</v>
      </c>
      <c r="E1274" s="1" t="s">
        <v>9</v>
      </c>
      <c r="F1274" s="6"/>
      <c r="G1274" s="6"/>
      <c r="H1274" s="11"/>
      <c r="I127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74" t="str">
        <f>IF(Table1[[#This Row],[Nationality]]="Nigeria",Table1[[#This Row],[EMJM Scholarship]],"Not Applicable")</f>
        <v>Not Applicable</v>
      </c>
    </row>
    <row r="1275" spans="1:10" ht="19.25" hidden="1" customHeight="1" x14ac:dyDescent="0.3">
      <c r="A1275" s="8">
        <v>2478203</v>
      </c>
      <c r="B1275" s="6" t="s">
        <v>80</v>
      </c>
      <c r="C1275" s="1" t="s">
        <v>9</v>
      </c>
      <c r="D1275" s="1" t="s">
        <v>9</v>
      </c>
      <c r="E1275" s="1" t="s">
        <v>9</v>
      </c>
      <c r="F1275" s="6"/>
      <c r="G1275" s="6"/>
      <c r="H1275" s="11"/>
      <c r="I127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75" t="str">
        <f>IF(Table1[[#This Row],[Nationality]]="Nigeria",Table1[[#This Row],[EMJM Scholarship]],"Not Applicable")</f>
        <v>Not Applicable</v>
      </c>
    </row>
    <row r="1276" spans="1:10" ht="19.25" hidden="1" customHeight="1" x14ac:dyDescent="0.3">
      <c r="A1276" s="8">
        <v>2478218</v>
      </c>
      <c r="B1276" s="6" t="s">
        <v>80</v>
      </c>
      <c r="C1276" s="1" t="s">
        <v>9</v>
      </c>
      <c r="D1276" s="1" t="s">
        <v>9</v>
      </c>
      <c r="E1276" s="1" t="s">
        <v>9</v>
      </c>
      <c r="F1276" s="6"/>
      <c r="G1276" s="6"/>
      <c r="H1276" s="11"/>
      <c r="I127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76" t="str">
        <f>IF(Table1[[#This Row],[Nationality]]="Nigeria",Table1[[#This Row],[EMJM Scholarship]],"Not Applicable")</f>
        <v>Not Applicable</v>
      </c>
    </row>
    <row r="1277" spans="1:10" ht="19.25" hidden="1" customHeight="1" x14ac:dyDescent="0.3">
      <c r="A1277" s="8">
        <v>2478238</v>
      </c>
      <c r="B1277" s="6" t="s">
        <v>80</v>
      </c>
      <c r="C1277" s="1" t="s">
        <v>9</v>
      </c>
      <c r="D1277" s="1" t="s">
        <v>9</v>
      </c>
      <c r="E1277" s="1" t="s">
        <v>9</v>
      </c>
      <c r="F1277" s="6"/>
      <c r="G1277" s="6"/>
      <c r="H1277" s="11"/>
      <c r="I127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77" t="str">
        <f>IF(Table1[[#This Row],[Nationality]]="Nigeria",Table1[[#This Row],[EMJM Scholarship]],"Not Applicable")</f>
        <v>Not Applicable</v>
      </c>
    </row>
    <row r="1278" spans="1:10" ht="19.25" hidden="1" customHeight="1" x14ac:dyDescent="0.3">
      <c r="A1278" s="8">
        <v>2478265</v>
      </c>
      <c r="B1278" s="6" t="s">
        <v>80</v>
      </c>
      <c r="C1278" s="1" t="s">
        <v>9</v>
      </c>
      <c r="D1278" s="1" t="s">
        <v>9</v>
      </c>
      <c r="E1278" s="1" t="s">
        <v>9</v>
      </c>
      <c r="F1278" s="6"/>
      <c r="G1278" s="6"/>
      <c r="H1278" s="11"/>
      <c r="I127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78" t="str">
        <f>IF(Table1[[#This Row],[Nationality]]="Nigeria",Table1[[#This Row],[EMJM Scholarship]],"Not Applicable")</f>
        <v>Not Applicable</v>
      </c>
    </row>
    <row r="1279" spans="1:10" ht="19.25" hidden="1" customHeight="1" x14ac:dyDescent="0.3">
      <c r="A1279" s="8">
        <v>2478387</v>
      </c>
      <c r="B1279" s="6" t="s">
        <v>80</v>
      </c>
      <c r="C1279" s="1" t="s">
        <v>9</v>
      </c>
      <c r="D1279" s="1" t="s">
        <v>9</v>
      </c>
      <c r="E1279" s="1" t="s">
        <v>9</v>
      </c>
      <c r="F1279" s="6"/>
      <c r="G1279" s="6"/>
      <c r="H1279" s="11"/>
      <c r="I127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79" t="str">
        <f>IF(Table1[[#This Row],[Nationality]]="Nigeria",Table1[[#This Row],[EMJM Scholarship]],"Not Applicable")</f>
        <v>Not Applicable</v>
      </c>
    </row>
    <row r="1280" spans="1:10" ht="19.25" hidden="1" customHeight="1" x14ac:dyDescent="0.3">
      <c r="A1280" s="8">
        <v>2478412</v>
      </c>
      <c r="B1280" s="6" t="s">
        <v>80</v>
      </c>
      <c r="C1280" s="1" t="s">
        <v>9</v>
      </c>
      <c r="D1280" s="1" t="s">
        <v>9</v>
      </c>
      <c r="E1280" s="1" t="s">
        <v>9</v>
      </c>
      <c r="F1280" s="6"/>
      <c r="G1280" s="6"/>
      <c r="H1280" s="11"/>
      <c r="I128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80" t="str">
        <f>IF(Table1[[#This Row],[Nationality]]="Nigeria",Table1[[#This Row],[EMJM Scholarship]],"Not Applicable")</f>
        <v>Not Applicable</v>
      </c>
    </row>
    <row r="1281" spans="1:10" ht="19.25" hidden="1" customHeight="1" x14ac:dyDescent="0.3">
      <c r="A1281" s="8">
        <v>2478577</v>
      </c>
      <c r="B1281" s="6" t="s">
        <v>80</v>
      </c>
      <c r="C1281" s="1" t="s">
        <v>9</v>
      </c>
      <c r="D1281" s="1" t="s">
        <v>9</v>
      </c>
      <c r="E1281" s="1" t="s">
        <v>9</v>
      </c>
      <c r="F1281" s="6"/>
      <c r="G1281" s="6"/>
      <c r="H1281" s="11"/>
      <c r="I128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81" t="str">
        <f>IF(Table1[[#This Row],[Nationality]]="Nigeria",Table1[[#This Row],[EMJM Scholarship]],"Not Applicable")</f>
        <v>Not Applicable</v>
      </c>
    </row>
    <row r="1282" spans="1:10" ht="19.25" hidden="1" customHeight="1" x14ac:dyDescent="0.3">
      <c r="A1282" s="8">
        <v>2478611</v>
      </c>
      <c r="B1282" s="6" t="s">
        <v>80</v>
      </c>
      <c r="C1282" s="1" t="s">
        <v>9</v>
      </c>
      <c r="D1282" s="1" t="s">
        <v>9</v>
      </c>
      <c r="E1282" s="1" t="s">
        <v>9</v>
      </c>
      <c r="F1282" s="6"/>
      <c r="G1282" s="6"/>
      <c r="H1282" s="11"/>
      <c r="I128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82" t="str">
        <f>IF(Table1[[#This Row],[Nationality]]="Nigeria",Table1[[#This Row],[EMJM Scholarship]],"Not Applicable")</f>
        <v>Not Applicable</v>
      </c>
    </row>
    <row r="1283" spans="1:10" ht="19.25" hidden="1" customHeight="1" x14ac:dyDescent="0.3">
      <c r="A1283" s="8">
        <v>2478628</v>
      </c>
      <c r="B1283" s="6" t="s">
        <v>80</v>
      </c>
      <c r="C1283" s="1" t="s">
        <v>9</v>
      </c>
      <c r="D1283" s="1" t="s">
        <v>9</v>
      </c>
      <c r="E1283" s="1" t="s">
        <v>9</v>
      </c>
      <c r="F1283" s="6"/>
      <c r="G1283" s="6"/>
      <c r="H1283" s="11"/>
      <c r="I128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83" t="str">
        <f>IF(Table1[[#This Row],[Nationality]]="Nigeria",Table1[[#This Row],[EMJM Scholarship]],"Not Applicable")</f>
        <v>Not Applicable</v>
      </c>
    </row>
    <row r="1284" spans="1:10" ht="19.25" hidden="1" customHeight="1" x14ac:dyDescent="0.3">
      <c r="A1284" s="8">
        <v>2478898</v>
      </c>
      <c r="B1284" s="6" t="s">
        <v>80</v>
      </c>
      <c r="C1284" s="1" t="s">
        <v>9</v>
      </c>
      <c r="D1284" s="1" t="s">
        <v>9</v>
      </c>
      <c r="E1284" s="1" t="s">
        <v>9</v>
      </c>
      <c r="F1284" s="6"/>
      <c r="G1284" s="6"/>
      <c r="H1284" s="11"/>
      <c r="I128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84" t="str">
        <f>IF(Table1[[#This Row],[Nationality]]="Nigeria",Table1[[#This Row],[EMJM Scholarship]],"Not Applicable")</f>
        <v>Not Applicable</v>
      </c>
    </row>
    <row r="1285" spans="1:10" ht="19.25" hidden="1" customHeight="1" x14ac:dyDescent="0.3">
      <c r="A1285" s="8">
        <v>2479006</v>
      </c>
      <c r="B1285" s="6" t="s">
        <v>80</v>
      </c>
      <c r="C1285" s="1" t="s">
        <v>9</v>
      </c>
      <c r="D1285" s="1" t="s">
        <v>9</v>
      </c>
      <c r="E1285" s="1" t="s">
        <v>9</v>
      </c>
      <c r="F1285" s="6"/>
      <c r="G1285" s="6"/>
      <c r="H1285" s="11"/>
      <c r="I128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85" t="str">
        <f>IF(Table1[[#This Row],[Nationality]]="Nigeria",Table1[[#This Row],[EMJM Scholarship]],"Not Applicable")</f>
        <v>Not Applicable</v>
      </c>
    </row>
    <row r="1286" spans="1:10" ht="19.25" hidden="1" customHeight="1" x14ac:dyDescent="0.3">
      <c r="A1286" s="8">
        <v>2479191</v>
      </c>
      <c r="B1286" s="6" t="s">
        <v>80</v>
      </c>
      <c r="C1286" s="1" t="s">
        <v>9</v>
      </c>
      <c r="D1286" s="1" t="s">
        <v>9</v>
      </c>
      <c r="E1286" s="1" t="s">
        <v>9</v>
      </c>
      <c r="F1286" s="6"/>
      <c r="G1286" s="6"/>
      <c r="H1286" s="11"/>
      <c r="I128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86" t="str">
        <f>IF(Table1[[#This Row],[Nationality]]="Nigeria",Table1[[#This Row],[EMJM Scholarship]],"Not Applicable")</f>
        <v>Not Applicable</v>
      </c>
    </row>
    <row r="1287" spans="1:10" ht="19.25" hidden="1" customHeight="1" x14ac:dyDescent="0.3">
      <c r="A1287" s="8">
        <v>2479200</v>
      </c>
      <c r="B1287" s="6" t="s">
        <v>80</v>
      </c>
      <c r="C1287" s="1" t="s">
        <v>9</v>
      </c>
      <c r="D1287" s="1" t="s">
        <v>9</v>
      </c>
      <c r="E1287" s="1" t="s">
        <v>9</v>
      </c>
      <c r="F1287" s="6"/>
      <c r="G1287" s="6"/>
      <c r="H1287" s="11"/>
      <c r="I128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87" t="str">
        <f>IF(Table1[[#This Row],[Nationality]]="Nigeria",Table1[[#This Row],[EMJM Scholarship]],"Not Applicable")</f>
        <v>Not Applicable</v>
      </c>
    </row>
    <row r="1288" spans="1:10" ht="19.25" hidden="1" customHeight="1" x14ac:dyDescent="0.3">
      <c r="A1288" s="8">
        <v>2479256</v>
      </c>
      <c r="B1288" s="6" t="s">
        <v>80</v>
      </c>
      <c r="C1288" s="1" t="s">
        <v>9</v>
      </c>
      <c r="D1288" s="1" t="s">
        <v>9</v>
      </c>
      <c r="E1288" s="1" t="s">
        <v>9</v>
      </c>
      <c r="F1288" s="6"/>
      <c r="G1288" s="6"/>
      <c r="H1288" s="11"/>
      <c r="I128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88" t="str">
        <f>IF(Table1[[#This Row],[Nationality]]="Nigeria",Table1[[#This Row],[EMJM Scholarship]],"Not Applicable")</f>
        <v>Not Applicable</v>
      </c>
    </row>
    <row r="1289" spans="1:10" ht="19.25" hidden="1" customHeight="1" x14ac:dyDescent="0.3">
      <c r="A1289" s="8">
        <v>2479273</v>
      </c>
      <c r="B1289" s="6" t="s">
        <v>80</v>
      </c>
      <c r="C1289" s="1" t="s">
        <v>9</v>
      </c>
      <c r="D1289" s="1" t="s">
        <v>9</v>
      </c>
      <c r="E1289" s="1" t="s">
        <v>9</v>
      </c>
      <c r="F1289" s="6"/>
      <c r="G1289" s="6"/>
      <c r="H1289" s="11"/>
      <c r="I128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89" t="str">
        <f>IF(Table1[[#This Row],[Nationality]]="Nigeria",Table1[[#This Row],[EMJM Scholarship]],"Not Applicable")</f>
        <v>Not Applicable</v>
      </c>
    </row>
    <row r="1290" spans="1:10" ht="19.25" hidden="1" customHeight="1" x14ac:dyDescent="0.3">
      <c r="A1290" s="8">
        <v>2479285</v>
      </c>
      <c r="B1290" s="6" t="s">
        <v>80</v>
      </c>
      <c r="C1290" s="1" t="s">
        <v>9</v>
      </c>
      <c r="D1290" s="1" t="s">
        <v>9</v>
      </c>
      <c r="E1290" s="1" t="s">
        <v>9</v>
      </c>
      <c r="F1290" s="6"/>
      <c r="G1290" s="6"/>
      <c r="H1290" s="11"/>
      <c r="I129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90" t="str">
        <f>IF(Table1[[#This Row],[Nationality]]="Nigeria",Table1[[#This Row],[EMJM Scholarship]],"Not Applicable")</f>
        <v>Not Applicable</v>
      </c>
    </row>
    <row r="1291" spans="1:10" ht="19.25" hidden="1" customHeight="1" x14ac:dyDescent="0.3">
      <c r="A1291" s="8">
        <v>2479330</v>
      </c>
      <c r="B1291" s="6" t="s">
        <v>80</v>
      </c>
      <c r="C1291" s="1" t="s">
        <v>9</v>
      </c>
      <c r="D1291" s="1" t="s">
        <v>9</v>
      </c>
      <c r="E1291" s="1" t="s">
        <v>9</v>
      </c>
      <c r="F1291" s="6"/>
      <c r="G1291" s="6"/>
      <c r="H1291" s="11"/>
      <c r="I129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91" t="str">
        <f>IF(Table1[[#This Row],[Nationality]]="Nigeria",Table1[[#This Row],[EMJM Scholarship]],"Not Applicable")</f>
        <v>Not Applicable</v>
      </c>
    </row>
    <row r="1292" spans="1:10" ht="19.25" hidden="1" customHeight="1" x14ac:dyDescent="0.3">
      <c r="A1292" s="8">
        <v>2479341</v>
      </c>
      <c r="B1292" s="6" t="s">
        <v>80</v>
      </c>
      <c r="C1292" s="1" t="s">
        <v>9</v>
      </c>
      <c r="D1292" s="1" t="s">
        <v>9</v>
      </c>
      <c r="E1292" s="1" t="s">
        <v>9</v>
      </c>
      <c r="F1292" s="6"/>
      <c r="G1292" s="6"/>
      <c r="H1292" s="11"/>
      <c r="I129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92" t="str">
        <f>IF(Table1[[#This Row],[Nationality]]="Nigeria",Table1[[#This Row],[EMJM Scholarship]],"Not Applicable")</f>
        <v>Not Applicable</v>
      </c>
    </row>
    <row r="1293" spans="1:10" ht="19.25" hidden="1" customHeight="1" x14ac:dyDescent="0.3">
      <c r="A1293" s="8">
        <v>2479432</v>
      </c>
      <c r="B1293" s="6" t="s">
        <v>80</v>
      </c>
      <c r="C1293" s="1" t="s">
        <v>9</v>
      </c>
      <c r="D1293" s="1" t="s">
        <v>9</v>
      </c>
      <c r="E1293" s="1" t="s">
        <v>9</v>
      </c>
      <c r="F1293" s="6"/>
      <c r="G1293" s="6"/>
      <c r="H1293" s="11"/>
      <c r="I129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93" t="str">
        <f>IF(Table1[[#This Row],[Nationality]]="Nigeria",Table1[[#This Row],[EMJM Scholarship]],"Not Applicable")</f>
        <v>Not Applicable</v>
      </c>
    </row>
    <row r="1294" spans="1:10" ht="19.25" hidden="1" customHeight="1" x14ac:dyDescent="0.3">
      <c r="A1294" s="8">
        <v>2479504</v>
      </c>
      <c r="B1294" s="6" t="s">
        <v>80</v>
      </c>
      <c r="C1294" s="1" t="s">
        <v>9</v>
      </c>
      <c r="D1294" s="1" t="s">
        <v>9</v>
      </c>
      <c r="E1294" s="1" t="s">
        <v>9</v>
      </c>
      <c r="F1294" s="6"/>
      <c r="G1294" s="6"/>
      <c r="H1294" s="11"/>
      <c r="I129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94" t="str">
        <f>IF(Table1[[#This Row],[Nationality]]="Nigeria",Table1[[#This Row],[EMJM Scholarship]],"Not Applicable")</f>
        <v>Not Applicable</v>
      </c>
    </row>
    <row r="1295" spans="1:10" ht="19.25" hidden="1" customHeight="1" x14ac:dyDescent="0.3">
      <c r="A1295" s="8">
        <v>2479561</v>
      </c>
      <c r="B1295" s="6" t="s">
        <v>80</v>
      </c>
      <c r="C1295" s="1" t="s">
        <v>9</v>
      </c>
      <c r="D1295" s="1" t="s">
        <v>9</v>
      </c>
      <c r="E1295" s="1" t="s">
        <v>9</v>
      </c>
      <c r="F1295" s="6"/>
      <c r="G1295" s="6"/>
      <c r="H1295" s="11"/>
      <c r="I129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95" t="str">
        <f>IF(Table1[[#This Row],[Nationality]]="Nigeria",Table1[[#This Row],[EMJM Scholarship]],"Not Applicable")</f>
        <v>Not Applicable</v>
      </c>
    </row>
    <row r="1296" spans="1:10" ht="19.25" hidden="1" customHeight="1" x14ac:dyDescent="0.3">
      <c r="A1296" s="8">
        <v>2479611</v>
      </c>
      <c r="B1296" s="6" t="s">
        <v>80</v>
      </c>
      <c r="C1296" s="1" t="s">
        <v>9</v>
      </c>
      <c r="D1296" s="1" t="s">
        <v>9</v>
      </c>
      <c r="E1296" s="1" t="s">
        <v>9</v>
      </c>
      <c r="F1296" s="6"/>
      <c r="G1296" s="6"/>
      <c r="H1296" s="11"/>
      <c r="I129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96" t="str">
        <f>IF(Table1[[#This Row],[Nationality]]="Nigeria",Table1[[#This Row],[EMJM Scholarship]],"Not Applicable")</f>
        <v>Not Applicable</v>
      </c>
    </row>
    <row r="1297" spans="1:10" ht="19.25" hidden="1" customHeight="1" x14ac:dyDescent="0.3">
      <c r="A1297" s="8">
        <v>2479674</v>
      </c>
      <c r="B1297" s="6" t="s">
        <v>80</v>
      </c>
      <c r="C1297" s="1" t="s">
        <v>9</v>
      </c>
      <c r="D1297" s="1" t="s">
        <v>9</v>
      </c>
      <c r="E1297" s="1" t="s">
        <v>9</v>
      </c>
      <c r="F1297" s="6"/>
      <c r="G1297" s="6"/>
      <c r="H1297" s="11"/>
      <c r="I129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97" t="str">
        <f>IF(Table1[[#This Row],[Nationality]]="Nigeria",Table1[[#This Row],[EMJM Scholarship]],"Not Applicable")</f>
        <v>Not Applicable</v>
      </c>
    </row>
    <row r="1298" spans="1:10" ht="19.25" hidden="1" customHeight="1" x14ac:dyDescent="0.3">
      <c r="A1298" s="8">
        <v>2479704</v>
      </c>
      <c r="B1298" s="6" t="s">
        <v>80</v>
      </c>
      <c r="C1298" s="1" t="s">
        <v>9</v>
      </c>
      <c r="D1298" s="1" t="s">
        <v>9</v>
      </c>
      <c r="E1298" s="1" t="s">
        <v>9</v>
      </c>
      <c r="F1298" s="6"/>
      <c r="G1298" s="6"/>
      <c r="H1298" s="11"/>
      <c r="I129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98" t="str">
        <f>IF(Table1[[#This Row],[Nationality]]="Nigeria",Table1[[#This Row],[EMJM Scholarship]],"Not Applicable")</f>
        <v>Not Applicable</v>
      </c>
    </row>
    <row r="1299" spans="1:10" ht="19.25" hidden="1" customHeight="1" x14ac:dyDescent="0.3">
      <c r="A1299" s="8">
        <v>2479784</v>
      </c>
      <c r="B1299" s="6" t="s">
        <v>80</v>
      </c>
      <c r="C1299" s="1" t="s">
        <v>9</v>
      </c>
      <c r="D1299" s="1" t="s">
        <v>9</v>
      </c>
      <c r="E1299" s="1" t="s">
        <v>9</v>
      </c>
      <c r="F1299" s="6"/>
      <c r="G1299" s="6"/>
      <c r="H1299" s="11"/>
      <c r="I129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299" t="str">
        <f>IF(Table1[[#This Row],[Nationality]]="Nigeria",Table1[[#This Row],[EMJM Scholarship]],"Not Applicable")</f>
        <v>Not Applicable</v>
      </c>
    </row>
    <row r="1300" spans="1:10" ht="19.25" hidden="1" customHeight="1" x14ac:dyDescent="0.3">
      <c r="A1300" s="8">
        <v>2479834</v>
      </c>
      <c r="B1300" s="6" t="s">
        <v>80</v>
      </c>
      <c r="C1300" s="1" t="s">
        <v>9</v>
      </c>
      <c r="D1300" s="1" t="s">
        <v>9</v>
      </c>
      <c r="E1300" s="1" t="s">
        <v>9</v>
      </c>
      <c r="F1300" s="6"/>
      <c r="G1300" s="6"/>
      <c r="H1300" s="11"/>
      <c r="I130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00" t="str">
        <f>IF(Table1[[#This Row],[Nationality]]="Nigeria",Table1[[#This Row],[EMJM Scholarship]],"Not Applicable")</f>
        <v>Not Applicable</v>
      </c>
    </row>
    <row r="1301" spans="1:10" ht="19.25" hidden="1" customHeight="1" x14ac:dyDescent="0.3">
      <c r="A1301" s="8">
        <v>2479864</v>
      </c>
      <c r="B1301" s="6" t="s">
        <v>80</v>
      </c>
      <c r="C1301" s="1" t="s">
        <v>9</v>
      </c>
      <c r="D1301" s="1" t="s">
        <v>9</v>
      </c>
      <c r="E1301" s="1" t="s">
        <v>9</v>
      </c>
      <c r="F1301" s="6"/>
      <c r="G1301" s="6"/>
      <c r="H1301" s="11"/>
      <c r="I130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01" t="str">
        <f>IF(Table1[[#This Row],[Nationality]]="Nigeria",Table1[[#This Row],[EMJM Scholarship]],"Not Applicable")</f>
        <v>Not Applicable</v>
      </c>
    </row>
    <row r="1302" spans="1:10" ht="19.25" hidden="1" customHeight="1" x14ac:dyDescent="0.3">
      <c r="A1302" s="8">
        <v>2479935</v>
      </c>
      <c r="B1302" s="6" t="s">
        <v>80</v>
      </c>
      <c r="C1302" s="1" t="s">
        <v>9</v>
      </c>
      <c r="D1302" s="1" t="s">
        <v>9</v>
      </c>
      <c r="E1302" s="1" t="s">
        <v>9</v>
      </c>
      <c r="F1302" s="6"/>
      <c r="G1302" s="6"/>
      <c r="H1302" s="11"/>
      <c r="I130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02" t="str">
        <f>IF(Table1[[#This Row],[Nationality]]="Nigeria",Table1[[#This Row],[EMJM Scholarship]],"Not Applicable")</f>
        <v>Not Applicable</v>
      </c>
    </row>
    <row r="1303" spans="1:10" ht="19.25" hidden="1" customHeight="1" x14ac:dyDescent="0.3">
      <c r="A1303" s="8">
        <v>2480095</v>
      </c>
      <c r="B1303" s="6" t="s">
        <v>80</v>
      </c>
      <c r="C1303" s="1" t="s">
        <v>9</v>
      </c>
      <c r="D1303" s="1" t="s">
        <v>9</v>
      </c>
      <c r="E1303" s="1" t="s">
        <v>9</v>
      </c>
      <c r="F1303" s="6"/>
      <c r="G1303" s="6"/>
      <c r="H1303" s="11"/>
      <c r="I130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03" t="str">
        <f>IF(Table1[[#This Row],[Nationality]]="Nigeria",Table1[[#This Row],[EMJM Scholarship]],"Not Applicable")</f>
        <v>Not Applicable</v>
      </c>
    </row>
    <row r="1304" spans="1:10" ht="19.25" hidden="1" customHeight="1" x14ac:dyDescent="0.3">
      <c r="A1304" s="8">
        <v>2480214</v>
      </c>
      <c r="B1304" s="6" t="s">
        <v>80</v>
      </c>
      <c r="C1304" s="1" t="s">
        <v>9</v>
      </c>
      <c r="D1304" s="1" t="s">
        <v>9</v>
      </c>
      <c r="E1304" s="1" t="s">
        <v>9</v>
      </c>
      <c r="F1304" s="6"/>
      <c r="G1304" s="6"/>
      <c r="H1304" s="11"/>
      <c r="I130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04" t="str">
        <f>IF(Table1[[#This Row],[Nationality]]="Nigeria",Table1[[#This Row],[EMJM Scholarship]],"Not Applicable")</f>
        <v>Not Applicable</v>
      </c>
    </row>
    <row r="1305" spans="1:10" ht="19.25" hidden="1" customHeight="1" x14ac:dyDescent="0.3">
      <c r="A1305" s="8">
        <v>2480386</v>
      </c>
      <c r="B1305" s="6" t="s">
        <v>80</v>
      </c>
      <c r="C1305" s="1" t="s">
        <v>9</v>
      </c>
      <c r="D1305" s="1" t="s">
        <v>9</v>
      </c>
      <c r="E1305" s="1" t="s">
        <v>9</v>
      </c>
      <c r="F1305" s="6"/>
      <c r="G1305" s="6"/>
      <c r="H1305" s="11"/>
      <c r="I130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05" t="str">
        <f>IF(Table1[[#This Row],[Nationality]]="Nigeria",Table1[[#This Row],[EMJM Scholarship]],"Not Applicable")</f>
        <v>Not Applicable</v>
      </c>
    </row>
    <row r="1306" spans="1:10" ht="19.25" hidden="1" customHeight="1" x14ac:dyDescent="0.3">
      <c r="A1306" s="8">
        <v>2480662</v>
      </c>
      <c r="B1306" s="6" t="s">
        <v>80</v>
      </c>
      <c r="C1306" s="1" t="s">
        <v>9</v>
      </c>
      <c r="D1306" s="1" t="s">
        <v>9</v>
      </c>
      <c r="E1306" s="1" t="s">
        <v>9</v>
      </c>
      <c r="F1306" s="6"/>
      <c r="G1306" s="6"/>
      <c r="H1306" s="11"/>
      <c r="I130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06" t="str">
        <f>IF(Table1[[#This Row],[Nationality]]="Nigeria",Table1[[#This Row],[EMJM Scholarship]],"Not Applicable")</f>
        <v>Not Applicable</v>
      </c>
    </row>
    <row r="1307" spans="1:10" ht="19.25" hidden="1" customHeight="1" x14ac:dyDescent="0.3">
      <c r="A1307" s="8">
        <v>2480726</v>
      </c>
      <c r="B1307" s="6" t="s">
        <v>80</v>
      </c>
      <c r="C1307" s="1" t="s">
        <v>9</v>
      </c>
      <c r="D1307" s="1" t="s">
        <v>9</v>
      </c>
      <c r="E1307" s="1" t="s">
        <v>9</v>
      </c>
      <c r="F1307" s="6"/>
      <c r="G1307" s="6"/>
      <c r="H1307" s="11"/>
      <c r="I130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07" t="str">
        <f>IF(Table1[[#This Row],[Nationality]]="Nigeria",Table1[[#This Row],[EMJM Scholarship]],"Not Applicable")</f>
        <v>Not Applicable</v>
      </c>
    </row>
    <row r="1308" spans="1:10" ht="19.25" hidden="1" customHeight="1" x14ac:dyDescent="0.3">
      <c r="A1308" s="8">
        <v>2480734</v>
      </c>
      <c r="B1308" s="6" t="s">
        <v>80</v>
      </c>
      <c r="C1308" s="1" t="s">
        <v>9</v>
      </c>
      <c r="D1308" s="1" t="s">
        <v>9</v>
      </c>
      <c r="E1308" s="1" t="s">
        <v>9</v>
      </c>
      <c r="F1308" s="6"/>
      <c r="G1308" s="6"/>
      <c r="H1308" s="11"/>
      <c r="I130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08" t="str">
        <f>IF(Table1[[#This Row],[Nationality]]="Nigeria",Table1[[#This Row],[EMJM Scholarship]],"Not Applicable")</f>
        <v>Not Applicable</v>
      </c>
    </row>
    <row r="1309" spans="1:10" ht="19.25" hidden="1" customHeight="1" x14ac:dyDescent="0.3">
      <c r="A1309" s="8">
        <v>2480779</v>
      </c>
      <c r="B1309" s="6" t="s">
        <v>80</v>
      </c>
      <c r="C1309" s="1" t="s">
        <v>9</v>
      </c>
      <c r="D1309" s="1" t="s">
        <v>9</v>
      </c>
      <c r="E1309" s="1" t="s">
        <v>9</v>
      </c>
      <c r="F1309" s="6"/>
      <c r="G1309" s="6"/>
      <c r="H1309" s="11"/>
      <c r="I130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09" t="str">
        <f>IF(Table1[[#This Row],[Nationality]]="Nigeria",Table1[[#This Row],[EMJM Scholarship]],"Not Applicable")</f>
        <v>Not Applicable</v>
      </c>
    </row>
    <row r="1310" spans="1:10" ht="19.25" hidden="1" customHeight="1" x14ac:dyDescent="0.3">
      <c r="A1310" s="8">
        <v>2480792</v>
      </c>
      <c r="B1310" s="6" t="s">
        <v>80</v>
      </c>
      <c r="C1310" s="1" t="s">
        <v>9</v>
      </c>
      <c r="D1310" s="1" t="s">
        <v>9</v>
      </c>
      <c r="E1310" s="1" t="s">
        <v>9</v>
      </c>
      <c r="F1310" s="6"/>
      <c r="G1310" s="6"/>
      <c r="H1310" s="11"/>
      <c r="I131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10" t="str">
        <f>IF(Table1[[#This Row],[Nationality]]="Nigeria",Table1[[#This Row],[EMJM Scholarship]],"Not Applicable")</f>
        <v>Not Applicable</v>
      </c>
    </row>
    <row r="1311" spans="1:10" ht="19.25" hidden="1" customHeight="1" x14ac:dyDescent="0.3">
      <c r="A1311" s="8">
        <v>2480800</v>
      </c>
      <c r="B1311" s="6" t="s">
        <v>80</v>
      </c>
      <c r="C1311" s="1" t="s">
        <v>9</v>
      </c>
      <c r="D1311" s="1" t="s">
        <v>9</v>
      </c>
      <c r="E1311" s="1" t="s">
        <v>9</v>
      </c>
      <c r="F1311" s="6"/>
      <c r="G1311" s="6"/>
      <c r="H1311" s="11"/>
      <c r="I131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11" t="str">
        <f>IF(Table1[[#This Row],[Nationality]]="Nigeria",Table1[[#This Row],[EMJM Scholarship]],"Not Applicable")</f>
        <v>Not Applicable</v>
      </c>
    </row>
    <row r="1312" spans="1:10" ht="19.25" hidden="1" customHeight="1" x14ac:dyDescent="0.3">
      <c r="A1312" s="8">
        <v>2480845</v>
      </c>
      <c r="B1312" s="6" t="s">
        <v>80</v>
      </c>
      <c r="C1312" s="1" t="s">
        <v>9</v>
      </c>
      <c r="D1312" s="1" t="s">
        <v>9</v>
      </c>
      <c r="E1312" s="1" t="s">
        <v>9</v>
      </c>
      <c r="F1312" s="6"/>
      <c r="G1312" s="6"/>
      <c r="H1312" s="11"/>
      <c r="I131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12" t="str">
        <f>IF(Table1[[#This Row],[Nationality]]="Nigeria",Table1[[#This Row],[EMJM Scholarship]],"Not Applicable")</f>
        <v>Not Applicable</v>
      </c>
    </row>
    <row r="1313" spans="1:10" ht="19.25" hidden="1" customHeight="1" x14ac:dyDescent="0.3">
      <c r="A1313" s="8">
        <v>2480881</v>
      </c>
      <c r="B1313" s="6" t="s">
        <v>80</v>
      </c>
      <c r="C1313" s="1" t="s">
        <v>9</v>
      </c>
      <c r="D1313" s="1" t="s">
        <v>9</v>
      </c>
      <c r="E1313" s="1" t="s">
        <v>9</v>
      </c>
      <c r="F1313" s="6"/>
      <c r="G1313" s="6"/>
      <c r="H1313" s="11"/>
      <c r="I131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13" t="str">
        <f>IF(Table1[[#This Row],[Nationality]]="Nigeria",Table1[[#This Row],[EMJM Scholarship]],"Not Applicable")</f>
        <v>Not Applicable</v>
      </c>
    </row>
    <row r="1314" spans="1:10" ht="19.25" hidden="1" customHeight="1" x14ac:dyDescent="0.3">
      <c r="A1314" s="8">
        <v>2480910</v>
      </c>
      <c r="B1314" s="6" t="s">
        <v>80</v>
      </c>
      <c r="C1314" s="1" t="s">
        <v>9</v>
      </c>
      <c r="D1314" s="1" t="s">
        <v>9</v>
      </c>
      <c r="E1314" s="1" t="s">
        <v>9</v>
      </c>
      <c r="F1314" s="6"/>
      <c r="G1314" s="6"/>
      <c r="H1314" s="11"/>
      <c r="I131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14" t="str">
        <f>IF(Table1[[#This Row],[Nationality]]="Nigeria",Table1[[#This Row],[EMJM Scholarship]],"Not Applicable")</f>
        <v>Not Applicable</v>
      </c>
    </row>
    <row r="1315" spans="1:10" ht="19.25" hidden="1" customHeight="1" x14ac:dyDescent="0.3">
      <c r="A1315" s="8">
        <v>2480963</v>
      </c>
      <c r="B1315" s="6" t="s">
        <v>80</v>
      </c>
      <c r="C1315" s="1" t="s">
        <v>9</v>
      </c>
      <c r="D1315" s="1" t="s">
        <v>9</v>
      </c>
      <c r="E1315" s="1" t="s">
        <v>9</v>
      </c>
      <c r="F1315" s="6"/>
      <c r="G1315" s="6"/>
      <c r="H1315" s="11"/>
      <c r="I131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15" t="str">
        <f>IF(Table1[[#This Row],[Nationality]]="Nigeria",Table1[[#This Row],[EMJM Scholarship]],"Not Applicable")</f>
        <v>Not Applicable</v>
      </c>
    </row>
    <row r="1316" spans="1:10" ht="19.25" hidden="1" customHeight="1" x14ac:dyDescent="0.3">
      <c r="A1316" s="8">
        <v>2480984</v>
      </c>
      <c r="B1316" s="6" t="s">
        <v>80</v>
      </c>
      <c r="C1316" s="1" t="s">
        <v>9</v>
      </c>
      <c r="D1316" s="1" t="s">
        <v>9</v>
      </c>
      <c r="E1316" s="1" t="s">
        <v>9</v>
      </c>
      <c r="F1316" s="6"/>
      <c r="G1316" s="6"/>
      <c r="H1316" s="11"/>
      <c r="I131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16" t="str">
        <f>IF(Table1[[#This Row],[Nationality]]="Nigeria",Table1[[#This Row],[EMJM Scholarship]],"Not Applicable")</f>
        <v>Not Applicable</v>
      </c>
    </row>
    <row r="1317" spans="1:10" ht="19.25" hidden="1" customHeight="1" x14ac:dyDescent="0.3">
      <c r="A1317" s="8">
        <v>2481021</v>
      </c>
      <c r="B1317" s="6" t="s">
        <v>80</v>
      </c>
      <c r="C1317" s="1" t="s">
        <v>9</v>
      </c>
      <c r="D1317" s="1" t="s">
        <v>9</v>
      </c>
      <c r="E1317" s="1" t="s">
        <v>9</v>
      </c>
      <c r="F1317" s="6"/>
      <c r="G1317" s="6"/>
      <c r="H1317" s="11"/>
      <c r="I131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17" t="str">
        <f>IF(Table1[[#This Row],[Nationality]]="Nigeria",Table1[[#This Row],[EMJM Scholarship]],"Not Applicable")</f>
        <v>Not Applicable</v>
      </c>
    </row>
    <row r="1318" spans="1:10" ht="19.25" hidden="1" customHeight="1" x14ac:dyDescent="0.3">
      <c r="A1318" s="8">
        <v>2481036</v>
      </c>
      <c r="B1318" s="6" t="s">
        <v>80</v>
      </c>
      <c r="C1318" s="1" t="s">
        <v>9</v>
      </c>
      <c r="D1318" s="1" t="s">
        <v>9</v>
      </c>
      <c r="E1318" s="1" t="s">
        <v>9</v>
      </c>
      <c r="F1318" s="6"/>
      <c r="G1318" s="6"/>
      <c r="H1318" s="11"/>
      <c r="I131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18" t="str">
        <f>IF(Table1[[#This Row],[Nationality]]="Nigeria",Table1[[#This Row],[EMJM Scholarship]],"Not Applicable")</f>
        <v>Not Applicable</v>
      </c>
    </row>
    <row r="1319" spans="1:10" ht="19.25" hidden="1" customHeight="1" x14ac:dyDescent="0.3">
      <c r="A1319" s="8">
        <v>2481040</v>
      </c>
      <c r="B1319" s="6" t="s">
        <v>80</v>
      </c>
      <c r="C1319" s="1" t="s">
        <v>9</v>
      </c>
      <c r="D1319" s="1" t="s">
        <v>9</v>
      </c>
      <c r="E1319" s="1" t="s">
        <v>9</v>
      </c>
      <c r="F1319" s="6"/>
      <c r="G1319" s="6"/>
      <c r="H1319" s="11"/>
      <c r="I131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19" t="str">
        <f>IF(Table1[[#This Row],[Nationality]]="Nigeria",Table1[[#This Row],[EMJM Scholarship]],"Not Applicable")</f>
        <v>Not Applicable</v>
      </c>
    </row>
    <row r="1320" spans="1:10" ht="19.25" hidden="1" customHeight="1" x14ac:dyDescent="0.3">
      <c r="A1320" s="8">
        <v>2481064</v>
      </c>
      <c r="B1320" s="6" t="s">
        <v>80</v>
      </c>
      <c r="C1320" s="1" t="s">
        <v>9</v>
      </c>
      <c r="D1320" s="1" t="s">
        <v>9</v>
      </c>
      <c r="E1320" s="1" t="s">
        <v>9</v>
      </c>
      <c r="F1320" s="6"/>
      <c r="G1320" s="6"/>
      <c r="H1320" s="11"/>
      <c r="I132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20" t="str">
        <f>IF(Table1[[#This Row],[Nationality]]="Nigeria",Table1[[#This Row],[EMJM Scholarship]],"Not Applicable")</f>
        <v>Not Applicable</v>
      </c>
    </row>
    <row r="1321" spans="1:10" ht="19.25" hidden="1" customHeight="1" x14ac:dyDescent="0.3">
      <c r="A1321" s="8">
        <v>2481218</v>
      </c>
      <c r="B1321" s="6" t="s">
        <v>80</v>
      </c>
      <c r="C1321" s="1" t="s">
        <v>9</v>
      </c>
      <c r="D1321" s="1" t="s">
        <v>9</v>
      </c>
      <c r="E1321" s="1" t="s">
        <v>9</v>
      </c>
      <c r="F1321" s="6"/>
      <c r="G1321" s="6"/>
      <c r="H1321" s="11"/>
      <c r="I132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21" t="str">
        <f>IF(Table1[[#This Row],[Nationality]]="Nigeria",Table1[[#This Row],[EMJM Scholarship]],"Not Applicable")</f>
        <v>Not Applicable</v>
      </c>
    </row>
    <row r="1322" spans="1:10" ht="19.25" hidden="1" customHeight="1" x14ac:dyDescent="0.3">
      <c r="A1322" s="8">
        <v>2481305</v>
      </c>
      <c r="B1322" s="6" t="s">
        <v>80</v>
      </c>
      <c r="C1322" s="1" t="s">
        <v>9</v>
      </c>
      <c r="D1322" s="1" t="s">
        <v>9</v>
      </c>
      <c r="E1322" s="1" t="s">
        <v>9</v>
      </c>
      <c r="F1322" s="6"/>
      <c r="G1322" s="6"/>
      <c r="H1322" s="11"/>
      <c r="I132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22" t="str">
        <f>IF(Table1[[#This Row],[Nationality]]="Nigeria",Table1[[#This Row],[EMJM Scholarship]],"Not Applicable")</f>
        <v>Not Applicable</v>
      </c>
    </row>
    <row r="1323" spans="1:10" ht="19.25" hidden="1" customHeight="1" x14ac:dyDescent="0.3">
      <c r="A1323" s="8">
        <v>2481368</v>
      </c>
      <c r="B1323" s="6" t="s">
        <v>80</v>
      </c>
      <c r="C1323" s="1" t="s">
        <v>9</v>
      </c>
      <c r="D1323" s="1" t="s">
        <v>9</v>
      </c>
      <c r="E1323" s="1" t="s">
        <v>9</v>
      </c>
      <c r="F1323" s="6"/>
      <c r="G1323" s="6"/>
      <c r="H1323" s="11"/>
      <c r="I132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23" t="str">
        <f>IF(Table1[[#This Row],[Nationality]]="Nigeria",Table1[[#This Row],[EMJM Scholarship]],"Not Applicable")</f>
        <v>Not Applicable</v>
      </c>
    </row>
    <row r="1324" spans="1:10" ht="19.25" hidden="1" customHeight="1" x14ac:dyDescent="0.3">
      <c r="A1324" s="8">
        <v>2481638</v>
      </c>
      <c r="B1324" s="6" t="s">
        <v>80</v>
      </c>
      <c r="C1324" s="1" t="s">
        <v>9</v>
      </c>
      <c r="D1324" s="1" t="s">
        <v>9</v>
      </c>
      <c r="E1324" s="1" t="s">
        <v>9</v>
      </c>
      <c r="F1324" s="6"/>
      <c r="G1324" s="6"/>
      <c r="H1324" s="11"/>
      <c r="I132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24" t="str">
        <f>IF(Table1[[#This Row],[Nationality]]="Nigeria",Table1[[#This Row],[EMJM Scholarship]],"Not Applicable")</f>
        <v>Not Applicable</v>
      </c>
    </row>
    <row r="1325" spans="1:10" ht="19.25" hidden="1" customHeight="1" x14ac:dyDescent="0.3">
      <c r="A1325" s="8">
        <v>2481651</v>
      </c>
      <c r="B1325" s="6" t="s">
        <v>80</v>
      </c>
      <c r="C1325" s="1" t="s">
        <v>9</v>
      </c>
      <c r="D1325" s="1" t="s">
        <v>9</v>
      </c>
      <c r="E1325" s="1" t="s">
        <v>9</v>
      </c>
      <c r="F1325" s="6"/>
      <c r="G1325" s="6"/>
      <c r="H1325" s="11"/>
      <c r="I132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25" t="str">
        <f>IF(Table1[[#This Row],[Nationality]]="Nigeria",Table1[[#This Row],[EMJM Scholarship]],"Not Applicable")</f>
        <v>Not Applicable</v>
      </c>
    </row>
    <row r="1326" spans="1:10" ht="19.25" hidden="1" customHeight="1" x14ac:dyDescent="0.3">
      <c r="A1326" s="8">
        <v>2481654</v>
      </c>
      <c r="B1326" s="6" t="s">
        <v>80</v>
      </c>
      <c r="C1326" s="1" t="s">
        <v>9</v>
      </c>
      <c r="D1326" s="1" t="s">
        <v>9</v>
      </c>
      <c r="E1326" s="1" t="s">
        <v>9</v>
      </c>
      <c r="F1326" s="6"/>
      <c r="G1326" s="6"/>
      <c r="H1326" s="11"/>
      <c r="I132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26" t="str">
        <f>IF(Table1[[#This Row],[Nationality]]="Nigeria",Table1[[#This Row],[EMJM Scholarship]],"Not Applicable")</f>
        <v>Not Applicable</v>
      </c>
    </row>
    <row r="1327" spans="1:10" ht="19.25" hidden="1" customHeight="1" x14ac:dyDescent="0.3">
      <c r="A1327" s="8">
        <v>2481718</v>
      </c>
      <c r="B1327" s="6" t="s">
        <v>80</v>
      </c>
      <c r="C1327" s="1" t="s">
        <v>9</v>
      </c>
      <c r="D1327" s="1" t="s">
        <v>9</v>
      </c>
      <c r="E1327" s="1" t="s">
        <v>9</v>
      </c>
      <c r="F1327" s="6"/>
      <c r="G1327" s="6"/>
      <c r="H1327" s="11"/>
      <c r="I132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27" t="str">
        <f>IF(Table1[[#This Row],[Nationality]]="Nigeria",Table1[[#This Row],[EMJM Scholarship]],"Not Applicable")</f>
        <v>Not Applicable</v>
      </c>
    </row>
    <row r="1328" spans="1:10" ht="19.25" hidden="1" customHeight="1" x14ac:dyDescent="0.3">
      <c r="A1328" s="8">
        <v>2481833</v>
      </c>
      <c r="B1328" s="6" t="s">
        <v>80</v>
      </c>
      <c r="C1328" s="1" t="s">
        <v>9</v>
      </c>
      <c r="D1328" s="1" t="s">
        <v>9</v>
      </c>
      <c r="E1328" s="1" t="s">
        <v>9</v>
      </c>
      <c r="F1328" s="6"/>
      <c r="G1328" s="6"/>
      <c r="H1328" s="11"/>
      <c r="I132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28" t="str">
        <f>IF(Table1[[#This Row],[Nationality]]="Nigeria",Table1[[#This Row],[EMJM Scholarship]],"Not Applicable")</f>
        <v>Not Applicable</v>
      </c>
    </row>
    <row r="1329" spans="1:10" ht="19.25" hidden="1" customHeight="1" x14ac:dyDescent="0.3">
      <c r="A1329" s="8">
        <v>2481877</v>
      </c>
      <c r="B1329" s="6" t="s">
        <v>80</v>
      </c>
      <c r="C1329" s="1" t="s">
        <v>9</v>
      </c>
      <c r="D1329" s="1" t="s">
        <v>9</v>
      </c>
      <c r="E1329" s="1" t="s">
        <v>9</v>
      </c>
      <c r="F1329" s="6"/>
      <c r="G1329" s="6"/>
      <c r="H1329" s="11"/>
      <c r="I132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29" t="str">
        <f>IF(Table1[[#This Row],[Nationality]]="Nigeria",Table1[[#This Row],[EMJM Scholarship]],"Not Applicable")</f>
        <v>Not Applicable</v>
      </c>
    </row>
    <row r="1330" spans="1:10" ht="19.25" hidden="1" customHeight="1" x14ac:dyDescent="0.3">
      <c r="A1330" s="8">
        <v>2481899</v>
      </c>
      <c r="B1330" s="6" t="s">
        <v>80</v>
      </c>
      <c r="C1330" s="1" t="s">
        <v>9</v>
      </c>
      <c r="D1330" s="1" t="s">
        <v>9</v>
      </c>
      <c r="E1330" s="1" t="s">
        <v>9</v>
      </c>
      <c r="F1330" s="6"/>
      <c r="G1330" s="6"/>
      <c r="H1330" s="11"/>
      <c r="I133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30" t="str">
        <f>IF(Table1[[#This Row],[Nationality]]="Nigeria",Table1[[#This Row],[EMJM Scholarship]],"Not Applicable")</f>
        <v>Not Applicable</v>
      </c>
    </row>
    <row r="1331" spans="1:10" ht="19.25" hidden="1" customHeight="1" x14ac:dyDescent="0.3">
      <c r="A1331" s="8">
        <v>2481918</v>
      </c>
      <c r="B1331" s="6" t="s">
        <v>80</v>
      </c>
      <c r="C1331" s="1" t="s">
        <v>9</v>
      </c>
      <c r="D1331" s="1" t="s">
        <v>9</v>
      </c>
      <c r="E1331" s="1" t="s">
        <v>9</v>
      </c>
      <c r="F1331" s="6"/>
      <c r="G1331" s="6"/>
      <c r="H1331" s="11"/>
      <c r="I133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31" t="str">
        <f>IF(Table1[[#This Row],[Nationality]]="Nigeria",Table1[[#This Row],[EMJM Scholarship]],"Not Applicable")</f>
        <v>Not Applicable</v>
      </c>
    </row>
    <row r="1332" spans="1:10" ht="19.25" hidden="1" customHeight="1" x14ac:dyDescent="0.3">
      <c r="A1332" s="8">
        <v>2481919</v>
      </c>
      <c r="B1332" s="6" t="s">
        <v>80</v>
      </c>
      <c r="C1332" s="1" t="s">
        <v>9</v>
      </c>
      <c r="D1332" s="1" t="s">
        <v>9</v>
      </c>
      <c r="E1332" s="1" t="s">
        <v>9</v>
      </c>
      <c r="F1332" s="6"/>
      <c r="G1332" s="6"/>
      <c r="H1332" s="11"/>
      <c r="I133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32" t="str">
        <f>IF(Table1[[#This Row],[Nationality]]="Nigeria",Table1[[#This Row],[EMJM Scholarship]],"Not Applicable")</f>
        <v>Not Applicable</v>
      </c>
    </row>
    <row r="1333" spans="1:10" ht="19.25" hidden="1" customHeight="1" x14ac:dyDescent="0.3">
      <c r="A1333" s="8">
        <v>2481940</v>
      </c>
      <c r="B1333" s="6" t="s">
        <v>80</v>
      </c>
      <c r="C1333" s="1" t="s">
        <v>9</v>
      </c>
      <c r="D1333" s="1" t="s">
        <v>9</v>
      </c>
      <c r="E1333" s="1" t="s">
        <v>9</v>
      </c>
      <c r="F1333" s="6"/>
      <c r="G1333" s="6"/>
      <c r="H1333" s="11"/>
      <c r="I133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33" t="str">
        <f>IF(Table1[[#This Row],[Nationality]]="Nigeria",Table1[[#This Row],[EMJM Scholarship]],"Not Applicable")</f>
        <v>Not Applicable</v>
      </c>
    </row>
    <row r="1334" spans="1:10" ht="19.25" hidden="1" customHeight="1" x14ac:dyDescent="0.3">
      <c r="A1334" s="8">
        <v>2481971</v>
      </c>
      <c r="B1334" s="6" t="s">
        <v>80</v>
      </c>
      <c r="C1334" s="1" t="s">
        <v>9</v>
      </c>
      <c r="D1334" s="1" t="s">
        <v>9</v>
      </c>
      <c r="E1334" s="1" t="s">
        <v>9</v>
      </c>
      <c r="F1334" s="6"/>
      <c r="G1334" s="6"/>
      <c r="H1334" s="11"/>
      <c r="I133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34" t="str">
        <f>IF(Table1[[#This Row],[Nationality]]="Nigeria",Table1[[#This Row],[EMJM Scholarship]],"Not Applicable")</f>
        <v>Not Applicable</v>
      </c>
    </row>
    <row r="1335" spans="1:10" ht="19.25" hidden="1" customHeight="1" x14ac:dyDescent="0.3">
      <c r="A1335" s="8">
        <v>2481977</v>
      </c>
      <c r="B1335" s="6" t="s">
        <v>80</v>
      </c>
      <c r="C1335" s="1" t="s">
        <v>9</v>
      </c>
      <c r="D1335" s="1" t="s">
        <v>9</v>
      </c>
      <c r="E1335" s="1" t="s">
        <v>9</v>
      </c>
      <c r="F1335" s="6"/>
      <c r="G1335" s="6"/>
      <c r="H1335" s="11"/>
      <c r="I133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35" t="str">
        <f>IF(Table1[[#This Row],[Nationality]]="Nigeria",Table1[[#This Row],[EMJM Scholarship]],"Not Applicable")</f>
        <v>Not Applicable</v>
      </c>
    </row>
    <row r="1336" spans="1:10" ht="19.25" hidden="1" customHeight="1" x14ac:dyDescent="0.3">
      <c r="A1336" s="8">
        <v>2481989</v>
      </c>
      <c r="B1336" s="6" t="s">
        <v>80</v>
      </c>
      <c r="C1336" s="1" t="s">
        <v>9</v>
      </c>
      <c r="D1336" s="1" t="s">
        <v>9</v>
      </c>
      <c r="E1336" s="1" t="s">
        <v>9</v>
      </c>
      <c r="F1336" s="6"/>
      <c r="G1336" s="6"/>
      <c r="H1336" s="11"/>
      <c r="I133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36" t="str">
        <f>IF(Table1[[#This Row],[Nationality]]="Nigeria",Table1[[#This Row],[EMJM Scholarship]],"Not Applicable")</f>
        <v>Not Applicable</v>
      </c>
    </row>
    <row r="1337" spans="1:10" ht="19.25" hidden="1" customHeight="1" x14ac:dyDescent="0.3">
      <c r="A1337" s="8">
        <v>2482037</v>
      </c>
      <c r="B1337" s="6" t="s">
        <v>80</v>
      </c>
      <c r="C1337" s="1" t="s">
        <v>9</v>
      </c>
      <c r="D1337" s="1" t="s">
        <v>9</v>
      </c>
      <c r="E1337" s="1" t="s">
        <v>9</v>
      </c>
      <c r="F1337" s="6"/>
      <c r="G1337" s="6"/>
      <c r="H1337" s="11"/>
      <c r="I133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37" t="str">
        <f>IF(Table1[[#This Row],[Nationality]]="Nigeria",Table1[[#This Row],[EMJM Scholarship]],"Not Applicable")</f>
        <v>Not Applicable</v>
      </c>
    </row>
    <row r="1338" spans="1:10" ht="19.25" hidden="1" customHeight="1" x14ac:dyDescent="0.3">
      <c r="A1338" s="8">
        <v>2482500</v>
      </c>
      <c r="B1338" s="6" t="s">
        <v>80</v>
      </c>
      <c r="C1338" s="1" t="s">
        <v>9</v>
      </c>
      <c r="D1338" s="1" t="s">
        <v>9</v>
      </c>
      <c r="E1338" s="1" t="s">
        <v>9</v>
      </c>
      <c r="F1338" s="6"/>
      <c r="G1338" s="6"/>
      <c r="H1338" s="11"/>
      <c r="I133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38" t="str">
        <f>IF(Table1[[#This Row],[Nationality]]="Nigeria",Table1[[#This Row],[EMJM Scholarship]],"Not Applicable")</f>
        <v>Not Applicable</v>
      </c>
    </row>
    <row r="1339" spans="1:10" ht="19.25" hidden="1" customHeight="1" x14ac:dyDescent="0.3">
      <c r="A1339" s="8">
        <v>2482557</v>
      </c>
      <c r="B1339" s="6" t="s">
        <v>80</v>
      </c>
      <c r="C1339" s="1" t="s">
        <v>9</v>
      </c>
      <c r="D1339" s="1" t="s">
        <v>9</v>
      </c>
      <c r="E1339" s="1" t="s">
        <v>9</v>
      </c>
      <c r="F1339" s="6"/>
      <c r="G1339" s="6"/>
      <c r="H1339" s="11"/>
      <c r="I133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39" t="str">
        <f>IF(Table1[[#This Row],[Nationality]]="Nigeria",Table1[[#This Row],[EMJM Scholarship]],"Not Applicable")</f>
        <v>Not Applicable</v>
      </c>
    </row>
    <row r="1340" spans="1:10" ht="19.25" hidden="1" customHeight="1" x14ac:dyDescent="0.3">
      <c r="A1340" s="8">
        <v>2482565</v>
      </c>
      <c r="B1340" s="6" t="s">
        <v>80</v>
      </c>
      <c r="C1340" s="1" t="s">
        <v>9</v>
      </c>
      <c r="D1340" s="1" t="s">
        <v>9</v>
      </c>
      <c r="E1340" s="1" t="s">
        <v>9</v>
      </c>
      <c r="F1340" s="6"/>
      <c r="G1340" s="6"/>
      <c r="H1340" s="11"/>
      <c r="I134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40" t="str">
        <f>IF(Table1[[#This Row],[Nationality]]="Nigeria",Table1[[#This Row],[EMJM Scholarship]],"Not Applicable")</f>
        <v>Not Applicable</v>
      </c>
    </row>
    <row r="1341" spans="1:10" ht="19.25" hidden="1" customHeight="1" x14ac:dyDescent="0.3">
      <c r="A1341" s="8">
        <v>2482600</v>
      </c>
      <c r="B1341" s="6" t="s">
        <v>80</v>
      </c>
      <c r="C1341" s="1" t="s">
        <v>9</v>
      </c>
      <c r="D1341" s="1" t="s">
        <v>9</v>
      </c>
      <c r="E1341" s="1" t="s">
        <v>9</v>
      </c>
      <c r="F1341" s="6"/>
      <c r="G1341" s="6"/>
      <c r="H1341" s="11"/>
      <c r="I134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41" t="str">
        <f>IF(Table1[[#This Row],[Nationality]]="Nigeria",Table1[[#This Row],[EMJM Scholarship]],"Not Applicable")</f>
        <v>Not Applicable</v>
      </c>
    </row>
    <row r="1342" spans="1:10" ht="19.25" hidden="1" customHeight="1" x14ac:dyDescent="0.3">
      <c r="A1342" s="8">
        <v>2482710</v>
      </c>
      <c r="B1342" s="6" t="s">
        <v>80</v>
      </c>
      <c r="C1342" s="1" t="s">
        <v>9</v>
      </c>
      <c r="D1342" s="1" t="s">
        <v>9</v>
      </c>
      <c r="E1342" s="1" t="s">
        <v>9</v>
      </c>
      <c r="F1342" s="6"/>
      <c r="G1342" s="6"/>
      <c r="H1342" s="11"/>
      <c r="I134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42" t="str">
        <f>IF(Table1[[#This Row],[Nationality]]="Nigeria",Table1[[#This Row],[EMJM Scholarship]],"Not Applicable")</f>
        <v>Not Applicable</v>
      </c>
    </row>
    <row r="1343" spans="1:10" ht="19.25" hidden="1" customHeight="1" x14ac:dyDescent="0.3">
      <c r="A1343" s="8">
        <v>2482734</v>
      </c>
      <c r="B1343" s="6" t="s">
        <v>80</v>
      </c>
      <c r="C1343" s="1" t="s">
        <v>9</v>
      </c>
      <c r="D1343" s="1" t="s">
        <v>9</v>
      </c>
      <c r="E1343" s="1" t="s">
        <v>9</v>
      </c>
      <c r="F1343" s="6"/>
      <c r="G1343" s="6"/>
      <c r="H1343" s="11"/>
      <c r="I134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43" t="str">
        <f>IF(Table1[[#This Row],[Nationality]]="Nigeria",Table1[[#This Row],[EMJM Scholarship]],"Not Applicable")</f>
        <v>Not Applicable</v>
      </c>
    </row>
    <row r="1344" spans="1:10" ht="19.25" hidden="1" customHeight="1" x14ac:dyDescent="0.3">
      <c r="A1344" s="8">
        <v>2482794</v>
      </c>
      <c r="B1344" s="6" t="s">
        <v>80</v>
      </c>
      <c r="C1344" s="1" t="s">
        <v>9</v>
      </c>
      <c r="D1344" s="1" t="s">
        <v>9</v>
      </c>
      <c r="E1344" s="1" t="s">
        <v>9</v>
      </c>
      <c r="F1344" s="6"/>
      <c r="G1344" s="6"/>
      <c r="H1344" s="11"/>
      <c r="I134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44" t="str">
        <f>IF(Table1[[#This Row],[Nationality]]="Nigeria",Table1[[#This Row],[EMJM Scholarship]],"Not Applicable")</f>
        <v>Not Applicable</v>
      </c>
    </row>
    <row r="1345" spans="1:10" ht="19.25" hidden="1" customHeight="1" x14ac:dyDescent="0.3">
      <c r="A1345" s="8">
        <v>2482799</v>
      </c>
      <c r="B1345" s="6" t="s">
        <v>80</v>
      </c>
      <c r="C1345" s="1" t="s">
        <v>9</v>
      </c>
      <c r="D1345" s="1" t="s">
        <v>9</v>
      </c>
      <c r="E1345" s="1" t="s">
        <v>9</v>
      </c>
      <c r="F1345" s="6"/>
      <c r="G1345" s="6"/>
      <c r="H1345" s="11"/>
      <c r="I134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45" t="str">
        <f>IF(Table1[[#This Row],[Nationality]]="Nigeria",Table1[[#This Row],[EMJM Scholarship]],"Not Applicable")</f>
        <v>Not Applicable</v>
      </c>
    </row>
    <row r="1346" spans="1:10" ht="19.25" hidden="1" customHeight="1" x14ac:dyDescent="0.3">
      <c r="A1346" s="8">
        <v>2482804</v>
      </c>
      <c r="B1346" s="6" t="s">
        <v>80</v>
      </c>
      <c r="C1346" s="1" t="s">
        <v>9</v>
      </c>
      <c r="D1346" s="1" t="s">
        <v>9</v>
      </c>
      <c r="E1346" s="1" t="s">
        <v>9</v>
      </c>
      <c r="F1346" s="6"/>
      <c r="G1346" s="6"/>
      <c r="H1346" s="11"/>
      <c r="I134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46" t="str">
        <f>IF(Table1[[#This Row],[Nationality]]="Nigeria",Table1[[#This Row],[EMJM Scholarship]],"Not Applicable")</f>
        <v>Not Applicable</v>
      </c>
    </row>
    <row r="1347" spans="1:10" ht="19.25" hidden="1" customHeight="1" x14ac:dyDescent="0.3">
      <c r="A1347" s="8">
        <v>2482811</v>
      </c>
      <c r="B1347" s="6" t="s">
        <v>80</v>
      </c>
      <c r="C1347" s="1" t="s">
        <v>9</v>
      </c>
      <c r="D1347" s="1" t="s">
        <v>9</v>
      </c>
      <c r="E1347" s="1" t="s">
        <v>9</v>
      </c>
      <c r="F1347" s="6"/>
      <c r="G1347" s="6"/>
      <c r="H1347" s="11"/>
      <c r="I134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47" t="str">
        <f>IF(Table1[[#This Row],[Nationality]]="Nigeria",Table1[[#This Row],[EMJM Scholarship]],"Not Applicable")</f>
        <v>Not Applicable</v>
      </c>
    </row>
    <row r="1348" spans="1:10" ht="19.25" hidden="1" customHeight="1" x14ac:dyDescent="0.3">
      <c r="A1348" s="8">
        <v>2482825</v>
      </c>
      <c r="B1348" s="6" t="s">
        <v>80</v>
      </c>
      <c r="C1348" s="1" t="s">
        <v>9</v>
      </c>
      <c r="D1348" s="1" t="s">
        <v>9</v>
      </c>
      <c r="E1348" s="1" t="s">
        <v>9</v>
      </c>
      <c r="F1348" s="6"/>
      <c r="G1348" s="6"/>
      <c r="H1348" s="11"/>
      <c r="I134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48" t="str">
        <f>IF(Table1[[#This Row],[Nationality]]="Nigeria",Table1[[#This Row],[EMJM Scholarship]],"Not Applicable")</f>
        <v>Not Applicable</v>
      </c>
    </row>
    <row r="1349" spans="1:10" ht="19.25" hidden="1" customHeight="1" x14ac:dyDescent="0.3">
      <c r="A1349" s="8">
        <v>2482858</v>
      </c>
      <c r="B1349" s="6" t="s">
        <v>80</v>
      </c>
      <c r="C1349" s="1" t="s">
        <v>9</v>
      </c>
      <c r="D1349" s="1" t="s">
        <v>9</v>
      </c>
      <c r="E1349" s="1" t="s">
        <v>9</v>
      </c>
      <c r="F1349" s="6"/>
      <c r="G1349" s="6"/>
      <c r="H1349" s="11"/>
      <c r="I134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49" t="str">
        <f>IF(Table1[[#This Row],[Nationality]]="Nigeria",Table1[[#This Row],[EMJM Scholarship]],"Not Applicable")</f>
        <v>Not Applicable</v>
      </c>
    </row>
    <row r="1350" spans="1:10" ht="19.25" hidden="1" customHeight="1" x14ac:dyDescent="0.3">
      <c r="A1350" s="8">
        <v>2483016</v>
      </c>
      <c r="B1350" s="6" t="s">
        <v>80</v>
      </c>
      <c r="C1350" s="1" t="s">
        <v>9</v>
      </c>
      <c r="D1350" s="1" t="s">
        <v>9</v>
      </c>
      <c r="E1350" s="1" t="s">
        <v>9</v>
      </c>
      <c r="F1350" s="6"/>
      <c r="G1350" s="6"/>
      <c r="H1350" s="11"/>
      <c r="I135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50" t="str">
        <f>IF(Table1[[#This Row],[Nationality]]="Nigeria",Table1[[#This Row],[EMJM Scholarship]],"Not Applicable")</f>
        <v>Not Applicable</v>
      </c>
    </row>
    <row r="1351" spans="1:10" ht="19.25" hidden="1" customHeight="1" x14ac:dyDescent="0.3">
      <c r="A1351" s="8">
        <v>2483019</v>
      </c>
      <c r="B1351" s="6" t="s">
        <v>80</v>
      </c>
      <c r="C1351" s="1" t="s">
        <v>9</v>
      </c>
      <c r="D1351" s="1" t="s">
        <v>9</v>
      </c>
      <c r="E1351" s="1" t="s">
        <v>9</v>
      </c>
      <c r="F1351" s="6"/>
      <c r="G1351" s="6"/>
      <c r="H1351" s="11"/>
      <c r="I135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51" t="str">
        <f>IF(Table1[[#This Row],[Nationality]]="Nigeria",Table1[[#This Row],[EMJM Scholarship]],"Not Applicable")</f>
        <v>Not Applicable</v>
      </c>
    </row>
    <row r="1352" spans="1:10" ht="19.25" hidden="1" customHeight="1" x14ac:dyDescent="0.3">
      <c r="A1352" s="8">
        <v>2483080</v>
      </c>
      <c r="B1352" s="6" t="s">
        <v>80</v>
      </c>
      <c r="C1352" s="1" t="s">
        <v>9</v>
      </c>
      <c r="D1352" s="1" t="s">
        <v>9</v>
      </c>
      <c r="E1352" s="1" t="s">
        <v>9</v>
      </c>
      <c r="F1352" s="6"/>
      <c r="G1352" s="6"/>
      <c r="H1352" s="11"/>
      <c r="I135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52" t="str">
        <f>IF(Table1[[#This Row],[Nationality]]="Nigeria",Table1[[#This Row],[EMJM Scholarship]],"Not Applicable")</f>
        <v>Not Applicable</v>
      </c>
    </row>
    <row r="1353" spans="1:10" ht="19.25" hidden="1" customHeight="1" x14ac:dyDescent="0.3">
      <c r="A1353" s="8">
        <v>2483090</v>
      </c>
      <c r="B1353" s="6" t="s">
        <v>80</v>
      </c>
      <c r="C1353" s="1" t="s">
        <v>9</v>
      </c>
      <c r="D1353" s="1" t="s">
        <v>9</v>
      </c>
      <c r="E1353" s="1" t="s">
        <v>9</v>
      </c>
      <c r="F1353" s="6"/>
      <c r="G1353" s="6"/>
      <c r="H1353" s="11"/>
      <c r="I135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53" t="str">
        <f>IF(Table1[[#This Row],[Nationality]]="Nigeria",Table1[[#This Row],[EMJM Scholarship]],"Not Applicable")</f>
        <v>Not Applicable</v>
      </c>
    </row>
    <row r="1354" spans="1:10" ht="19.25" hidden="1" customHeight="1" x14ac:dyDescent="0.3">
      <c r="A1354" s="8">
        <v>2483096</v>
      </c>
      <c r="B1354" s="6" t="s">
        <v>80</v>
      </c>
      <c r="C1354" s="1" t="s">
        <v>9</v>
      </c>
      <c r="D1354" s="1" t="s">
        <v>9</v>
      </c>
      <c r="E1354" s="1" t="s">
        <v>9</v>
      </c>
      <c r="F1354" s="6"/>
      <c r="G1354" s="6"/>
      <c r="H1354" s="11"/>
      <c r="I135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54" t="str">
        <f>IF(Table1[[#This Row],[Nationality]]="Nigeria",Table1[[#This Row],[EMJM Scholarship]],"Not Applicable")</f>
        <v>Not Applicable</v>
      </c>
    </row>
    <row r="1355" spans="1:10" ht="19.25" hidden="1" customHeight="1" x14ac:dyDescent="0.3">
      <c r="A1355" s="8">
        <v>2483128</v>
      </c>
      <c r="B1355" s="6" t="s">
        <v>80</v>
      </c>
      <c r="C1355" s="1" t="s">
        <v>9</v>
      </c>
      <c r="D1355" s="1" t="s">
        <v>9</v>
      </c>
      <c r="E1355" s="1" t="s">
        <v>9</v>
      </c>
      <c r="F1355" s="6"/>
      <c r="G1355" s="6"/>
      <c r="H1355" s="11"/>
      <c r="I135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55" t="str">
        <f>IF(Table1[[#This Row],[Nationality]]="Nigeria",Table1[[#This Row],[EMJM Scholarship]],"Not Applicable")</f>
        <v>Not Applicable</v>
      </c>
    </row>
    <row r="1356" spans="1:10" ht="19.25" hidden="1" customHeight="1" x14ac:dyDescent="0.3">
      <c r="A1356" s="8">
        <v>2483137</v>
      </c>
      <c r="B1356" s="6" t="s">
        <v>80</v>
      </c>
      <c r="C1356" s="1" t="s">
        <v>9</v>
      </c>
      <c r="D1356" s="1" t="s">
        <v>9</v>
      </c>
      <c r="E1356" s="1" t="s">
        <v>9</v>
      </c>
      <c r="F1356" s="6"/>
      <c r="G1356" s="6"/>
      <c r="H1356" s="11"/>
      <c r="I135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56" t="str">
        <f>IF(Table1[[#This Row],[Nationality]]="Nigeria",Table1[[#This Row],[EMJM Scholarship]],"Not Applicable")</f>
        <v>Not Applicable</v>
      </c>
    </row>
    <row r="1357" spans="1:10" ht="19.25" hidden="1" customHeight="1" x14ac:dyDescent="0.3">
      <c r="A1357" s="8">
        <v>2483163</v>
      </c>
      <c r="B1357" s="6" t="s">
        <v>80</v>
      </c>
      <c r="C1357" s="1" t="s">
        <v>9</v>
      </c>
      <c r="D1357" s="1" t="s">
        <v>9</v>
      </c>
      <c r="E1357" s="1" t="s">
        <v>9</v>
      </c>
      <c r="F1357" s="6"/>
      <c r="G1357" s="6"/>
      <c r="H1357" s="11"/>
      <c r="I135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57" t="str">
        <f>IF(Table1[[#This Row],[Nationality]]="Nigeria",Table1[[#This Row],[EMJM Scholarship]],"Not Applicable")</f>
        <v>Not Applicable</v>
      </c>
    </row>
    <row r="1358" spans="1:10" ht="19.25" hidden="1" customHeight="1" x14ac:dyDescent="0.3">
      <c r="A1358" s="8">
        <v>2483165</v>
      </c>
      <c r="B1358" s="6" t="s">
        <v>80</v>
      </c>
      <c r="C1358" s="1" t="s">
        <v>9</v>
      </c>
      <c r="D1358" s="1" t="s">
        <v>9</v>
      </c>
      <c r="E1358" s="1" t="s">
        <v>9</v>
      </c>
      <c r="F1358" s="6"/>
      <c r="G1358" s="6"/>
      <c r="H1358" s="11"/>
      <c r="I135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58" t="str">
        <f>IF(Table1[[#This Row],[Nationality]]="Nigeria",Table1[[#This Row],[EMJM Scholarship]],"Not Applicable")</f>
        <v>Not Applicable</v>
      </c>
    </row>
    <row r="1359" spans="1:10" ht="19.25" hidden="1" customHeight="1" x14ac:dyDescent="0.3">
      <c r="A1359" s="8">
        <v>2483210</v>
      </c>
      <c r="B1359" s="6" t="s">
        <v>80</v>
      </c>
      <c r="C1359" s="1" t="s">
        <v>9</v>
      </c>
      <c r="D1359" s="1" t="s">
        <v>9</v>
      </c>
      <c r="E1359" s="1" t="s">
        <v>9</v>
      </c>
      <c r="F1359" s="6"/>
      <c r="G1359" s="6"/>
      <c r="H1359" s="11"/>
      <c r="I135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59" t="str">
        <f>IF(Table1[[#This Row],[Nationality]]="Nigeria",Table1[[#This Row],[EMJM Scholarship]],"Not Applicable")</f>
        <v>Not Applicable</v>
      </c>
    </row>
    <row r="1360" spans="1:10" ht="19.25" hidden="1" customHeight="1" x14ac:dyDescent="0.3">
      <c r="A1360" s="8">
        <v>2483262</v>
      </c>
      <c r="B1360" s="6" t="s">
        <v>80</v>
      </c>
      <c r="C1360" s="1" t="s">
        <v>9</v>
      </c>
      <c r="D1360" s="1" t="s">
        <v>9</v>
      </c>
      <c r="E1360" s="1" t="s">
        <v>9</v>
      </c>
      <c r="F1360" s="6"/>
      <c r="G1360" s="6"/>
      <c r="H1360" s="11"/>
      <c r="I136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60" t="str">
        <f>IF(Table1[[#This Row],[Nationality]]="Nigeria",Table1[[#This Row],[EMJM Scholarship]],"Not Applicable")</f>
        <v>Not Applicable</v>
      </c>
    </row>
    <row r="1361" spans="1:10" ht="19.25" hidden="1" customHeight="1" x14ac:dyDescent="0.3">
      <c r="A1361" s="8">
        <v>2483266</v>
      </c>
      <c r="B1361" s="6" t="s">
        <v>80</v>
      </c>
      <c r="C1361" s="1" t="s">
        <v>9</v>
      </c>
      <c r="D1361" s="1" t="s">
        <v>9</v>
      </c>
      <c r="E1361" s="1" t="s">
        <v>9</v>
      </c>
      <c r="F1361" s="6"/>
      <c r="G1361" s="6"/>
      <c r="H1361" s="11"/>
      <c r="I136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61" t="str">
        <f>IF(Table1[[#This Row],[Nationality]]="Nigeria",Table1[[#This Row],[EMJM Scholarship]],"Not Applicable")</f>
        <v>Not Applicable</v>
      </c>
    </row>
    <row r="1362" spans="1:10" ht="19.25" hidden="1" customHeight="1" x14ac:dyDescent="0.3">
      <c r="A1362" s="8">
        <v>2483289</v>
      </c>
      <c r="B1362" s="6" t="s">
        <v>80</v>
      </c>
      <c r="C1362" s="1" t="s">
        <v>9</v>
      </c>
      <c r="D1362" s="1" t="s">
        <v>9</v>
      </c>
      <c r="E1362" s="1" t="s">
        <v>9</v>
      </c>
      <c r="F1362" s="6"/>
      <c r="G1362" s="6"/>
      <c r="H1362" s="11"/>
      <c r="I136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62" t="str">
        <f>IF(Table1[[#This Row],[Nationality]]="Nigeria",Table1[[#This Row],[EMJM Scholarship]],"Not Applicable")</f>
        <v>Not Applicable</v>
      </c>
    </row>
    <row r="1363" spans="1:10" ht="19.25" hidden="1" customHeight="1" x14ac:dyDescent="0.3">
      <c r="A1363" s="8">
        <v>2483335</v>
      </c>
      <c r="B1363" s="6" t="s">
        <v>80</v>
      </c>
      <c r="C1363" s="1" t="s">
        <v>9</v>
      </c>
      <c r="D1363" s="1" t="s">
        <v>9</v>
      </c>
      <c r="E1363" s="1" t="s">
        <v>9</v>
      </c>
      <c r="F1363" s="6"/>
      <c r="G1363" s="6"/>
      <c r="H1363" s="11"/>
      <c r="I136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63" t="str">
        <f>IF(Table1[[#This Row],[Nationality]]="Nigeria",Table1[[#This Row],[EMJM Scholarship]],"Not Applicable")</f>
        <v>Not Applicable</v>
      </c>
    </row>
    <row r="1364" spans="1:10" ht="19.25" hidden="1" customHeight="1" x14ac:dyDescent="0.3">
      <c r="A1364" s="8">
        <v>2483366</v>
      </c>
      <c r="B1364" s="6" t="s">
        <v>80</v>
      </c>
      <c r="C1364" s="1" t="s">
        <v>9</v>
      </c>
      <c r="D1364" s="1" t="s">
        <v>9</v>
      </c>
      <c r="E1364" s="1" t="s">
        <v>9</v>
      </c>
      <c r="F1364" s="6"/>
      <c r="G1364" s="6"/>
      <c r="H1364" s="11"/>
      <c r="I136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64" t="str">
        <f>IF(Table1[[#This Row],[Nationality]]="Nigeria",Table1[[#This Row],[EMJM Scholarship]],"Not Applicable")</f>
        <v>Not Applicable</v>
      </c>
    </row>
    <row r="1365" spans="1:10" ht="19.25" hidden="1" customHeight="1" x14ac:dyDescent="0.3">
      <c r="A1365" s="8">
        <v>2483375</v>
      </c>
      <c r="B1365" s="6" t="s">
        <v>80</v>
      </c>
      <c r="C1365" s="1" t="s">
        <v>9</v>
      </c>
      <c r="D1365" s="1" t="s">
        <v>9</v>
      </c>
      <c r="E1365" s="1" t="s">
        <v>9</v>
      </c>
      <c r="F1365" s="6"/>
      <c r="G1365" s="6"/>
      <c r="H1365" s="11"/>
      <c r="I136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65" t="str">
        <f>IF(Table1[[#This Row],[Nationality]]="Nigeria",Table1[[#This Row],[EMJM Scholarship]],"Not Applicable")</f>
        <v>Not Applicable</v>
      </c>
    </row>
    <row r="1366" spans="1:10" ht="19.25" hidden="1" customHeight="1" x14ac:dyDescent="0.3">
      <c r="A1366" s="8">
        <v>2483385</v>
      </c>
      <c r="B1366" s="6" t="s">
        <v>80</v>
      </c>
      <c r="C1366" s="1" t="s">
        <v>9</v>
      </c>
      <c r="D1366" s="1" t="s">
        <v>9</v>
      </c>
      <c r="E1366" s="1" t="s">
        <v>9</v>
      </c>
      <c r="F1366" s="6"/>
      <c r="G1366" s="6"/>
      <c r="H1366" s="11"/>
      <c r="I136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66" t="str">
        <f>IF(Table1[[#This Row],[Nationality]]="Nigeria",Table1[[#This Row],[EMJM Scholarship]],"Not Applicable")</f>
        <v>Not Applicable</v>
      </c>
    </row>
    <row r="1367" spans="1:10" ht="19.25" hidden="1" customHeight="1" x14ac:dyDescent="0.3">
      <c r="A1367" s="8">
        <v>2483417</v>
      </c>
      <c r="B1367" s="6" t="s">
        <v>80</v>
      </c>
      <c r="C1367" s="1" t="s">
        <v>9</v>
      </c>
      <c r="D1367" s="1" t="s">
        <v>9</v>
      </c>
      <c r="E1367" s="1" t="s">
        <v>9</v>
      </c>
      <c r="F1367" s="6"/>
      <c r="G1367" s="6"/>
      <c r="H1367" s="11"/>
      <c r="I136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67" t="str">
        <f>IF(Table1[[#This Row],[Nationality]]="Nigeria",Table1[[#This Row],[EMJM Scholarship]],"Not Applicable")</f>
        <v>Not Applicable</v>
      </c>
    </row>
    <row r="1368" spans="1:10" ht="19.25" hidden="1" customHeight="1" x14ac:dyDescent="0.3">
      <c r="A1368" s="8">
        <v>2483423</v>
      </c>
      <c r="B1368" s="6" t="s">
        <v>80</v>
      </c>
      <c r="C1368" s="1" t="s">
        <v>9</v>
      </c>
      <c r="D1368" s="1" t="s">
        <v>9</v>
      </c>
      <c r="E1368" s="1" t="s">
        <v>9</v>
      </c>
      <c r="F1368" s="6"/>
      <c r="G1368" s="6"/>
      <c r="H1368" s="11"/>
      <c r="I136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68" t="str">
        <f>IF(Table1[[#This Row],[Nationality]]="Nigeria",Table1[[#This Row],[EMJM Scholarship]],"Not Applicable")</f>
        <v>Not Applicable</v>
      </c>
    </row>
    <row r="1369" spans="1:10" ht="19.25" hidden="1" customHeight="1" x14ac:dyDescent="0.3">
      <c r="A1369" s="8">
        <v>2483461</v>
      </c>
      <c r="B1369" s="6" t="s">
        <v>80</v>
      </c>
      <c r="C1369" s="1" t="s">
        <v>9</v>
      </c>
      <c r="D1369" s="1" t="s">
        <v>9</v>
      </c>
      <c r="E1369" s="1" t="s">
        <v>9</v>
      </c>
      <c r="F1369" s="6"/>
      <c r="G1369" s="6"/>
      <c r="H1369" s="11"/>
      <c r="I136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69" t="str">
        <f>IF(Table1[[#This Row],[Nationality]]="Nigeria",Table1[[#This Row],[EMJM Scholarship]],"Not Applicable")</f>
        <v>Not Applicable</v>
      </c>
    </row>
    <row r="1370" spans="1:10" ht="19.25" hidden="1" customHeight="1" x14ac:dyDescent="0.3">
      <c r="A1370" s="8">
        <v>2483536</v>
      </c>
      <c r="B1370" s="6" t="s">
        <v>80</v>
      </c>
      <c r="C1370" s="1" t="s">
        <v>9</v>
      </c>
      <c r="D1370" s="1" t="s">
        <v>9</v>
      </c>
      <c r="E1370" s="1" t="s">
        <v>9</v>
      </c>
      <c r="F1370" s="6"/>
      <c r="G1370" s="6"/>
      <c r="H1370" s="11"/>
      <c r="I137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70" t="str">
        <f>IF(Table1[[#This Row],[Nationality]]="Nigeria",Table1[[#This Row],[EMJM Scholarship]],"Not Applicable")</f>
        <v>Not Applicable</v>
      </c>
    </row>
    <row r="1371" spans="1:10" ht="19.25" hidden="1" customHeight="1" x14ac:dyDescent="0.3">
      <c r="A1371" s="8">
        <v>2483538</v>
      </c>
      <c r="B1371" s="6" t="s">
        <v>80</v>
      </c>
      <c r="C1371" s="1" t="s">
        <v>9</v>
      </c>
      <c r="D1371" s="1" t="s">
        <v>9</v>
      </c>
      <c r="E1371" s="1" t="s">
        <v>9</v>
      </c>
      <c r="F1371" s="6"/>
      <c r="G1371" s="6"/>
      <c r="H1371" s="11"/>
      <c r="I137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71" t="str">
        <f>IF(Table1[[#This Row],[Nationality]]="Nigeria",Table1[[#This Row],[EMJM Scholarship]],"Not Applicable")</f>
        <v>Not Applicable</v>
      </c>
    </row>
    <row r="1372" spans="1:10" ht="19.25" hidden="1" customHeight="1" x14ac:dyDescent="0.3">
      <c r="A1372" s="8">
        <v>2483542</v>
      </c>
      <c r="B1372" s="6" t="s">
        <v>80</v>
      </c>
      <c r="C1372" s="1" t="s">
        <v>9</v>
      </c>
      <c r="D1372" s="1" t="s">
        <v>9</v>
      </c>
      <c r="E1372" s="1" t="s">
        <v>9</v>
      </c>
      <c r="F1372" s="6"/>
      <c r="G1372" s="6"/>
      <c r="H1372" s="11"/>
      <c r="I137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72" t="str">
        <f>IF(Table1[[#This Row],[Nationality]]="Nigeria",Table1[[#This Row],[EMJM Scholarship]],"Not Applicable")</f>
        <v>Not Applicable</v>
      </c>
    </row>
    <row r="1373" spans="1:10" ht="19.25" hidden="1" customHeight="1" x14ac:dyDescent="0.3">
      <c r="A1373" s="8">
        <v>2483549</v>
      </c>
      <c r="B1373" s="6" t="s">
        <v>80</v>
      </c>
      <c r="C1373" s="1" t="s">
        <v>9</v>
      </c>
      <c r="D1373" s="1" t="s">
        <v>9</v>
      </c>
      <c r="E1373" s="1" t="s">
        <v>9</v>
      </c>
      <c r="F1373" s="6"/>
      <c r="G1373" s="6"/>
      <c r="H1373" s="11"/>
      <c r="I137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73" t="str">
        <f>IF(Table1[[#This Row],[Nationality]]="Nigeria",Table1[[#This Row],[EMJM Scholarship]],"Not Applicable")</f>
        <v>Not Applicable</v>
      </c>
    </row>
    <row r="1374" spans="1:10" ht="19.25" hidden="1" customHeight="1" x14ac:dyDescent="0.3">
      <c r="A1374" s="8">
        <v>2483579</v>
      </c>
      <c r="B1374" s="6" t="s">
        <v>80</v>
      </c>
      <c r="C1374" s="1" t="s">
        <v>9</v>
      </c>
      <c r="D1374" s="1" t="s">
        <v>9</v>
      </c>
      <c r="E1374" s="1" t="s">
        <v>9</v>
      </c>
      <c r="F1374" s="6"/>
      <c r="G1374" s="6"/>
      <c r="H1374" s="11"/>
      <c r="I137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74" t="str">
        <f>IF(Table1[[#This Row],[Nationality]]="Nigeria",Table1[[#This Row],[EMJM Scholarship]],"Not Applicable")</f>
        <v>Not Applicable</v>
      </c>
    </row>
    <row r="1375" spans="1:10" ht="19.25" hidden="1" customHeight="1" x14ac:dyDescent="0.3">
      <c r="A1375" s="8">
        <v>2483622</v>
      </c>
      <c r="B1375" s="6" t="s">
        <v>80</v>
      </c>
      <c r="C1375" s="1" t="s">
        <v>9</v>
      </c>
      <c r="D1375" s="1" t="s">
        <v>9</v>
      </c>
      <c r="E1375" s="1" t="s">
        <v>9</v>
      </c>
      <c r="F1375" s="6"/>
      <c r="G1375" s="6"/>
      <c r="H1375" s="11"/>
      <c r="I137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75" t="str">
        <f>IF(Table1[[#This Row],[Nationality]]="Nigeria",Table1[[#This Row],[EMJM Scholarship]],"Not Applicable")</f>
        <v>Not Applicable</v>
      </c>
    </row>
    <row r="1376" spans="1:10" ht="19.25" hidden="1" customHeight="1" x14ac:dyDescent="0.3">
      <c r="A1376" s="8">
        <v>2483644</v>
      </c>
      <c r="B1376" s="6" t="s">
        <v>80</v>
      </c>
      <c r="C1376" s="1" t="s">
        <v>9</v>
      </c>
      <c r="D1376" s="1" t="s">
        <v>9</v>
      </c>
      <c r="E1376" s="1" t="s">
        <v>9</v>
      </c>
      <c r="F1376" s="6"/>
      <c r="G1376" s="6"/>
      <c r="H1376" s="11"/>
      <c r="I137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76" t="str">
        <f>IF(Table1[[#This Row],[Nationality]]="Nigeria",Table1[[#This Row],[EMJM Scholarship]],"Not Applicable")</f>
        <v>Not Applicable</v>
      </c>
    </row>
    <row r="1377" spans="1:10" ht="19.25" hidden="1" customHeight="1" x14ac:dyDescent="0.3">
      <c r="A1377" s="8">
        <v>2483666</v>
      </c>
      <c r="B1377" s="6" t="s">
        <v>80</v>
      </c>
      <c r="C1377" s="1" t="s">
        <v>9</v>
      </c>
      <c r="D1377" s="1" t="s">
        <v>9</v>
      </c>
      <c r="E1377" s="1" t="s">
        <v>9</v>
      </c>
      <c r="F1377" s="6"/>
      <c r="G1377" s="6"/>
      <c r="H1377" s="11"/>
      <c r="I137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77" t="str">
        <f>IF(Table1[[#This Row],[Nationality]]="Nigeria",Table1[[#This Row],[EMJM Scholarship]],"Not Applicable")</f>
        <v>Not Applicable</v>
      </c>
    </row>
    <row r="1378" spans="1:10" ht="19.25" hidden="1" customHeight="1" x14ac:dyDescent="0.3">
      <c r="A1378" s="8">
        <v>2483675</v>
      </c>
      <c r="B1378" s="6" t="s">
        <v>80</v>
      </c>
      <c r="C1378" s="1" t="s">
        <v>9</v>
      </c>
      <c r="D1378" s="1" t="s">
        <v>9</v>
      </c>
      <c r="E1378" s="1" t="s">
        <v>9</v>
      </c>
      <c r="F1378" s="6"/>
      <c r="G1378" s="6"/>
      <c r="H1378" s="11"/>
      <c r="I137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78" t="str">
        <f>IF(Table1[[#This Row],[Nationality]]="Nigeria",Table1[[#This Row],[EMJM Scholarship]],"Not Applicable")</f>
        <v>Not Applicable</v>
      </c>
    </row>
    <row r="1379" spans="1:10" ht="19.25" hidden="1" customHeight="1" x14ac:dyDescent="0.3">
      <c r="A1379" s="8">
        <v>2483676</v>
      </c>
      <c r="B1379" s="6" t="s">
        <v>80</v>
      </c>
      <c r="C1379" s="1" t="s">
        <v>9</v>
      </c>
      <c r="D1379" s="1" t="s">
        <v>9</v>
      </c>
      <c r="E1379" s="1" t="s">
        <v>9</v>
      </c>
      <c r="F1379" s="6"/>
      <c r="G1379" s="6"/>
      <c r="H1379" s="11"/>
      <c r="I137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79" t="str">
        <f>IF(Table1[[#This Row],[Nationality]]="Nigeria",Table1[[#This Row],[EMJM Scholarship]],"Not Applicable")</f>
        <v>Not Applicable</v>
      </c>
    </row>
    <row r="1380" spans="1:10" ht="19.25" hidden="1" customHeight="1" x14ac:dyDescent="0.3">
      <c r="A1380" s="8">
        <v>2483681</v>
      </c>
      <c r="B1380" s="6" t="s">
        <v>80</v>
      </c>
      <c r="C1380" s="1" t="s">
        <v>9</v>
      </c>
      <c r="D1380" s="1" t="s">
        <v>9</v>
      </c>
      <c r="E1380" s="1" t="s">
        <v>9</v>
      </c>
      <c r="F1380" s="6"/>
      <c r="G1380" s="6"/>
      <c r="H1380" s="11"/>
      <c r="I138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80" t="str">
        <f>IF(Table1[[#This Row],[Nationality]]="Nigeria",Table1[[#This Row],[EMJM Scholarship]],"Not Applicable")</f>
        <v>Not Applicable</v>
      </c>
    </row>
    <row r="1381" spans="1:10" ht="19.25" hidden="1" customHeight="1" x14ac:dyDescent="0.3">
      <c r="A1381" s="8">
        <v>2483698</v>
      </c>
      <c r="B1381" s="6" t="s">
        <v>80</v>
      </c>
      <c r="C1381" s="1" t="s">
        <v>9</v>
      </c>
      <c r="D1381" s="1" t="s">
        <v>9</v>
      </c>
      <c r="E1381" s="1" t="s">
        <v>9</v>
      </c>
      <c r="F1381" s="6"/>
      <c r="G1381" s="6"/>
      <c r="H1381" s="11"/>
      <c r="I138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81" t="str">
        <f>IF(Table1[[#This Row],[Nationality]]="Nigeria",Table1[[#This Row],[EMJM Scholarship]],"Not Applicable")</f>
        <v>Not Applicable</v>
      </c>
    </row>
    <row r="1382" spans="1:10" ht="19.25" hidden="1" customHeight="1" x14ac:dyDescent="0.3">
      <c r="A1382" s="8">
        <v>2483706</v>
      </c>
      <c r="B1382" s="6" t="s">
        <v>80</v>
      </c>
      <c r="C1382" s="1" t="s">
        <v>9</v>
      </c>
      <c r="D1382" s="1" t="s">
        <v>9</v>
      </c>
      <c r="E1382" s="1" t="s">
        <v>9</v>
      </c>
      <c r="F1382" s="6"/>
      <c r="G1382" s="6"/>
      <c r="H1382" s="11"/>
      <c r="I138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82" t="str">
        <f>IF(Table1[[#This Row],[Nationality]]="Nigeria",Table1[[#This Row],[EMJM Scholarship]],"Not Applicable")</f>
        <v>Not Applicable</v>
      </c>
    </row>
    <row r="1383" spans="1:10" ht="19.25" hidden="1" customHeight="1" x14ac:dyDescent="0.3">
      <c r="A1383" s="8">
        <v>2483725</v>
      </c>
      <c r="B1383" s="6" t="s">
        <v>80</v>
      </c>
      <c r="C1383" s="1" t="s">
        <v>9</v>
      </c>
      <c r="D1383" s="1" t="s">
        <v>9</v>
      </c>
      <c r="E1383" s="1" t="s">
        <v>9</v>
      </c>
      <c r="F1383" s="6"/>
      <c r="G1383" s="6"/>
      <c r="H1383" s="11"/>
      <c r="I138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83" t="str">
        <f>IF(Table1[[#This Row],[Nationality]]="Nigeria",Table1[[#This Row],[EMJM Scholarship]],"Not Applicable")</f>
        <v>Not Applicable</v>
      </c>
    </row>
    <row r="1384" spans="1:10" ht="19.25" hidden="1" customHeight="1" x14ac:dyDescent="0.3">
      <c r="A1384" s="8">
        <v>2483740</v>
      </c>
      <c r="B1384" s="6" t="s">
        <v>80</v>
      </c>
      <c r="C1384" s="1" t="s">
        <v>9</v>
      </c>
      <c r="D1384" s="1" t="s">
        <v>9</v>
      </c>
      <c r="E1384" s="1" t="s">
        <v>9</v>
      </c>
      <c r="F1384" s="6"/>
      <c r="G1384" s="6"/>
      <c r="H1384" s="11"/>
      <c r="I138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84" t="str">
        <f>IF(Table1[[#This Row],[Nationality]]="Nigeria",Table1[[#This Row],[EMJM Scholarship]],"Not Applicable")</f>
        <v>Not Applicable</v>
      </c>
    </row>
    <row r="1385" spans="1:10" ht="19.25" hidden="1" customHeight="1" x14ac:dyDescent="0.3">
      <c r="A1385" s="8">
        <v>2483747</v>
      </c>
      <c r="B1385" s="6" t="s">
        <v>80</v>
      </c>
      <c r="C1385" s="1" t="s">
        <v>9</v>
      </c>
      <c r="D1385" s="1" t="s">
        <v>9</v>
      </c>
      <c r="E1385" s="1" t="s">
        <v>9</v>
      </c>
      <c r="F1385" s="6"/>
      <c r="G1385" s="6"/>
      <c r="H1385" s="11"/>
      <c r="I138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85" t="str">
        <f>IF(Table1[[#This Row],[Nationality]]="Nigeria",Table1[[#This Row],[EMJM Scholarship]],"Not Applicable")</f>
        <v>Not Applicable</v>
      </c>
    </row>
    <row r="1386" spans="1:10" ht="19.25" hidden="1" customHeight="1" x14ac:dyDescent="0.3">
      <c r="A1386" s="8">
        <v>2483756</v>
      </c>
      <c r="B1386" s="6" t="s">
        <v>80</v>
      </c>
      <c r="C1386" s="1" t="s">
        <v>9</v>
      </c>
      <c r="D1386" s="1" t="s">
        <v>9</v>
      </c>
      <c r="E1386" s="1" t="s">
        <v>9</v>
      </c>
      <c r="F1386" s="6"/>
      <c r="G1386" s="6"/>
      <c r="H1386" s="11"/>
      <c r="I138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86" t="str">
        <f>IF(Table1[[#This Row],[Nationality]]="Nigeria",Table1[[#This Row],[EMJM Scholarship]],"Not Applicable")</f>
        <v>Not Applicable</v>
      </c>
    </row>
    <row r="1387" spans="1:10" ht="19.25" hidden="1" customHeight="1" x14ac:dyDescent="0.3">
      <c r="A1387" s="8">
        <v>2483759</v>
      </c>
      <c r="B1387" s="6" t="s">
        <v>80</v>
      </c>
      <c r="C1387" s="1" t="s">
        <v>9</v>
      </c>
      <c r="D1387" s="1" t="s">
        <v>9</v>
      </c>
      <c r="E1387" s="1" t="s">
        <v>9</v>
      </c>
      <c r="F1387" s="6"/>
      <c r="G1387" s="6"/>
      <c r="H1387" s="11"/>
      <c r="I138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87" t="str">
        <f>IF(Table1[[#This Row],[Nationality]]="Nigeria",Table1[[#This Row],[EMJM Scholarship]],"Not Applicable")</f>
        <v>Not Applicable</v>
      </c>
    </row>
    <row r="1388" spans="1:10" ht="19.25" hidden="1" customHeight="1" x14ac:dyDescent="0.3">
      <c r="A1388" s="8">
        <v>2483825</v>
      </c>
      <c r="B1388" s="6" t="s">
        <v>80</v>
      </c>
      <c r="C1388" s="1" t="s">
        <v>9</v>
      </c>
      <c r="D1388" s="1" t="s">
        <v>9</v>
      </c>
      <c r="E1388" s="1" t="s">
        <v>9</v>
      </c>
      <c r="F1388" s="6"/>
      <c r="G1388" s="6"/>
      <c r="H1388" s="11"/>
      <c r="I138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88" t="str">
        <f>IF(Table1[[#This Row],[Nationality]]="Nigeria",Table1[[#This Row],[EMJM Scholarship]],"Not Applicable")</f>
        <v>Not Applicable</v>
      </c>
    </row>
    <row r="1389" spans="1:10" ht="19.25" hidden="1" customHeight="1" x14ac:dyDescent="0.3">
      <c r="A1389" s="8">
        <v>2483875</v>
      </c>
      <c r="B1389" s="6" t="s">
        <v>80</v>
      </c>
      <c r="C1389" s="1" t="s">
        <v>9</v>
      </c>
      <c r="D1389" s="1" t="s">
        <v>9</v>
      </c>
      <c r="E1389" s="1" t="s">
        <v>9</v>
      </c>
      <c r="F1389" s="6"/>
      <c r="G1389" s="6"/>
      <c r="H1389" s="11"/>
      <c r="I138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89" t="str">
        <f>IF(Table1[[#This Row],[Nationality]]="Nigeria",Table1[[#This Row],[EMJM Scholarship]],"Not Applicable")</f>
        <v>Not Applicable</v>
      </c>
    </row>
    <row r="1390" spans="1:10" ht="19.25" hidden="1" customHeight="1" x14ac:dyDescent="0.3">
      <c r="A1390" s="8">
        <v>2483884</v>
      </c>
      <c r="B1390" s="6" t="s">
        <v>80</v>
      </c>
      <c r="C1390" s="1" t="s">
        <v>9</v>
      </c>
      <c r="D1390" s="1" t="s">
        <v>9</v>
      </c>
      <c r="E1390" s="1" t="s">
        <v>9</v>
      </c>
      <c r="F1390" s="6"/>
      <c r="G1390" s="6"/>
      <c r="H1390" s="11"/>
      <c r="I139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90" t="str">
        <f>IF(Table1[[#This Row],[Nationality]]="Nigeria",Table1[[#This Row],[EMJM Scholarship]],"Not Applicable")</f>
        <v>Not Applicable</v>
      </c>
    </row>
    <row r="1391" spans="1:10" ht="19.25" hidden="1" customHeight="1" x14ac:dyDescent="0.3">
      <c r="A1391" s="8">
        <v>2483887</v>
      </c>
      <c r="B1391" s="6" t="s">
        <v>80</v>
      </c>
      <c r="C1391" s="1" t="s">
        <v>9</v>
      </c>
      <c r="D1391" s="1" t="s">
        <v>9</v>
      </c>
      <c r="E1391" s="1" t="s">
        <v>9</v>
      </c>
      <c r="F1391" s="6"/>
      <c r="G1391" s="6"/>
      <c r="H1391" s="11"/>
      <c r="I139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91" t="str">
        <f>IF(Table1[[#This Row],[Nationality]]="Nigeria",Table1[[#This Row],[EMJM Scholarship]],"Not Applicable")</f>
        <v>Not Applicable</v>
      </c>
    </row>
    <row r="1392" spans="1:10" ht="19.25" hidden="1" customHeight="1" x14ac:dyDescent="0.3">
      <c r="A1392" s="8">
        <v>2483894</v>
      </c>
      <c r="B1392" s="6" t="s">
        <v>80</v>
      </c>
      <c r="C1392" s="1" t="s">
        <v>9</v>
      </c>
      <c r="D1392" s="1" t="s">
        <v>9</v>
      </c>
      <c r="E1392" s="1" t="s">
        <v>9</v>
      </c>
      <c r="F1392" s="6"/>
      <c r="G1392" s="6"/>
      <c r="H1392" s="11"/>
      <c r="I139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92" t="str">
        <f>IF(Table1[[#This Row],[Nationality]]="Nigeria",Table1[[#This Row],[EMJM Scholarship]],"Not Applicable")</f>
        <v>Not Applicable</v>
      </c>
    </row>
    <row r="1393" spans="1:10" ht="19.25" hidden="1" customHeight="1" x14ac:dyDescent="0.3">
      <c r="A1393" s="8">
        <v>2483985</v>
      </c>
      <c r="B1393" s="6" t="s">
        <v>80</v>
      </c>
      <c r="C1393" s="1" t="s">
        <v>9</v>
      </c>
      <c r="D1393" s="1" t="s">
        <v>9</v>
      </c>
      <c r="E1393" s="1" t="s">
        <v>9</v>
      </c>
      <c r="F1393" s="6"/>
      <c r="G1393" s="6"/>
      <c r="H1393" s="11"/>
      <c r="I139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93" t="str">
        <f>IF(Table1[[#This Row],[Nationality]]="Nigeria",Table1[[#This Row],[EMJM Scholarship]],"Not Applicable")</f>
        <v>Not Applicable</v>
      </c>
    </row>
    <row r="1394" spans="1:10" ht="19.25" hidden="1" customHeight="1" x14ac:dyDescent="0.3">
      <c r="A1394" s="8">
        <v>2484040</v>
      </c>
      <c r="B1394" s="6" t="s">
        <v>80</v>
      </c>
      <c r="C1394" s="1" t="s">
        <v>9</v>
      </c>
      <c r="D1394" s="1" t="s">
        <v>9</v>
      </c>
      <c r="E1394" s="1" t="s">
        <v>9</v>
      </c>
      <c r="F1394" s="6"/>
      <c r="G1394" s="6"/>
      <c r="H1394" s="11"/>
      <c r="I139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94" t="str">
        <f>IF(Table1[[#This Row],[Nationality]]="Nigeria",Table1[[#This Row],[EMJM Scholarship]],"Not Applicable")</f>
        <v>Not Applicable</v>
      </c>
    </row>
    <row r="1395" spans="1:10" ht="19.25" hidden="1" customHeight="1" x14ac:dyDescent="0.3">
      <c r="A1395" s="8">
        <v>2484339</v>
      </c>
      <c r="B1395" s="6" t="s">
        <v>80</v>
      </c>
      <c r="C1395" s="1" t="s">
        <v>9</v>
      </c>
      <c r="D1395" s="1" t="s">
        <v>9</v>
      </c>
      <c r="E1395" s="1" t="s">
        <v>9</v>
      </c>
      <c r="F1395" s="6"/>
      <c r="G1395" s="6"/>
      <c r="H1395" s="11"/>
      <c r="I139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95" t="str">
        <f>IF(Table1[[#This Row],[Nationality]]="Nigeria",Table1[[#This Row],[EMJM Scholarship]],"Not Applicable")</f>
        <v>Not Applicable</v>
      </c>
    </row>
    <row r="1396" spans="1:10" ht="19.25" hidden="1" customHeight="1" x14ac:dyDescent="0.3">
      <c r="A1396" s="8">
        <v>2484424</v>
      </c>
      <c r="B1396" s="6" t="s">
        <v>80</v>
      </c>
      <c r="C1396" s="1" t="s">
        <v>9</v>
      </c>
      <c r="D1396" s="1" t="s">
        <v>9</v>
      </c>
      <c r="E1396" s="1" t="s">
        <v>9</v>
      </c>
      <c r="F1396" s="6"/>
      <c r="G1396" s="6"/>
      <c r="H1396" s="11"/>
      <c r="I139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96" t="str">
        <f>IF(Table1[[#This Row],[Nationality]]="Nigeria",Table1[[#This Row],[EMJM Scholarship]],"Not Applicable")</f>
        <v>Not Applicable</v>
      </c>
    </row>
    <row r="1397" spans="1:10" ht="19.25" hidden="1" customHeight="1" x14ac:dyDescent="0.3">
      <c r="A1397" s="8">
        <v>2484441</v>
      </c>
      <c r="B1397" s="6" t="s">
        <v>80</v>
      </c>
      <c r="C1397" s="1" t="s">
        <v>9</v>
      </c>
      <c r="D1397" s="1" t="s">
        <v>9</v>
      </c>
      <c r="E1397" s="1" t="s">
        <v>9</v>
      </c>
      <c r="F1397" s="6"/>
      <c r="G1397" s="6"/>
      <c r="H1397" s="11"/>
      <c r="I139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97" t="str">
        <f>IF(Table1[[#This Row],[Nationality]]="Nigeria",Table1[[#This Row],[EMJM Scholarship]],"Not Applicable")</f>
        <v>Not Applicable</v>
      </c>
    </row>
    <row r="1398" spans="1:10" ht="19.25" hidden="1" customHeight="1" x14ac:dyDescent="0.3">
      <c r="A1398" s="8">
        <v>2484678</v>
      </c>
      <c r="B1398" s="6" t="s">
        <v>80</v>
      </c>
      <c r="C1398" s="1" t="s">
        <v>9</v>
      </c>
      <c r="D1398" s="1" t="s">
        <v>9</v>
      </c>
      <c r="E1398" s="1" t="s">
        <v>9</v>
      </c>
      <c r="F1398" s="6"/>
      <c r="G1398" s="6"/>
      <c r="H1398" s="11"/>
      <c r="I139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98" t="str">
        <f>IF(Table1[[#This Row],[Nationality]]="Nigeria",Table1[[#This Row],[EMJM Scholarship]],"Not Applicable")</f>
        <v>Not Applicable</v>
      </c>
    </row>
    <row r="1399" spans="1:10" ht="19.25" hidden="1" customHeight="1" x14ac:dyDescent="0.3">
      <c r="A1399" s="8">
        <v>2484720</v>
      </c>
      <c r="B1399" s="6" t="s">
        <v>80</v>
      </c>
      <c r="C1399" s="1" t="s">
        <v>9</v>
      </c>
      <c r="D1399" s="1" t="s">
        <v>9</v>
      </c>
      <c r="E1399" s="1" t="s">
        <v>9</v>
      </c>
      <c r="F1399" s="6"/>
      <c r="G1399" s="6"/>
      <c r="H1399" s="11"/>
      <c r="I139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399" t="str">
        <f>IF(Table1[[#This Row],[Nationality]]="Nigeria",Table1[[#This Row],[EMJM Scholarship]],"Not Applicable")</f>
        <v>Not Applicable</v>
      </c>
    </row>
    <row r="1400" spans="1:10" ht="19.25" hidden="1" customHeight="1" x14ac:dyDescent="0.3">
      <c r="A1400" s="8">
        <v>2484750</v>
      </c>
      <c r="B1400" s="6" t="s">
        <v>80</v>
      </c>
      <c r="C1400" s="1" t="s">
        <v>9</v>
      </c>
      <c r="D1400" s="1" t="s">
        <v>9</v>
      </c>
      <c r="E1400" s="1" t="s">
        <v>9</v>
      </c>
      <c r="F1400" s="6"/>
      <c r="G1400" s="6"/>
      <c r="H1400" s="11"/>
      <c r="I140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00" t="str">
        <f>IF(Table1[[#This Row],[Nationality]]="Nigeria",Table1[[#This Row],[EMJM Scholarship]],"Not Applicable")</f>
        <v>Not Applicable</v>
      </c>
    </row>
    <row r="1401" spans="1:10" ht="19.25" hidden="1" customHeight="1" x14ac:dyDescent="0.3">
      <c r="A1401" s="8">
        <v>2484765</v>
      </c>
      <c r="B1401" s="6" t="s">
        <v>80</v>
      </c>
      <c r="C1401" s="1" t="s">
        <v>9</v>
      </c>
      <c r="D1401" s="1" t="s">
        <v>9</v>
      </c>
      <c r="E1401" s="1" t="s">
        <v>9</v>
      </c>
      <c r="F1401" s="6"/>
      <c r="G1401" s="6"/>
      <c r="H1401" s="11"/>
      <c r="I140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01" t="str">
        <f>IF(Table1[[#This Row],[Nationality]]="Nigeria",Table1[[#This Row],[EMJM Scholarship]],"Not Applicable")</f>
        <v>Not Applicable</v>
      </c>
    </row>
    <row r="1402" spans="1:10" ht="19.25" hidden="1" customHeight="1" x14ac:dyDescent="0.3">
      <c r="A1402" s="8">
        <v>2484796</v>
      </c>
      <c r="B1402" s="6" t="s">
        <v>80</v>
      </c>
      <c r="C1402" s="1" t="s">
        <v>9</v>
      </c>
      <c r="D1402" s="1" t="s">
        <v>9</v>
      </c>
      <c r="E1402" s="1" t="s">
        <v>9</v>
      </c>
      <c r="F1402" s="6"/>
      <c r="G1402" s="6"/>
      <c r="H1402" s="11"/>
      <c r="I140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02" t="str">
        <f>IF(Table1[[#This Row],[Nationality]]="Nigeria",Table1[[#This Row],[EMJM Scholarship]],"Not Applicable")</f>
        <v>Not Applicable</v>
      </c>
    </row>
    <row r="1403" spans="1:10" ht="19.25" hidden="1" customHeight="1" x14ac:dyDescent="0.3">
      <c r="A1403" s="8">
        <v>2484809</v>
      </c>
      <c r="B1403" s="6" t="s">
        <v>80</v>
      </c>
      <c r="C1403" s="1" t="s">
        <v>9</v>
      </c>
      <c r="D1403" s="1" t="s">
        <v>9</v>
      </c>
      <c r="E1403" s="1" t="s">
        <v>9</v>
      </c>
      <c r="F1403" s="6"/>
      <c r="G1403" s="6"/>
      <c r="H1403" s="11"/>
      <c r="I140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03" t="str">
        <f>IF(Table1[[#This Row],[Nationality]]="Nigeria",Table1[[#This Row],[EMJM Scholarship]],"Not Applicable")</f>
        <v>Not Applicable</v>
      </c>
    </row>
    <row r="1404" spans="1:10" ht="19.25" hidden="1" customHeight="1" x14ac:dyDescent="0.3">
      <c r="A1404" s="8">
        <v>2484875</v>
      </c>
      <c r="B1404" s="6" t="s">
        <v>80</v>
      </c>
      <c r="C1404" s="1" t="s">
        <v>9</v>
      </c>
      <c r="D1404" s="1" t="s">
        <v>9</v>
      </c>
      <c r="E1404" s="1" t="s">
        <v>9</v>
      </c>
      <c r="F1404" s="6"/>
      <c r="G1404" s="6"/>
      <c r="H1404" s="11"/>
      <c r="I140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04" t="str">
        <f>IF(Table1[[#This Row],[Nationality]]="Nigeria",Table1[[#This Row],[EMJM Scholarship]],"Not Applicable")</f>
        <v>Not Applicable</v>
      </c>
    </row>
    <row r="1405" spans="1:10" ht="19.25" hidden="1" customHeight="1" x14ac:dyDescent="0.3">
      <c r="A1405" s="8">
        <v>2484988</v>
      </c>
      <c r="B1405" s="6" t="s">
        <v>80</v>
      </c>
      <c r="C1405" s="1" t="s">
        <v>9</v>
      </c>
      <c r="D1405" s="1" t="s">
        <v>9</v>
      </c>
      <c r="E1405" s="1" t="s">
        <v>9</v>
      </c>
      <c r="F1405" s="6"/>
      <c r="G1405" s="6"/>
      <c r="H1405" s="11"/>
      <c r="I140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05" t="str">
        <f>IF(Table1[[#This Row],[Nationality]]="Nigeria",Table1[[#This Row],[EMJM Scholarship]],"Not Applicable")</f>
        <v>Not Applicable</v>
      </c>
    </row>
    <row r="1406" spans="1:10" ht="19.25" hidden="1" customHeight="1" x14ac:dyDescent="0.3">
      <c r="A1406" s="8">
        <v>2485001</v>
      </c>
      <c r="B1406" s="6" t="s">
        <v>80</v>
      </c>
      <c r="C1406" s="1" t="s">
        <v>9</v>
      </c>
      <c r="D1406" s="1" t="s">
        <v>9</v>
      </c>
      <c r="E1406" s="1" t="s">
        <v>9</v>
      </c>
      <c r="F1406" s="6"/>
      <c r="G1406" s="6"/>
      <c r="H1406" s="11"/>
      <c r="I140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06" t="str">
        <f>IF(Table1[[#This Row],[Nationality]]="Nigeria",Table1[[#This Row],[EMJM Scholarship]],"Not Applicable")</f>
        <v>Not Applicable</v>
      </c>
    </row>
    <row r="1407" spans="1:10" ht="19.25" hidden="1" customHeight="1" x14ac:dyDescent="0.3">
      <c r="A1407" s="8">
        <v>2485009</v>
      </c>
      <c r="B1407" s="6" t="s">
        <v>80</v>
      </c>
      <c r="C1407" s="1" t="s">
        <v>9</v>
      </c>
      <c r="D1407" s="1" t="s">
        <v>9</v>
      </c>
      <c r="E1407" s="1" t="s">
        <v>9</v>
      </c>
      <c r="F1407" s="6"/>
      <c r="G1407" s="6"/>
      <c r="H1407" s="11"/>
      <c r="I140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07" t="str">
        <f>IF(Table1[[#This Row],[Nationality]]="Nigeria",Table1[[#This Row],[EMJM Scholarship]],"Not Applicable")</f>
        <v>Not Applicable</v>
      </c>
    </row>
    <row r="1408" spans="1:10" ht="19.25" hidden="1" customHeight="1" x14ac:dyDescent="0.3">
      <c r="A1408" s="8">
        <v>2485010</v>
      </c>
      <c r="B1408" s="6" t="s">
        <v>80</v>
      </c>
      <c r="C1408" s="1" t="s">
        <v>9</v>
      </c>
      <c r="D1408" s="1" t="s">
        <v>9</v>
      </c>
      <c r="E1408" s="1" t="s">
        <v>9</v>
      </c>
      <c r="F1408" s="6"/>
      <c r="G1408" s="6"/>
      <c r="H1408" s="11"/>
      <c r="I140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08" t="str">
        <f>IF(Table1[[#This Row],[Nationality]]="Nigeria",Table1[[#This Row],[EMJM Scholarship]],"Not Applicable")</f>
        <v>Not Applicable</v>
      </c>
    </row>
    <row r="1409" spans="1:10" ht="19.25" hidden="1" customHeight="1" x14ac:dyDescent="0.3">
      <c r="A1409" s="8">
        <v>2485015</v>
      </c>
      <c r="B1409" s="6" t="s">
        <v>80</v>
      </c>
      <c r="C1409" s="1" t="s">
        <v>9</v>
      </c>
      <c r="D1409" s="1" t="s">
        <v>9</v>
      </c>
      <c r="E1409" s="1" t="s">
        <v>9</v>
      </c>
      <c r="F1409" s="6"/>
      <c r="G1409" s="6"/>
      <c r="H1409" s="11"/>
      <c r="I140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09" t="str">
        <f>IF(Table1[[#This Row],[Nationality]]="Nigeria",Table1[[#This Row],[EMJM Scholarship]],"Not Applicable")</f>
        <v>Not Applicable</v>
      </c>
    </row>
    <row r="1410" spans="1:10" ht="19.25" hidden="1" customHeight="1" x14ac:dyDescent="0.3">
      <c r="A1410" s="8">
        <v>2485065</v>
      </c>
      <c r="B1410" s="6" t="s">
        <v>80</v>
      </c>
      <c r="C1410" s="1" t="s">
        <v>9</v>
      </c>
      <c r="D1410" s="1" t="s">
        <v>9</v>
      </c>
      <c r="E1410" s="1" t="s">
        <v>9</v>
      </c>
      <c r="F1410" s="6"/>
      <c r="G1410" s="6"/>
      <c r="H1410" s="11"/>
      <c r="I141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10" t="str">
        <f>IF(Table1[[#This Row],[Nationality]]="Nigeria",Table1[[#This Row],[EMJM Scholarship]],"Not Applicable")</f>
        <v>Not Applicable</v>
      </c>
    </row>
    <row r="1411" spans="1:10" ht="19.25" hidden="1" customHeight="1" x14ac:dyDescent="0.3">
      <c r="A1411" s="8">
        <v>2485444</v>
      </c>
      <c r="B1411" s="6" t="s">
        <v>80</v>
      </c>
      <c r="C1411" s="1" t="s">
        <v>9</v>
      </c>
      <c r="D1411" s="1" t="s">
        <v>9</v>
      </c>
      <c r="E1411" s="1" t="s">
        <v>9</v>
      </c>
      <c r="F1411" s="6"/>
      <c r="G1411" s="6"/>
      <c r="H1411" s="11"/>
      <c r="I141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11" t="str">
        <f>IF(Table1[[#This Row],[Nationality]]="Nigeria",Table1[[#This Row],[EMJM Scholarship]],"Not Applicable")</f>
        <v>Not Applicable</v>
      </c>
    </row>
    <row r="1412" spans="1:10" ht="19.25" hidden="1" customHeight="1" x14ac:dyDescent="0.3">
      <c r="A1412" s="8">
        <v>2485565</v>
      </c>
      <c r="B1412" s="6" t="s">
        <v>80</v>
      </c>
      <c r="C1412" s="1" t="s">
        <v>9</v>
      </c>
      <c r="D1412" s="1" t="s">
        <v>9</v>
      </c>
      <c r="E1412" s="1" t="s">
        <v>9</v>
      </c>
      <c r="F1412" s="6"/>
      <c r="G1412" s="6"/>
      <c r="H1412" s="11"/>
      <c r="I141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12" t="str">
        <f>IF(Table1[[#This Row],[Nationality]]="Nigeria",Table1[[#This Row],[EMJM Scholarship]],"Not Applicable")</f>
        <v>Not Applicable</v>
      </c>
    </row>
    <row r="1413" spans="1:10" ht="19.25" hidden="1" customHeight="1" x14ac:dyDescent="0.3">
      <c r="A1413" s="8">
        <v>2485600</v>
      </c>
      <c r="B1413" s="6" t="s">
        <v>80</v>
      </c>
      <c r="C1413" s="1" t="s">
        <v>9</v>
      </c>
      <c r="D1413" s="1" t="s">
        <v>9</v>
      </c>
      <c r="E1413" s="1" t="s">
        <v>9</v>
      </c>
      <c r="F1413" s="6"/>
      <c r="G1413" s="6"/>
      <c r="H1413" s="11"/>
      <c r="I141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13" t="str">
        <f>IF(Table1[[#This Row],[Nationality]]="Nigeria",Table1[[#This Row],[EMJM Scholarship]],"Not Applicable")</f>
        <v>Not Applicable</v>
      </c>
    </row>
    <row r="1414" spans="1:10" ht="19.25" hidden="1" customHeight="1" x14ac:dyDescent="0.3">
      <c r="A1414" s="8">
        <v>2485631</v>
      </c>
      <c r="B1414" s="6" t="s">
        <v>80</v>
      </c>
      <c r="C1414" s="1" t="s">
        <v>9</v>
      </c>
      <c r="D1414" s="1" t="s">
        <v>9</v>
      </c>
      <c r="E1414" s="1" t="s">
        <v>9</v>
      </c>
      <c r="F1414" s="6"/>
      <c r="G1414" s="6"/>
      <c r="H1414" s="11"/>
      <c r="I141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14" t="str">
        <f>IF(Table1[[#This Row],[Nationality]]="Nigeria",Table1[[#This Row],[EMJM Scholarship]],"Not Applicable")</f>
        <v>Not Applicable</v>
      </c>
    </row>
    <row r="1415" spans="1:10" ht="19.25" hidden="1" customHeight="1" x14ac:dyDescent="0.3">
      <c r="A1415" s="8">
        <v>2485851</v>
      </c>
      <c r="B1415" s="6" t="s">
        <v>80</v>
      </c>
      <c r="C1415" s="1" t="s">
        <v>9</v>
      </c>
      <c r="D1415" s="1" t="s">
        <v>9</v>
      </c>
      <c r="E1415" s="1" t="s">
        <v>9</v>
      </c>
      <c r="F1415" s="6"/>
      <c r="G1415" s="6"/>
      <c r="H1415" s="11"/>
      <c r="I141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15" t="str">
        <f>IF(Table1[[#This Row],[Nationality]]="Nigeria",Table1[[#This Row],[EMJM Scholarship]],"Not Applicable")</f>
        <v>Not Applicable</v>
      </c>
    </row>
    <row r="1416" spans="1:10" ht="19.25" hidden="1" customHeight="1" x14ac:dyDescent="0.3">
      <c r="A1416" s="8">
        <v>2485870</v>
      </c>
      <c r="B1416" s="6" t="s">
        <v>80</v>
      </c>
      <c r="C1416" s="1" t="s">
        <v>9</v>
      </c>
      <c r="D1416" s="1" t="s">
        <v>9</v>
      </c>
      <c r="E1416" s="1" t="s">
        <v>9</v>
      </c>
      <c r="F1416" s="6"/>
      <c r="G1416" s="6"/>
      <c r="H1416" s="11"/>
      <c r="I141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16" t="str">
        <f>IF(Table1[[#This Row],[Nationality]]="Nigeria",Table1[[#This Row],[EMJM Scholarship]],"Not Applicable")</f>
        <v>Not Applicable</v>
      </c>
    </row>
    <row r="1417" spans="1:10" ht="19.25" hidden="1" customHeight="1" x14ac:dyDescent="0.3">
      <c r="A1417" s="8">
        <v>2485905</v>
      </c>
      <c r="B1417" s="6" t="s">
        <v>80</v>
      </c>
      <c r="C1417" s="1" t="s">
        <v>9</v>
      </c>
      <c r="D1417" s="1" t="s">
        <v>9</v>
      </c>
      <c r="E1417" s="1" t="s">
        <v>9</v>
      </c>
      <c r="F1417" s="6"/>
      <c r="G1417" s="6"/>
      <c r="H1417" s="11"/>
      <c r="I141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17" t="str">
        <f>IF(Table1[[#This Row],[Nationality]]="Nigeria",Table1[[#This Row],[EMJM Scholarship]],"Not Applicable")</f>
        <v>Not Applicable</v>
      </c>
    </row>
    <row r="1418" spans="1:10" ht="19.25" hidden="1" customHeight="1" x14ac:dyDescent="0.3">
      <c r="A1418" s="8">
        <v>2485914</v>
      </c>
      <c r="B1418" s="6" t="s">
        <v>80</v>
      </c>
      <c r="C1418" s="1" t="s">
        <v>9</v>
      </c>
      <c r="D1418" s="1" t="s">
        <v>9</v>
      </c>
      <c r="E1418" s="1" t="s">
        <v>9</v>
      </c>
      <c r="F1418" s="6"/>
      <c r="G1418" s="6"/>
      <c r="H1418" s="11"/>
      <c r="I141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18" t="str">
        <f>IF(Table1[[#This Row],[Nationality]]="Nigeria",Table1[[#This Row],[EMJM Scholarship]],"Not Applicable")</f>
        <v>Not Applicable</v>
      </c>
    </row>
    <row r="1419" spans="1:10" ht="19.25" hidden="1" customHeight="1" x14ac:dyDescent="0.3">
      <c r="A1419" s="8">
        <v>2486146</v>
      </c>
      <c r="B1419" s="6" t="s">
        <v>80</v>
      </c>
      <c r="C1419" s="1" t="s">
        <v>9</v>
      </c>
      <c r="D1419" s="1" t="s">
        <v>9</v>
      </c>
      <c r="E1419" s="1" t="s">
        <v>9</v>
      </c>
      <c r="F1419" s="6"/>
      <c r="G1419" s="6"/>
      <c r="H1419" s="11"/>
      <c r="I141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19" t="str">
        <f>IF(Table1[[#This Row],[Nationality]]="Nigeria",Table1[[#This Row],[EMJM Scholarship]],"Not Applicable")</f>
        <v>Not Applicable</v>
      </c>
    </row>
    <row r="1420" spans="1:10" ht="19.25" hidden="1" customHeight="1" x14ac:dyDescent="0.3">
      <c r="A1420" s="8">
        <v>2486205</v>
      </c>
      <c r="B1420" s="6" t="s">
        <v>80</v>
      </c>
      <c r="C1420" s="1" t="s">
        <v>9</v>
      </c>
      <c r="D1420" s="1" t="s">
        <v>9</v>
      </c>
      <c r="E1420" s="1" t="s">
        <v>9</v>
      </c>
      <c r="F1420" s="6"/>
      <c r="G1420" s="6"/>
      <c r="H1420" s="11"/>
      <c r="I142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20" t="str">
        <f>IF(Table1[[#This Row],[Nationality]]="Nigeria",Table1[[#This Row],[EMJM Scholarship]],"Not Applicable")</f>
        <v>Not Applicable</v>
      </c>
    </row>
    <row r="1421" spans="1:10" ht="19.25" hidden="1" customHeight="1" x14ac:dyDescent="0.3">
      <c r="A1421" s="8">
        <v>2486431</v>
      </c>
      <c r="B1421" s="6" t="s">
        <v>80</v>
      </c>
      <c r="C1421" s="1" t="s">
        <v>9</v>
      </c>
      <c r="D1421" s="1" t="s">
        <v>9</v>
      </c>
      <c r="E1421" s="1" t="s">
        <v>9</v>
      </c>
      <c r="F1421" s="6"/>
      <c r="G1421" s="6"/>
      <c r="H1421" s="11"/>
      <c r="I142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21" t="str">
        <f>IF(Table1[[#This Row],[Nationality]]="Nigeria",Table1[[#This Row],[EMJM Scholarship]],"Not Applicable")</f>
        <v>Not Applicable</v>
      </c>
    </row>
    <row r="1422" spans="1:10" ht="19.25" hidden="1" customHeight="1" x14ac:dyDescent="0.3">
      <c r="A1422" s="8">
        <v>2486555</v>
      </c>
      <c r="B1422" s="6" t="s">
        <v>80</v>
      </c>
      <c r="C1422" s="1" t="s">
        <v>9</v>
      </c>
      <c r="D1422" s="1" t="s">
        <v>9</v>
      </c>
      <c r="E1422" s="1" t="s">
        <v>9</v>
      </c>
      <c r="F1422" s="6"/>
      <c r="G1422" s="6"/>
      <c r="H1422" s="11"/>
      <c r="I142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22" t="str">
        <f>IF(Table1[[#This Row],[Nationality]]="Nigeria",Table1[[#This Row],[EMJM Scholarship]],"Not Applicable")</f>
        <v>Not Applicable</v>
      </c>
    </row>
    <row r="1423" spans="1:10" ht="19.25" hidden="1" customHeight="1" x14ac:dyDescent="0.3">
      <c r="A1423" s="8">
        <v>2486899</v>
      </c>
      <c r="B1423" s="6" t="s">
        <v>80</v>
      </c>
      <c r="C1423" s="1" t="s">
        <v>9</v>
      </c>
      <c r="D1423" s="1" t="s">
        <v>9</v>
      </c>
      <c r="E1423" s="1" t="s">
        <v>9</v>
      </c>
      <c r="F1423" s="6"/>
      <c r="G1423" s="6"/>
      <c r="H1423" s="11"/>
      <c r="I142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23" t="str">
        <f>IF(Table1[[#This Row],[Nationality]]="Nigeria",Table1[[#This Row],[EMJM Scholarship]],"Not Applicable")</f>
        <v>Not Applicable</v>
      </c>
    </row>
    <row r="1424" spans="1:10" ht="19.25" hidden="1" customHeight="1" x14ac:dyDescent="0.3">
      <c r="A1424" s="8">
        <v>2486925</v>
      </c>
      <c r="B1424" s="6" t="s">
        <v>80</v>
      </c>
      <c r="C1424" s="1" t="s">
        <v>9</v>
      </c>
      <c r="D1424" s="1" t="s">
        <v>9</v>
      </c>
      <c r="E1424" s="1" t="s">
        <v>9</v>
      </c>
      <c r="F1424" s="6"/>
      <c r="G1424" s="6"/>
      <c r="H1424" s="11"/>
      <c r="I142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24" t="str">
        <f>IF(Table1[[#This Row],[Nationality]]="Nigeria",Table1[[#This Row],[EMJM Scholarship]],"Not Applicable")</f>
        <v>Not Applicable</v>
      </c>
    </row>
    <row r="1425" spans="1:10" ht="19.25" hidden="1" customHeight="1" x14ac:dyDescent="0.3">
      <c r="A1425" s="8">
        <v>2486940</v>
      </c>
      <c r="B1425" s="6" t="s">
        <v>80</v>
      </c>
      <c r="C1425" s="1" t="s">
        <v>9</v>
      </c>
      <c r="D1425" s="1" t="s">
        <v>9</v>
      </c>
      <c r="E1425" s="1" t="s">
        <v>9</v>
      </c>
      <c r="F1425" s="6"/>
      <c r="G1425" s="6"/>
      <c r="H1425" s="11"/>
      <c r="I142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25" t="str">
        <f>IF(Table1[[#This Row],[Nationality]]="Nigeria",Table1[[#This Row],[EMJM Scholarship]],"Not Applicable")</f>
        <v>Not Applicable</v>
      </c>
    </row>
    <row r="1426" spans="1:10" ht="19.25" hidden="1" customHeight="1" x14ac:dyDescent="0.3">
      <c r="A1426" s="8">
        <v>2486942</v>
      </c>
      <c r="B1426" s="6" t="s">
        <v>80</v>
      </c>
      <c r="C1426" s="1" t="s">
        <v>9</v>
      </c>
      <c r="D1426" s="1" t="s">
        <v>9</v>
      </c>
      <c r="E1426" s="1" t="s">
        <v>9</v>
      </c>
      <c r="F1426" s="6"/>
      <c r="G1426" s="6"/>
      <c r="H1426" s="11"/>
      <c r="I142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26" t="str">
        <f>IF(Table1[[#This Row],[Nationality]]="Nigeria",Table1[[#This Row],[EMJM Scholarship]],"Not Applicable")</f>
        <v>Not Applicable</v>
      </c>
    </row>
    <row r="1427" spans="1:10" ht="19.25" hidden="1" customHeight="1" x14ac:dyDescent="0.3">
      <c r="A1427" s="8">
        <v>2487004</v>
      </c>
      <c r="B1427" s="6" t="s">
        <v>80</v>
      </c>
      <c r="C1427" s="1" t="s">
        <v>9</v>
      </c>
      <c r="D1427" s="1" t="s">
        <v>9</v>
      </c>
      <c r="E1427" s="1" t="s">
        <v>9</v>
      </c>
      <c r="F1427" s="6"/>
      <c r="G1427" s="6"/>
      <c r="H1427" s="11"/>
      <c r="I142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27" t="str">
        <f>IF(Table1[[#This Row],[Nationality]]="Nigeria",Table1[[#This Row],[EMJM Scholarship]],"Not Applicable")</f>
        <v>Not Applicable</v>
      </c>
    </row>
    <row r="1428" spans="1:10" ht="19.25" hidden="1" customHeight="1" x14ac:dyDescent="0.3">
      <c r="A1428" s="8">
        <v>2487111</v>
      </c>
      <c r="B1428" s="6" t="s">
        <v>80</v>
      </c>
      <c r="C1428" s="1" t="s">
        <v>9</v>
      </c>
      <c r="D1428" s="1" t="s">
        <v>9</v>
      </c>
      <c r="E1428" s="1" t="s">
        <v>9</v>
      </c>
      <c r="F1428" s="6"/>
      <c r="G1428" s="6"/>
      <c r="H1428" s="11"/>
      <c r="I142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28" t="str">
        <f>IF(Table1[[#This Row],[Nationality]]="Nigeria",Table1[[#This Row],[EMJM Scholarship]],"Not Applicable")</f>
        <v>Not Applicable</v>
      </c>
    </row>
    <row r="1429" spans="1:10" ht="19.25" hidden="1" customHeight="1" x14ac:dyDescent="0.3">
      <c r="A1429" s="8">
        <v>2487141</v>
      </c>
      <c r="B1429" s="6" t="s">
        <v>80</v>
      </c>
      <c r="C1429" s="1" t="s">
        <v>9</v>
      </c>
      <c r="D1429" s="1" t="s">
        <v>9</v>
      </c>
      <c r="E1429" s="1" t="s">
        <v>9</v>
      </c>
      <c r="F1429" s="6"/>
      <c r="G1429" s="6"/>
      <c r="H1429" s="11"/>
      <c r="I142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29" t="str">
        <f>IF(Table1[[#This Row],[Nationality]]="Nigeria",Table1[[#This Row],[EMJM Scholarship]],"Not Applicable")</f>
        <v>Not Applicable</v>
      </c>
    </row>
    <row r="1430" spans="1:10" ht="19.25" hidden="1" customHeight="1" x14ac:dyDescent="0.3">
      <c r="A1430" s="8">
        <v>2487143</v>
      </c>
      <c r="B1430" s="6" t="s">
        <v>80</v>
      </c>
      <c r="C1430" s="1" t="s">
        <v>9</v>
      </c>
      <c r="D1430" s="1" t="s">
        <v>9</v>
      </c>
      <c r="E1430" s="1" t="s">
        <v>9</v>
      </c>
      <c r="F1430" s="6"/>
      <c r="G1430" s="6"/>
      <c r="H1430" s="11"/>
      <c r="I143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30" t="str">
        <f>IF(Table1[[#This Row],[Nationality]]="Nigeria",Table1[[#This Row],[EMJM Scholarship]],"Not Applicable")</f>
        <v>Not Applicable</v>
      </c>
    </row>
    <row r="1431" spans="1:10" ht="19.25" hidden="1" customHeight="1" x14ac:dyDescent="0.3">
      <c r="A1431" s="8">
        <v>2487250</v>
      </c>
      <c r="B1431" s="6" t="s">
        <v>80</v>
      </c>
      <c r="C1431" s="1" t="s">
        <v>9</v>
      </c>
      <c r="D1431" s="1" t="s">
        <v>9</v>
      </c>
      <c r="E1431" s="1" t="s">
        <v>9</v>
      </c>
      <c r="F1431" s="6"/>
      <c r="G1431" s="6"/>
      <c r="H1431" s="11"/>
      <c r="I143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31" t="str">
        <f>IF(Table1[[#This Row],[Nationality]]="Nigeria",Table1[[#This Row],[EMJM Scholarship]],"Not Applicable")</f>
        <v>Not Applicable</v>
      </c>
    </row>
    <row r="1432" spans="1:10" ht="19.25" hidden="1" customHeight="1" x14ac:dyDescent="0.3">
      <c r="A1432" s="8">
        <v>2487260</v>
      </c>
      <c r="B1432" s="6" t="s">
        <v>80</v>
      </c>
      <c r="C1432" s="1" t="s">
        <v>9</v>
      </c>
      <c r="D1432" s="1" t="s">
        <v>9</v>
      </c>
      <c r="E1432" s="1" t="s">
        <v>9</v>
      </c>
      <c r="F1432" s="6"/>
      <c r="G1432" s="6"/>
      <c r="H1432" s="11"/>
      <c r="I143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32" t="str">
        <f>IF(Table1[[#This Row],[Nationality]]="Nigeria",Table1[[#This Row],[EMJM Scholarship]],"Not Applicable")</f>
        <v>Not Applicable</v>
      </c>
    </row>
    <row r="1433" spans="1:10" ht="19.25" hidden="1" customHeight="1" x14ac:dyDescent="0.3">
      <c r="A1433" s="8">
        <v>2487281</v>
      </c>
      <c r="B1433" s="6" t="s">
        <v>80</v>
      </c>
      <c r="C1433" s="1" t="s">
        <v>9</v>
      </c>
      <c r="D1433" s="1" t="s">
        <v>9</v>
      </c>
      <c r="E1433" s="1" t="s">
        <v>9</v>
      </c>
      <c r="F1433" s="6"/>
      <c r="G1433" s="6"/>
      <c r="H1433" s="11"/>
      <c r="I143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33" t="str">
        <f>IF(Table1[[#This Row],[Nationality]]="Nigeria",Table1[[#This Row],[EMJM Scholarship]],"Not Applicable")</f>
        <v>Not Applicable</v>
      </c>
    </row>
    <row r="1434" spans="1:10" ht="19.25" hidden="1" customHeight="1" x14ac:dyDescent="0.3">
      <c r="A1434" s="8">
        <v>2487288</v>
      </c>
      <c r="B1434" s="6" t="s">
        <v>80</v>
      </c>
      <c r="C1434" s="1" t="s">
        <v>9</v>
      </c>
      <c r="D1434" s="1" t="s">
        <v>9</v>
      </c>
      <c r="E1434" s="1" t="s">
        <v>9</v>
      </c>
      <c r="F1434" s="6"/>
      <c r="G1434" s="6"/>
      <c r="H1434" s="11"/>
      <c r="I143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34" t="str">
        <f>IF(Table1[[#This Row],[Nationality]]="Nigeria",Table1[[#This Row],[EMJM Scholarship]],"Not Applicable")</f>
        <v>Not Applicable</v>
      </c>
    </row>
    <row r="1435" spans="1:10" ht="19.25" hidden="1" customHeight="1" x14ac:dyDescent="0.3">
      <c r="A1435" s="8">
        <v>2487312</v>
      </c>
      <c r="B1435" s="6" t="s">
        <v>80</v>
      </c>
      <c r="C1435" s="1" t="s">
        <v>9</v>
      </c>
      <c r="D1435" s="1" t="s">
        <v>9</v>
      </c>
      <c r="E1435" s="1" t="s">
        <v>9</v>
      </c>
      <c r="F1435" s="6"/>
      <c r="G1435" s="6"/>
      <c r="H1435" s="11"/>
      <c r="I143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35" t="str">
        <f>IF(Table1[[#This Row],[Nationality]]="Nigeria",Table1[[#This Row],[EMJM Scholarship]],"Not Applicable")</f>
        <v>Not Applicable</v>
      </c>
    </row>
    <row r="1436" spans="1:10" ht="19.25" hidden="1" customHeight="1" x14ac:dyDescent="0.3">
      <c r="A1436" s="8">
        <v>2487314</v>
      </c>
      <c r="B1436" s="6" t="s">
        <v>80</v>
      </c>
      <c r="C1436" s="1" t="s">
        <v>9</v>
      </c>
      <c r="D1436" s="1" t="s">
        <v>9</v>
      </c>
      <c r="E1436" s="1" t="s">
        <v>9</v>
      </c>
      <c r="F1436" s="6"/>
      <c r="G1436" s="6"/>
      <c r="H1436" s="11"/>
      <c r="I143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36" t="str">
        <f>IF(Table1[[#This Row],[Nationality]]="Nigeria",Table1[[#This Row],[EMJM Scholarship]],"Not Applicable")</f>
        <v>Not Applicable</v>
      </c>
    </row>
    <row r="1437" spans="1:10" ht="19.25" hidden="1" customHeight="1" x14ac:dyDescent="0.3">
      <c r="A1437" s="8">
        <v>2487422</v>
      </c>
      <c r="B1437" s="6" t="s">
        <v>80</v>
      </c>
      <c r="C1437" s="1" t="s">
        <v>9</v>
      </c>
      <c r="D1437" s="1" t="s">
        <v>9</v>
      </c>
      <c r="E1437" s="1" t="s">
        <v>9</v>
      </c>
      <c r="F1437" s="6"/>
      <c r="G1437" s="6"/>
      <c r="H1437" s="11"/>
      <c r="I143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37" t="str">
        <f>IF(Table1[[#This Row],[Nationality]]="Nigeria",Table1[[#This Row],[EMJM Scholarship]],"Not Applicable")</f>
        <v>Not Applicable</v>
      </c>
    </row>
    <row r="1438" spans="1:10" ht="19.25" hidden="1" customHeight="1" x14ac:dyDescent="0.3">
      <c r="A1438" s="8">
        <v>2487429</v>
      </c>
      <c r="B1438" s="6" t="s">
        <v>80</v>
      </c>
      <c r="C1438" s="1" t="s">
        <v>9</v>
      </c>
      <c r="D1438" s="1" t="s">
        <v>9</v>
      </c>
      <c r="E1438" s="1" t="s">
        <v>9</v>
      </c>
      <c r="F1438" s="6"/>
      <c r="G1438" s="6"/>
      <c r="H1438" s="11"/>
      <c r="I143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38" t="str">
        <f>IF(Table1[[#This Row],[Nationality]]="Nigeria",Table1[[#This Row],[EMJM Scholarship]],"Not Applicable")</f>
        <v>Not Applicable</v>
      </c>
    </row>
    <row r="1439" spans="1:10" ht="19.25" hidden="1" customHeight="1" x14ac:dyDescent="0.3">
      <c r="A1439" s="8">
        <v>2487621</v>
      </c>
      <c r="B1439" s="6" t="s">
        <v>80</v>
      </c>
      <c r="C1439" s="1" t="s">
        <v>9</v>
      </c>
      <c r="D1439" s="1" t="s">
        <v>9</v>
      </c>
      <c r="E1439" s="1" t="s">
        <v>9</v>
      </c>
      <c r="F1439" s="6"/>
      <c r="G1439" s="6"/>
      <c r="H1439" s="11"/>
      <c r="I143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39" t="str">
        <f>IF(Table1[[#This Row],[Nationality]]="Nigeria",Table1[[#This Row],[EMJM Scholarship]],"Not Applicable")</f>
        <v>Not Applicable</v>
      </c>
    </row>
    <row r="1440" spans="1:10" ht="19.25" hidden="1" customHeight="1" x14ac:dyDescent="0.3">
      <c r="A1440" s="8">
        <v>2487696</v>
      </c>
      <c r="B1440" s="6" t="s">
        <v>80</v>
      </c>
      <c r="C1440" s="1" t="s">
        <v>9</v>
      </c>
      <c r="D1440" s="1" t="s">
        <v>9</v>
      </c>
      <c r="E1440" s="1" t="s">
        <v>9</v>
      </c>
      <c r="F1440" s="6"/>
      <c r="G1440" s="6"/>
      <c r="H1440" s="11"/>
      <c r="I144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40" t="str">
        <f>IF(Table1[[#This Row],[Nationality]]="Nigeria",Table1[[#This Row],[EMJM Scholarship]],"Not Applicable")</f>
        <v>Not Applicable</v>
      </c>
    </row>
    <row r="1441" spans="1:10" ht="19.25" hidden="1" customHeight="1" x14ac:dyDescent="0.3">
      <c r="A1441" s="8">
        <v>2488082</v>
      </c>
      <c r="B1441" s="6" t="s">
        <v>80</v>
      </c>
      <c r="C1441" s="1" t="s">
        <v>9</v>
      </c>
      <c r="D1441" s="1" t="s">
        <v>9</v>
      </c>
      <c r="E1441" s="1" t="s">
        <v>9</v>
      </c>
      <c r="F1441" s="6"/>
      <c r="G1441" s="6"/>
      <c r="H1441" s="11"/>
      <c r="I144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41" t="str">
        <f>IF(Table1[[#This Row],[Nationality]]="Nigeria",Table1[[#This Row],[EMJM Scholarship]],"Not Applicable")</f>
        <v>Not Applicable</v>
      </c>
    </row>
    <row r="1442" spans="1:10" ht="19.25" hidden="1" customHeight="1" x14ac:dyDescent="0.3">
      <c r="A1442" s="8">
        <v>2488111</v>
      </c>
      <c r="B1442" s="6" t="s">
        <v>80</v>
      </c>
      <c r="C1442" s="1" t="s">
        <v>9</v>
      </c>
      <c r="D1442" s="1" t="s">
        <v>9</v>
      </c>
      <c r="E1442" s="1" t="s">
        <v>9</v>
      </c>
      <c r="F1442" s="6"/>
      <c r="G1442" s="6"/>
      <c r="H1442" s="11"/>
      <c r="I144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42" t="str">
        <f>IF(Table1[[#This Row],[Nationality]]="Nigeria",Table1[[#This Row],[EMJM Scholarship]],"Not Applicable")</f>
        <v>Not Applicable</v>
      </c>
    </row>
    <row r="1443" spans="1:10" ht="19.25" hidden="1" customHeight="1" x14ac:dyDescent="0.3">
      <c r="A1443" s="8">
        <v>2488143</v>
      </c>
      <c r="B1443" s="6" t="s">
        <v>80</v>
      </c>
      <c r="C1443" s="1" t="s">
        <v>9</v>
      </c>
      <c r="D1443" s="1" t="s">
        <v>9</v>
      </c>
      <c r="E1443" s="1" t="s">
        <v>9</v>
      </c>
      <c r="F1443" s="6"/>
      <c r="G1443" s="6"/>
      <c r="H1443" s="11"/>
      <c r="I144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43" t="str">
        <f>IF(Table1[[#This Row],[Nationality]]="Nigeria",Table1[[#This Row],[EMJM Scholarship]],"Not Applicable")</f>
        <v>Not Applicable</v>
      </c>
    </row>
    <row r="1444" spans="1:10" ht="19.25" hidden="1" customHeight="1" x14ac:dyDescent="0.3">
      <c r="A1444" s="8">
        <v>2488253</v>
      </c>
      <c r="B1444" s="6" t="s">
        <v>80</v>
      </c>
      <c r="C1444" s="1" t="s">
        <v>9</v>
      </c>
      <c r="D1444" s="1" t="s">
        <v>9</v>
      </c>
      <c r="E1444" s="1" t="s">
        <v>9</v>
      </c>
      <c r="F1444" s="6"/>
      <c r="G1444" s="6"/>
      <c r="H1444" s="11"/>
      <c r="I144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44" t="str">
        <f>IF(Table1[[#This Row],[Nationality]]="Nigeria",Table1[[#This Row],[EMJM Scholarship]],"Not Applicable")</f>
        <v>Not Applicable</v>
      </c>
    </row>
    <row r="1445" spans="1:10" ht="19.25" hidden="1" customHeight="1" x14ac:dyDescent="0.3">
      <c r="A1445" s="8">
        <v>2488281</v>
      </c>
      <c r="B1445" s="6" t="s">
        <v>80</v>
      </c>
      <c r="C1445" s="1" t="s">
        <v>9</v>
      </c>
      <c r="D1445" s="1" t="s">
        <v>9</v>
      </c>
      <c r="E1445" s="1" t="s">
        <v>9</v>
      </c>
      <c r="F1445" s="6"/>
      <c r="G1445" s="6"/>
      <c r="H1445" s="11"/>
      <c r="I144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45" t="str">
        <f>IF(Table1[[#This Row],[Nationality]]="Nigeria",Table1[[#This Row],[EMJM Scholarship]],"Not Applicable")</f>
        <v>Not Applicable</v>
      </c>
    </row>
    <row r="1446" spans="1:10" ht="19.25" hidden="1" customHeight="1" x14ac:dyDescent="0.3">
      <c r="A1446" s="8">
        <v>2488307</v>
      </c>
      <c r="B1446" s="6" t="s">
        <v>80</v>
      </c>
      <c r="C1446" s="1" t="s">
        <v>9</v>
      </c>
      <c r="D1446" s="1" t="s">
        <v>9</v>
      </c>
      <c r="E1446" s="1" t="s">
        <v>9</v>
      </c>
      <c r="F1446" s="6"/>
      <c r="G1446" s="6"/>
      <c r="H1446" s="11"/>
      <c r="I144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46" t="str">
        <f>IF(Table1[[#This Row],[Nationality]]="Nigeria",Table1[[#This Row],[EMJM Scholarship]],"Not Applicable")</f>
        <v>Not Applicable</v>
      </c>
    </row>
    <row r="1447" spans="1:10" ht="19.25" hidden="1" customHeight="1" x14ac:dyDescent="0.3">
      <c r="A1447" s="8">
        <v>2488585</v>
      </c>
      <c r="B1447" s="6" t="s">
        <v>80</v>
      </c>
      <c r="C1447" s="1" t="s">
        <v>9</v>
      </c>
      <c r="D1447" s="1" t="s">
        <v>9</v>
      </c>
      <c r="E1447" s="1" t="s">
        <v>9</v>
      </c>
      <c r="F1447" s="6"/>
      <c r="G1447" s="6"/>
      <c r="H1447" s="11"/>
      <c r="I144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47" t="str">
        <f>IF(Table1[[#This Row],[Nationality]]="Nigeria",Table1[[#This Row],[EMJM Scholarship]],"Not Applicable")</f>
        <v>Not Applicable</v>
      </c>
    </row>
    <row r="1448" spans="1:10" ht="19.25" hidden="1" customHeight="1" x14ac:dyDescent="0.3">
      <c r="A1448" s="8">
        <v>2488815</v>
      </c>
      <c r="B1448" s="6" t="s">
        <v>80</v>
      </c>
      <c r="C1448" s="1" t="s">
        <v>9</v>
      </c>
      <c r="D1448" s="1" t="s">
        <v>9</v>
      </c>
      <c r="E1448" s="1" t="s">
        <v>9</v>
      </c>
      <c r="F1448" s="6"/>
      <c r="G1448" s="6"/>
      <c r="H1448" s="11"/>
      <c r="I144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48" t="str">
        <f>IF(Table1[[#This Row],[Nationality]]="Nigeria",Table1[[#This Row],[EMJM Scholarship]],"Not Applicable")</f>
        <v>Not Applicable</v>
      </c>
    </row>
    <row r="1449" spans="1:10" ht="19.25" hidden="1" customHeight="1" x14ac:dyDescent="0.3">
      <c r="A1449" s="8">
        <v>2488916</v>
      </c>
      <c r="B1449" s="6" t="s">
        <v>80</v>
      </c>
      <c r="C1449" s="1" t="s">
        <v>9</v>
      </c>
      <c r="D1449" s="1" t="s">
        <v>9</v>
      </c>
      <c r="E1449" s="1" t="s">
        <v>9</v>
      </c>
      <c r="F1449" s="6"/>
      <c r="G1449" s="6"/>
      <c r="H1449" s="11"/>
      <c r="I144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49" t="str">
        <f>IF(Table1[[#This Row],[Nationality]]="Nigeria",Table1[[#This Row],[EMJM Scholarship]],"Not Applicable")</f>
        <v>Not Applicable</v>
      </c>
    </row>
    <row r="1450" spans="1:10" ht="19.25" hidden="1" customHeight="1" x14ac:dyDescent="0.3">
      <c r="A1450" s="8">
        <v>2488953</v>
      </c>
      <c r="B1450" s="6" t="s">
        <v>80</v>
      </c>
      <c r="C1450" s="1" t="s">
        <v>9</v>
      </c>
      <c r="D1450" s="1" t="s">
        <v>9</v>
      </c>
      <c r="E1450" s="1" t="s">
        <v>9</v>
      </c>
      <c r="F1450" s="6"/>
      <c r="G1450" s="6"/>
      <c r="H1450" s="11"/>
      <c r="I145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50" t="str">
        <f>IF(Table1[[#This Row],[Nationality]]="Nigeria",Table1[[#This Row],[EMJM Scholarship]],"Not Applicable")</f>
        <v>Not Applicable</v>
      </c>
    </row>
    <row r="1451" spans="1:10" ht="19.25" hidden="1" customHeight="1" x14ac:dyDescent="0.3">
      <c r="A1451" s="8">
        <v>2488954</v>
      </c>
      <c r="B1451" s="6" t="s">
        <v>80</v>
      </c>
      <c r="C1451" s="1" t="s">
        <v>9</v>
      </c>
      <c r="D1451" s="1" t="s">
        <v>9</v>
      </c>
      <c r="E1451" s="1" t="s">
        <v>9</v>
      </c>
      <c r="F1451" s="6"/>
      <c r="G1451" s="6"/>
      <c r="H1451" s="11"/>
      <c r="I145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51" t="str">
        <f>IF(Table1[[#This Row],[Nationality]]="Nigeria",Table1[[#This Row],[EMJM Scholarship]],"Not Applicable")</f>
        <v>Not Applicable</v>
      </c>
    </row>
    <row r="1452" spans="1:10" ht="19.25" hidden="1" customHeight="1" x14ac:dyDescent="0.3">
      <c r="A1452" s="8">
        <v>2489007</v>
      </c>
      <c r="B1452" s="6" t="s">
        <v>80</v>
      </c>
      <c r="C1452" s="1" t="s">
        <v>9</v>
      </c>
      <c r="D1452" s="1" t="s">
        <v>9</v>
      </c>
      <c r="E1452" s="1" t="s">
        <v>9</v>
      </c>
      <c r="F1452" s="6"/>
      <c r="G1452" s="6"/>
      <c r="H1452" s="11"/>
      <c r="I145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52" t="str">
        <f>IF(Table1[[#This Row],[Nationality]]="Nigeria",Table1[[#This Row],[EMJM Scholarship]],"Not Applicable")</f>
        <v>Not Applicable</v>
      </c>
    </row>
    <row r="1453" spans="1:10" ht="19.25" hidden="1" customHeight="1" x14ac:dyDescent="0.3">
      <c r="A1453" s="8">
        <v>2489038</v>
      </c>
      <c r="B1453" s="6" t="s">
        <v>80</v>
      </c>
      <c r="C1453" s="1" t="s">
        <v>9</v>
      </c>
      <c r="D1453" s="1" t="s">
        <v>9</v>
      </c>
      <c r="E1453" s="1" t="s">
        <v>9</v>
      </c>
      <c r="F1453" s="6"/>
      <c r="G1453" s="6"/>
      <c r="H1453" s="11"/>
      <c r="I145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53" t="str">
        <f>IF(Table1[[#This Row],[Nationality]]="Nigeria",Table1[[#This Row],[EMJM Scholarship]],"Not Applicable")</f>
        <v>Not Applicable</v>
      </c>
    </row>
    <row r="1454" spans="1:10" ht="19.25" hidden="1" customHeight="1" x14ac:dyDescent="0.3">
      <c r="A1454" s="8">
        <v>2489108</v>
      </c>
      <c r="B1454" s="6" t="s">
        <v>80</v>
      </c>
      <c r="C1454" s="1" t="s">
        <v>9</v>
      </c>
      <c r="D1454" s="1" t="s">
        <v>9</v>
      </c>
      <c r="E1454" s="1" t="s">
        <v>9</v>
      </c>
      <c r="F1454" s="6"/>
      <c r="G1454" s="6"/>
      <c r="H1454" s="11"/>
      <c r="I145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54" t="str">
        <f>IF(Table1[[#This Row],[Nationality]]="Nigeria",Table1[[#This Row],[EMJM Scholarship]],"Not Applicable")</f>
        <v>Not Applicable</v>
      </c>
    </row>
    <row r="1455" spans="1:10" ht="19.25" hidden="1" customHeight="1" x14ac:dyDescent="0.3">
      <c r="A1455" s="8">
        <v>2489240</v>
      </c>
      <c r="B1455" s="6" t="s">
        <v>80</v>
      </c>
      <c r="C1455" s="1" t="s">
        <v>9</v>
      </c>
      <c r="D1455" s="1" t="s">
        <v>9</v>
      </c>
      <c r="E1455" s="1" t="s">
        <v>9</v>
      </c>
      <c r="F1455" s="6"/>
      <c r="G1455" s="6"/>
      <c r="H1455" s="11"/>
      <c r="I145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55" t="str">
        <f>IF(Table1[[#This Row],[Nationality]]="Nigeria",Table1[[#This Row],[EMJM Scholarship]],"Not Applicable")</f>
        <v>Not Applicable</v>
      </c>
    </row>
    <row r="1456" spans="1:10" ht="19.25" hidden="1" customHeight="1" x14ac:dyDescent="0.3">
      <c r="A1456" s="8">
        <v>2489253</v>
      </c>
      <c r="B1456" s="6" t="s">
        <v>80</v>
      </c>
      <c r="C1456" s="1" t="s">
        <v>9</v>
      </c>
      <c r="D1456" s="1" t="s">
        <v>9</v>
      </c>
      <c r="E1456" s="1" t="s">
        <v>9</v>
      </c>
      <c r="F1456" s="6"/>
      <c r="G1456" s="6"/>
      <c r="H1456" s="11"/>
      <c r="I145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56" t="str">
        <f>IF(Table1[[#This Row],[Nationality]]="Nigeria",Table1[[#This Row],[EMJM Scholarship]],"Not Applicable")</f>
        <v>Not Applicable</v>
      </c>
    </row>
    <row r="1457" spans="1:10" ht="19.25" hidden="1" customHeight="1" x14ac:dyDescent="0.3">
      <c r="A1457" s="8">
        <v>2489269</v>
      </c>
      <c r="B1457" s="6" t="s">
        <v>80</v>
      </c>
      <c r="C1457" s="1" t="s">
        <v>9</v>
      </c>
      <c r="D1457" s="1" t="s">
        <v>9</v>
      </c>
      <c r="E1457" s="1" t="s">
        <v>9</v>
      </c>
      <c r="F1457" s="6"/>
      <c r="G1457" s="6"/>
      <c r="H1457" s="11"/>
      <c r="I145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57" t="str">
        <f>IF(Table1[[#This Row],[Nationality]]="Nigeria",Table1[[#This Row],[EMJM Scholarship]],"Not Applicable")</f>
        <v>Not Applicable</v>
      </c>
    </row>
    <row r="1458" spans="1:10" ht="19.25" hidden="1" customHeight="1" x14ac:dyDescent="0.3">
      <c r="A1458" s="8">
        <v>2489301</v>
      </c>
      <c r="B1458" s="6" t="s">
        <v>80</v>
      </c>
      <c r="C1458" s="1" t="s">
        <v>9</v>
      </c>
      <c r="D1458" s="1" t="s">
        <v>9</v>
      </c>
      <c r="E1458" s="1" t="s">
        <v>9</v>
      </c>
      <c r="F1458" s="6"/>
      <c r="G1458" s="6"/>
      <c r="H1458" s="11"/>
      <c r="I145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58" t="str">
        <f>IF(Table1[[#This Row],[Nationality]]="Nigeria",Table1[[#This Row],[EMJM Scholarship]],"Not Applicable")</f>
        <v>Not Applicable</v>
      </c>
    </row>
    <row r="1459" spans="1:10" ht="19.25" hidden="1" customHeight="1" x14ac:dyDescent="0.3">
      <c r="A1459" s="8">
        <v>2489305</v>
      </c>
      <c r="B1459" s="6" t="s">
        <v>80</v>
      </c>
      <c r="C1459" s="1" t="s">
        <v>9</v>
      </c>
      <c r="D1459" s="1" t="s">
        <v>9</v>
      </c>
      <c r="E1459" s="1" t="s">
        <v>9</v>
      </c>
      <c r="F1459" s="6"/>
      <c r="G1459" s="6"/>
      <c r="H1459" s="11"/>
      <c r="I145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59" t="str">
        <f>IF(Table1[[#This Row],[Nationality]]="Nigeria",Table1[[#This Row],[EMJM Scholarship]],"Not Applicable")</f>
        <v>Not Applicable</v>
      </c>
    </row>
    <row r="1460" spans="1:10" ht="19.25" hidden="1" customHeight="1" x14ac:dyDescent="0.3">
      <c r="A1460" s="8">
        <v>2489316</v>
      </c>
      <c r="B1460" s="6" t="s">
        <v>80</v>
      </c>
      <c r="C1460" s="1" t="s">
        <v>9</v>
      </c>
      <c r="D1460" s="1" t="s">
        <v>9</v>
      </c>
      <c r="E1460" s="1" t="s">
        <v>9</v>
      </c>
      <c r="F1460" s="6"/>
      <c r="G1460" s="6"/>
      <c r="H1460" s="11"/>
      <c r="I146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60" t="str">
        <f>IF(Table1[[#This Row],[Nationality]]="Nigeria",Table1[[#This Row],[EMJM Scholarship]],"Not Applicable")</f>
        <v>Not Applicable</v>
      </c>
    </row>
    <row r="1461" spans="1:10" ht="19.25" hidden="1" customHeight="1" x14ac:dyDescent="0.3">
      <c r="A1461" s="8">
        <v>2489342</v>
      </c>
      <c r="B1461" s="6" t="s">
        <v>80</v>
      </c>
      <c r="C1461" s="1" t="s">
        <v>9</v>
      </c>
      <c r="D1461" s="1" t="s">
        <v>9</v>
      </c>
      <c r="E1461" s="1" t="s">
        <v>9</v>
      </c>
      <c r="F1461" s="6"/>
      <c r="G1461" s="6"/>
      <c r="H1461" s="11"/>
      <c r="I146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61" t="str">
        <f>IF(Table1[[#This Row],[Nationality]]="Nigeria",Table1[[#This Row],[EMJM Scholarship]],"Not Applicable")</f>
        <v>Not Applicable</v>
      </c>
    </row>
    <row r="1462" spans="1:10" ht="19.25" hidden="1" customHeight="1" x14ac:dyDescent="0.3">
      <c r="A1462" s="8">
        <v>2489400</v>
      </c>
      <c r="B1462" s="6" t="s">
        <v>80</v>
      </c>
      <c r="C1462" s="1" t="s">
        <v>9</v>
      </c>
      <c r="D1462" s="1" t="s">
        <v>9</v>
      </c>
      <c r="E1462" s="1" t="s">
        <v>9</v>
      </c>
      <c r="F1462" s="6"/>
      <c r="G1462" s="6"/>
      <c r="H1462" s="11"/>
      <c r="I146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62" t="str">
        <f>IF(Table1[[#This Row],[Nationality]]="Nigeria",Table1[[#This Row],[EMJM Scholarship]],"Not Applicable")</f>
        <v>Not Applicable</v>
      </c>
    </row>
    <row r="1463" spans="1:10" ht="19.25" hidden="1" customHeight="1" x14ac:dyDescent="0.3">
      <c r="A1463" s="8">
        <v>2489417</v>
      </c>
      <c r="B1463" s="6" t="s">
        <v>80</v>
      </c>
      <c r="C1463" s="1" t="s">
        <v>9</v>
      </c>
      <c r="D1463" s="1" t="s">
        <v>9</v>
      </c>
      <c r="E1463" s="1" t="s">
        <v>9</v>
      </c>
      <c r="F1463" s="6"/>
      <c r="G1463" s="6"/>
      <c r="H1463" s="11"/>
      <c r="I146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63" t="str">
        <f>IF(Table1[[#This Row],[Nationality]]="Nigeria",Table1[[#This Row],[EMJM Scholarship]],"Not Applicable")</f>
        <v>Not Applicable</v>
      </c>
    </row>
    <row r="1464" spans="1:10" ht="19.25" hidden="1" customHeight="1" x14ac:dyDescent="0.3">
      <c r="A1464" s="8">
        <v>2489425</v>
      </c>
      <c r="B1464" s="6" t="s">
        <v>80</v>
      </c>
      <c r="C1464" s="1" t="s">
        <v>9</v>
      </c>
      <c r="D1464" s="1" t="s">
        <v>9</v>
      </c>
      <c r="E1464" s="1" t="s">
        <v>9</v>
      </c>
      <c r="F1464" s="6"/>
      <c r="G1464" s="6"/>
      <c r="H1464" s="11"/>
      <c r="I146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64" t="str">
        <f>IF(Table1[[#This Row],[Nationality]]="Nigeria",Table1[[#This Row],[EMJM Scholarship]],"Not Applicable")</f>
        <v>Not Applicable</v>
      </c>
    </row>
    <row r="1465" spans="1:10" ht="19.25" hidden="1" customHeight="1" x14ac:dyDescent="0.3">
      <c r="A1465" s="8">
        <v>2489563</v>
      </c>
      <c r="B1465" s="6" t="s">
        <v>80</v>
      </c>
      <c r="C1465" s="1" t="s">
        <v>9</v>
      </c>
      <c r="D1465" s="1" t="s">
        <v>9</v>
      </c>
      <c r="E1465" s="1" t="s">
        <v>9</v>
      </c>
      <c r="F1465" s="6"/>
      <c r="G1465" s="6"/>
      <c r="H1465" s="11"/>
      <c r="I146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65" t="str">
        <f>IF(Table1[[#This Row],[Nationality]]="Nigeria",Table1[[#This Row],[EMJM Scholarship]],"Not Applicable")</f>
        <v>Not Applicable</v>
      </c>
    </row>
    <row r="1466" spans="1:10" ht="19.25" hidden="1" customHeight="1" x14ac:dyDescent="0.3">
      <c r="A1466" s="8">
        <v>2489588</v>
      </c>
      <c r="B1466" s="6" t="s">
        <v>80</v>
      </c>
      <c r="C1466" s="1" t="s">
        <v>9</v>
      </c>
      <c r="D1466" s="1" t="s">
        <v>9</v>
      </c>
      <c r="E1466" s="1" t="s">
        <v>9</v>
      </c>
      <c r="F1466" s="6"/>
      <c r="G1466" s="6"/>
      <c r="H1466" s="11"/>
      <c r="I146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66" t="str">
        <f>IF(Table1[[#This Row],[Nationality]]="Nigeria",Table1[[#This Row],[EMJM Scholarship]],"Not Applicable")</f>
        <v>Not Applicable</v>
      </c>
    </row>
    <row r="1467" spans="1:10" ht="19.25" hidden="1" customHeight="1" x14ac:dyDescent="0.3">
      <c r="A1467" s="8">
        <v>2489594</v>
      </c>
      <c r="B1467" s="6" t="s">
        <v>80</v>
      </c>
      <c r="C1467" s="1" t="s">
        <v>9</v>
      </c>
      <c r="D1467" s="1" t="s">
        <v>9</v>
      </c>
      <c r="E1467" s="1" t="s">
        <v>9</v>
      </c>
      <c r="F1467" s="6"/>
      <c r="G1467" s="6"/>
      <c r="H1467" s="11"/>
      <c r="I146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67" t="str">
        <f>IF(Table1[[#This Row],[Nationality]]="Nigeria",Table1[[#This Row],[EMJM Scholarship]],"Not Applicable")</f>
        <v>Not Applicable</v>
      </c>
    </row>
    <row r="1468" spans="1:10" ht="19.25" hidden="1" customHeight="1" x14ac:dyDescent="0.3">
      <c r="A1468" s="8">
        <v>2489626</v>
      </c>
      <c r="B1468" s="6" t="s">
        <v>80</v>
      </c>
      <c r="C1468" s="1" t="s">
        <v>9</v>
      </c>
      <c r="D1468" s="1" t="s">
        <v>9</v>
      </c>
      <c r="E1468" s="1" t="s">
        <v>9</v>
      </c>
      <c r="F1468" s="6"/>
      <c r="G1468" s="6"/>
      <c r="H1468" s="11"/>
      <c r="I146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68" t="str">
        <f>IF(Table1[[#This Row],[Nationality]]="Nigeria",Table1[[#This Row],[EMJM Scholarship]],"Not Applicable")</f>
        <v>Not Applicable</v>
      </c>
    </row>
    <row r="1469" spans="1:10" ht="19.25" hidden="1" customHeight="1" x14ac:dyDescent="0.3">
      <c r="A1469" s="8">
        <v>2489647</v>
      </c>
      <c r="B1469" s="6" t="s">
        <v>80</v>
      </c>
      <c r="C1469" s="1" t="s">
        <v>9</v>
      </c>
      <c r="D1469" s="1" t="s">
        <v>9</v>
      </c>
      <c r="E1469" s="1" t="s">
        <v>9</v>
      </c>
      <c r="F1469" s="6"/>
      <c r="G1469" s="6"/>
      <c r="H1469" s="11"/>
      <c r="I146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69" t="str">
        <f>IF(Table1[[#This Row],[Nationality]]="Nigeria",Table1[[#This Row],[EMJM Scholarship]],"Not Applicable")</f>
        <v>Not Applicable</v>
      </c>
    </row>
    <row r="1470" spans="1:10" ht="19.25" hidden="1" customHeight="1" x14ac:dyDescent="0.3">
      <c r="A1470" s="8">
        <v>2489705</v>
      </c>
      <c r="B1470" s="6" t="s">
        <v>80</v>
      </c>
      <c r="C1470" s="1" t="s">
        <v>9</v>
      </c>
      <c r="D1470" s="1" t="s">
        <v>9</v>
      </c>
      <c r="E1470" s="1" t="s">
        <v>9</v>
      </c>
      <c r="F1470" s="6"/>
      <c r="G1470" s="6"/>
      <c r="H1470" s="11"/>
      <c r="I147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70" t="str">
        <f>IF(Table1[[#This Row],[Nationality]]="Nigeria",Table1[[#This Row],[EMJM Scholarship]],"Not Applicable")</f>
        <v>Not Applicable</v>
      </c>
    </row>
    <row r="1471" spans="1:10" ht="19.25" hidden="1" customHeight="1" x14ac:dyDescent="0.3">
      <c r="A1471" s="8">
        <v>2489767</v>
      </c>
      <c r="B1471" s="6" t="s">
        <v>80</v>
      </c>
      <c r="C1471" s="1" t="s">
        <v>9</v>
      </c>
      <c r="D1471" s="1" t="s">
        <v>9</v>
      </c>
      <c r="E1471" s="1" t="s">
        <v>9</v>
      </c>
      <c r="F1471" s="6"/>
      <c r="G1471" s="6"/>
      <c r="H1471" s="11"/>
      <c r="I147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71" t="str">
        <f>IF(Table1[[#This Row],[Nationality]]="Nigeria",Table1[[#This Row],[EMJM Scholarship]],"Not Applicable")</f>
        <v>Not Applicable</v>
      </c>
    </row>
    <row r="1472" spans="1:10" ht="19.25" hidden="1" customHeight="1" x14ac:dyDescent="0.3">
      <c r="A1472" s="8">
        <v>2489778</v>
      </c>
      <c r="B1472" s="6" t="s">
        <v>80</v>
      </c>
      <c r="C1472" s="1" t="s">
        <v>9</v>
      </c>
      <c r="D1472" s="1" t="s">
        <v>9</v>
      </c>
      <c r="E1472" s="1" t="s">
        <v>9</v>
      </c>
      <c r="F1472" s="6"/>
      <c r="G1472" s="6"/>
      <c r="H1472" s="11"/>
      <c r="I147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72" t="str">
        <f>IF(Table1[[#This Row],[Nationality]]="Nigeria",Table1[[#This Row],[EMJM Scholarship]],"Not Applicable")</f>
        <v>Not Applicable</v>
      </c>
    </row>
    <row r="1473" spans="1:10" ht="19.25" hidden="1" customHeight="1" x14ac:dyDescent="0.3">
      <c r="A1473" s="8">
        <v>2489791</v>
      </c>
      <c r="B1473" s="6" t="s">
        <v>80</v>
      </c>
      <c r="C1473" s="1" t="s">
        <v>9</v>
      </c>
      <c r="D1473" s="1" t="s">
        <v>9</v>
      </c>
      <c r="E1473" s="1" t="s">
        <v>9</v>
      </c>
      <c r="F1473" s="6"/>
      <c r="G1473" s="6"/>
      <c r="H1473" s="11"/>
      <c r="I147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73" t="str">
        <f>IF(Table1[[#This Row],[Nationality]]="Nigeria",Table1[[#This Row],[EMJM Scholarship]],"Not Applicable")</f>
        <v>Not Applicable</v>
      </c>
    </row>
    <row r="1474" spans="1:10" ht="19.25" hidden="1" customHeight="1" x14ac:dyDescent="0.3">
      <c r="A1474" s="8">
        <v>2489813</v>
      </c>
      <c r="B1474" s="6" t="s">
        <v>80</v>
      </c>
      <c r="C1474" s="1" t="s">
        <v>9</v>
      </c>
      <c r="D1474" s="1" t="s">
        <v>9</v>
      </c>
      <c r="E1474" s="1" t="s">
        <v>9</v>
      </c>
      <c r="F1474" s="6"/>
      <c r="G1474" s="6"/>
      <c r="H1474" s="11"/>
      <c r="I147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74" t="str">
        <f>IF(Table1[[#This Row],[Nationality]]="Nigeria",Table1[[#This Row],[EMJM Scholarship]],"Not Applicable")</f>
        <v>Not Applicable</v>
      </c>
    </row>
    <row r="1475" spans="1:10" ht="19.25" hidden="1" customHeight="1" x14ac:dyDescent="0.3">
      <c r="A1475" s="8">
        <v>2489841</v>
      </c>
      <c r="B1475" s="6" t="s">
        <v>80</v>
      </c>
      <c r="C1475" s="1" t="s">
        <v>9</v>
      </c>
      <c r="D1475" s="1" t="s">
        <v>9</v>
      </c>
      <c r="E1475" s="1" t="s">
        <v>9</v>
      </c>
      <c r="F1475" s="6"/>
      <c r="G1475" s="6"/>
      <c r="H1475" s="11"/>
      <c r="I147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75" t="str">
        <f>IF(Table1[[#This Row],[Nationality]]="Nigeria",Table1[[#This Row],[EMJM Scholarship]],"Not Applicable")</f>
        <v>Not Applicable</v>
      </c>
    </row>
    <row r="1476" spans="1:10" ht="19.25" hidden="1" customHeight="1" x14ac:dyDescent="0.3">
      <c r="A1476" s="8">
        <v>2489852</v>
      </c>
      <c r="B1476" s="6" t="s">
        <v>80</v>
      </c>
      <c r="C1476" s="1" t="s">
        <v>9</v>
      </c>
      <c r="D1476" s="1" t="s">
        <v>9</v>
      </c>
      <c r="E1476" s="1" t="s">
        <v>9</v>
      </c>
      <c r="F1476" s="6"/>
      <c r="G1476" s="6"/>
      <c r="H1476" s="11"/>
      <c r="I147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76" t="str">
        <f>IF(Table1[[#This Row],[Nationality]]="Nigeria",Table1[[#This Row],[EMJM Scholarship]],"Not Applicable")</f>
        <v>Not Applicable</v>
      </c>
    </row>
    <row r="1477" spans="1:10" ht="19.25" hidden="1" customHeight="1" x14ac:dyDescent="0.3">
      <c r="A1477" s="8">
        <v>2489863</v>
      </c>
      <c r="B1477" s="6" t="s">
        <v>80</v>
      </c>
      <c r="C1477" s="1" t="s">
        <v>9</v>
      </c>
      <c r="D1477" s="1" t="s">
        <v>9</v>
      </c>
      <c r="E1477" s="1" t="s">
        <v>9</v>
      </c>
      <c r="F1477" s="6"/>
      <c r="G1477" s="6"/>
      <c r="H1477" s="11"/>
      <c r="I147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77" t="str">
        <f>IF(Table1[[#This Row],[Nationality]]="Nigeria",Table1[[#This Row],[EMJM Scholarship]],"Not Applicable")</f>
        <v>Not Applicable</v>
      </c>
    </row>
    <row r="1478" spans="1:10" ht="19.25" hidden="1" customHeight="1" x14ac:dyDescent="0.3">
      <c r="A1478" s="8">
        <v>2489872</v>
      </c>
      <c r="B1478" s="6" t="s">
        <v>80</v>
      </c>
      <c r="C1478" s="1" t="s">
        <v>9</v>
      </c>
      <c r="D1478" s="1" t="s">
        <v>9</v>
      </c>
      <c r="E1478" s="1" t="s">
        <v>9</v>
      </c>
      <c r="F1478" s="6"/>
      <c r="G1478" s="6"/>
      <c r="H1478" s="11"/>
      <c r="I147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78" t="str">
        <f>IF(Table1[[#This Row],[Nationality]]="Nigeria",Table1[[#This Row],[EMJM Scholarship]],"Not Applicable")</f>
        <v>Not Applicable</v>
      </c>
    </row>
    <row r="1479" spans="1:10" ht="19.25" hidden="1" customHeight="1" x14ac:dyDescent="0.3">
      <c r="A1479" s="8">
        <v>2489882</v>
      </c>
      <c r="B1479" s="6" t="s">
        <v>80</v>
      </c>
      <c r="C1479" s="1" t="s">
        <v>9</v>
      </c>
      <c r="D1479" s="1" t="s">
        <v>9</v>
      </c>
      <c r="E1479" s="1" t="s">
        <v>9</v>
      </c>
      <c r="F1479" s="6"/>
      <c r="G1479" s="6"/>
      <c r="H1479" s="11"/>
      <c r="I147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79" t="str">
        <f>IF(Table1[[#This Row],[Nationality]]="Nigeria",Table1[[#This Row],[EMJM Scholarship]],"Not Applicable")</f>
        <v>Not Applicable</v>
      </c>
    </row>
    <row r="1480" spans="1:10" ht="19.25" hidden="1" customHeight="1" x14ac:dyDescent="0.3">
      <c r="A1480" s="8">
        <v>2489883</v>
      </c>
      <c r="B1480" s="6" t="s">
        <v>80</v>
      </c>
      <c r="C1480" s="1" t="s">
        <v>9</v>
      </c>
      <c r="D1480" s="1" t="s">
        <v>9</v>
      </c>
      <c r="E1480" s="1" t="s">
        <v>9</v>
      </c>
      <c r="F1480" s="6"/>
      <c r="G1480" s="6"/>
      <c r="H1480" s="11"/>
      <c r="I148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80" t="str">
        <f>IF(Table1[[#This Row],[Nationality]]="Nigeria",Table1[[#This Row],[EMJM Scholarship]],"Not Applicable")</f>
        <v>Not Applicable</v>
      </c>
    </row>
    <row r="1481" spans="1:10" ht="19.25" hidden="1" customHeight="1" x14ac:dyDescent="0.3">
      <c r="A1481" s="8">
        <v>2489933</v>
      </c>
      <c r="B1481" s="6" t="s">
        <v>80</v>
      </c>
      <c r="C1481" s="1" t="s">
        <v>9</v>
      </c>
      <c r="D1481" s="1" t="s">
        <v>9</v>
      </c>
      <c r="E1481" s="1" t="s">
        <v>9</v>
      </c>
      <c r="F1481" s="6"/>
      <c r="G1481" s="6"/>
      <c r="H1481" s="11"/>
      <c r="I148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81" t="str">
        <f>IF(Table1[[#This Row],[Nationality]]="Nigeria",Table1[[#This Row],[EMJM Scholarship]],"Not Applicable")</f>
        <v>Not Applicable</v>
      </c>
    </row>
    <row r="1482" spans="1:10" ht="19.25" hidden="1" customHeight="1" x14ac:dyDescent="0.3">
      <c r="A1482" s="8">
        <v>2489941</v>
      </c>
      <c r="B1482" s="6" t="s">
        <v>80</v>
      </c>
      <c r="C1482" s="1" t="s">
        <v>9</v>
      </c>
      <c r="D1482" s="1" t="s">
        <v>9</v>
      </c>
      <c r="E1482" s="1" t="s">
        <v>9</v>
      </c>
      <c r="F1482" s="6"/>
      <c r="G1482" s="6"/>
      <c r="H1482" s="11"/>
      <c r="I148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82" t="str">
        <f>IF(Table1[[#This Row],[Nationality]]="Nigeria",Table1[[#This Row],[EMJM Scholarship]],"Not Applicable")</f>
        <v>Not Applicable</v>
      </c>
    </row>
    <row r="1483" spans="1:10" ht="19.25" hidden="1" customHeight="1" x14ac:dyDescent="0.3">
      <c r="A1483" s="8">
        <v>2489942</v>
      </c>
      <c r="B1483" s="6" t="s">
        <v>80</v>
      </c>
      <c r="C1483" s="1" t="s">
        <v>9</v>
      </c>
      <c r="D1483" s="1" t="s">
        <v>9</v>
      </c>
      <c r="E1483" s="1" t="s">
        <v>9</v>
      </c>
      <c r="F1483" s="6"/>
      <c r="G1483" s="6"/>
      <c r="H1483" s="11"/>
      <c r="I148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83" t="str">
        <f>IF(Table1[[#This Row],[Nationality]]="Nigeria",Table1[[#This Row],[EMJM Scholarship]],"Not Applicable")</f>
        <v>Not Applicable</v>
      </c>
    </row>
    <row r="1484" spans="1:10" ht="19.25" hidden="1" customHeight="1" x14ac:dyDescent="0.3">
      <c r="A1484" s="8">
        <v>2489958</v>
      </c>
      <c r="B1484" s="6" t="s">
        <v>80</v>
      </c>
      <c r="C1484" s="1" t="s">
        <v>9</v>
      </c>
      <c r="D1484" s="1" t="s">
        <v>9</v>
      </c>
      <c r="E1484" s="1" t="s">
        <v>9</v>
      </c>
      <c r="F1484" s="6"/>
      <c r="G1484" s="6"/>
      <c r="H1484" s="11"/>
      <c r="I148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84" t="str">
        <f>IF(Table1[[#This Row],[Nationality]]="Nigeria",Table1[[#This Row],[EMJM Scholarship]],"Not Applicable")</f>
        <v>Not Applicable</v>
      </c>
    </row>
    <row r="1485" spans="1:10" ht="19.25" hidden="1" customHeight="1" x14ac:dyDescent="0.3">
      <c r="A1485" s="8">
        <v>2489967</v>
      </c>
      <c r="B1485" s="6" t="s">
        <v>80</v>
      </c>
      <c r="C1485" s="1" t="s">
        <v>9</v>
      </c>
      <c r="D1485" s="1" t="s">
        <v>9</v>
      </c>
      <c r="E1485" s="1" t="s">
        <v>9</v>
      </c>
      <c r="F1485" s="6"/>
      <c r="G1485" s="6"/>
      <c r="H1485" s="11"/>
      <c r="I148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85" t="str">
        <f>IF(Table1[[#This Row],[Nationality]]="Nigeria",Table1[[#This Row],[EMJM Scholarship]],"Not Applicable")</f>
        <v>Not Applicable</v>
      </c>
    </row>
    <row r="1486" spans="1:10" ht="19.25" hidden="1" customHeight="1" x14ac:dyDescent="0.3">
      <c r="A1486" s="8">
        <v>2489975</v>
      </c>
      <c r="B1486" s="6" t="s">
        <v>80</v>
      </c>
      <c r="C1486" s="1" t="s">
        <v>9</v>
      </c>
      <c r="D1486" s="1" t="s">
        <v>9</v>
      </c>
      <c r="E1486" s="1" t="s">
        <v>9</v>
      </c>
      <c r="F1486" s="6"/>
      <c r="G1486" s="6"/>
      <c r="H1486" s="11"/>
      <c r="I148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86" t="str">
        <f>IF(Table1[[#This Row],[Nationality]]="Nigeria",Table1[[#This Row],[EMJM Scholarship]],"Not Applicable")</f>
        <v>Not Applicable</v>
      </c>
    </row>
    <row r="1487" spans="1:10" ht="19.25" hidden="1" customHeight="1" x14ac:dyDescent="0.3">
      <c r="A1487" s="8">
        <v>2489978</v>
      </c>
      <c r="B1487" s="6" t="s">
        <v>80</v>
      </c>
      <c r="C1487" s="1" t="s">
        <v>9</v>
      </c>
      <c r="D1487" s="1" t="s">
        <v>9</v>
      </c>
      <c r="E1487" s="1" t="s">
        <v>9</v>
      </c>
      <c r="F1487" s="6"/>
      <c r="G1487" s="6"/>
      <c r="H1487" s="11"/>
      <c r="I148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87" t="str">
        <f>IF(Table1[[#This Row],[Nationality]]="Nigeria",Table1[[#This Row],[EMJM Scholarship]],"Not Applicable")</f>
        <v>Not Applicable</v>
      </c>
    </row>
    <row r="1488" spans="1:10" ht="19.25" hidden="1" customHeight="1" x14ac:dyDescent="0.3">
      <c r="A1488" s="8">
        <v>2490022</v>
      </c>
      <c r="B1488" s="6" t="s">
        <v>80</v>
      </c>
      <c r="C1488" s="1" t="s">
        <v>9</v>
      </c>
      <c r="D1488" s="1" t="s">
        <v>9</v>
      </c>
      <c r="E1488" s="1" t="s">
        <v>9</v>
      </c>
      <c r="F1488" s="6"/>
      <c r="G1488" s="6"/>
      <c r="H1488" s="11"/>
      <c r="I148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88" t="str">
        <f>IF(Table1[[#This Row],[Nationality]]="Nigeria",Table1[[#This Row],[EMJM Scholarship]],"Not Applicable")</f>
        <v>Not Applicable</v>
      </c>
    </row>
    <row r="1489" spans="1:10" ht="19.25" hidden="1" customHeight="1" x14ac:dyDescent="0.3">
      <c r="A1489" s="8">
        <v>2490051</v>
      </c>
      <c r="B1489" s="6" t="s">
        <v>80</v>
      </c>
      <c r="C1489" s="1" t="s">
        <v>9</v>
      </c>
      <c r="D1489" s="1" t="s">
        <v>9</v>
      </c>
      <c r="E1489" s="1" t="s">
        <v>9</v>
      </c>
      <c r="F1489" s="6"/>
      <c r="G1489" s="6"/>
      <c r="H1489" s="11"/>
      <c r="I148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89" t="str">
        <f>IF(Table1[[#This Row],[Nationality]]="Nigeria",Table1[[#This Row],[EMJM Scholarship]],"Not Applicable")</f>
        <v>Not Applicable</v>
      </c>
    </row>
    <row r="1490" spans="1:10" ht="19.25" hidden="1" customHeight="1" x14ac:dyDescent="0.3">
      <c r="A1490" s="8">
        <v>2490052</v>
      </c>
      <c r="B1490" s="6" t="s">
        <v>80</v>
      </c>
      <c r="C1490" s="1" t="s">
        <v>9</v>
      </c>
      <c r="D1490" s="1" t="s">
        <v>9</v>
      </c>
      <c r="E1490" s="1" t="s">
        <v>9</v>
      </c>
      <c r="F1490" s="6"/>
      <c r="G1490" s="6"/>
      <c r="H1490" s="11"/>
      <c r="I149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90" t="str">
        <f>IF(Table1[[#This Row],[Nationality]]="Nigeria",Table1[[#This Row],[EMJM Scholarship]],"Not Applicable")</f>
        <v>Not Applicable</v>
      </c>
    </row>
    <row r="1491" spans="1:10" ht="19.25" hidden="1" customHeight="1" x14ac:dyDescent="0.3">
      <c r="A1491" s="8">
        <v>2490053</v>
      </c>
      <c r="B1491" s="6" t="s">
        <v>80</v>
      </c>
      <c r="C1491" s="1" t="s">
        <v>9</v>
      </c>
      <c r="D1491" s="1" t="s">
        <v>9</v>
      </c>
      <c r="E1491" s="1" t="s">
        <v>9</v>
      </c>
      <c r="F1491" s="6"/>
      <c r="G1491" s="6"/>
      <c r="H1491" s="11"/>
      <c r="I149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91" t="str">
        <f>IF(Table1[[#This Row],[Nationality]]="Nigeria",Table1[[#This Row],[EMJM Scholarship]],"Not Applicable")</f>
        <v>Not Applicable</v>
      </c>
    </row>
    <row r="1492" spans="1:10" ht="19.25" hidden="1" customHeight="1" x14ac:dyDescent="0.3">
      <c r="A1492" s="8">
        <v>2490070</v>
      </c>
      <c r="B1492" s="6" t="s">
        <v>80</v>
      </c>
      <c r="C1492" s="1" t="s">
        <v>9</v>
      </c>
      <c r="D1492" s="1" t="s">
        <v>9</v>
      </c>
      <c r="E1492" s="1" t="s">
        <v>9</v>
      </c>
      <c r="F1492" s="6"/>
      <c r="G1492" s="6"/>
      <c r="H1492" s="11"/>
      <c r="I149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92" t="str">
        <f>IF(Table1[[#This Row],[Nationality]]="Nigeria",Table1[[#This Row],[EMJM Scholarship]],"Not Applicable")</f>
        <v>Not Applicable</v>
      </c>
    </row>
    <row r="1493" spans="1:10" ht="19.25" hidden="1" customHeight="1" x14ac:dyDescent="0.3">
      <c r="A1493" s="8">
        <v>2490076</v>
      </c>
      <c r="B1493" s="6" t="s">
        <v>80</v>
      </c>
      <c r="C1493" s="1" t="s">
        <v>9</v>
      </c>
      <c r="D1493" s="1" t="s">
        <v>9</v>
      </c>
      <c r="E1493" s="1" t="s">
        <v>9</v>
      </c>
      <c r="F1493" s="6"/>
      <c r="G1493" s="6"/>
      <c r="H1493" s="11"/>
      <c r="I149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93" t="str">
        <f>IF(Table1[[#This Row],[Nationality]]="Nigeria",Table1[[#This Row],[EMJM Scholarship]],"Not Applicable")</f>
        <v>Not Applicable</v>
      </c>
    </row>
    <row r="1494" spans="1:10" ht="19.25" hidden="1" customHeight="1" x14ac:dyDescent="0.3">
      <c r="A1494" s="8">
        <v>2490103</v>
      </c>
      <c r="B1494" s="6" t="s">
        <v>80</v>
      </c>
      <c r="C1494" s="1" t="s">
        <v>9</v>
      </c>
      <c r="D1494" s="1" t="s">
        <v>9</v>
      </c>
      <c r="E1494" s="1" t="s">
        <v>9</v>
      </c>
      <c r="F1494" s="6"/>
      <c r="G1494" s="6"/>
      <c r="H1494" s="11"/>
      <c r="I149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94" t="str">
        <f>IF(Table1[[#This Row],[Nationality]]="Nigeria",Table1[[#This Row],[EMJM Scholarship]],"Not Applicable")</f>
        <v>Not Applicable</v>
      </c>
    </row>
    <row r="1495" spans="1:10" ht="19.25" hidden="1" customHeight="1" x14ac:dyDescent="0.3">
      <c r="A1495" s="8">
        <v>2490116</v>
      </c>
      <c r="B1495" s="6" t="s">
        <v>80</v>
      </c>
      <c r="C1495" s="1" t="s">
        <v>9</v>
      </c>
      <c r="D1495" s="1" t="s">
        <v>9</v>
      </c>
      <c r="E1495" s="1" t="s">
        <v>9</v>
      </c>
      <c r="F1495" s="6"/>
      <c r="G1495" s="6"/>
      <c r="H1495" s="11"/>
      <c r="I149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95" t="str">
        <f>IF(Table1[[#This Row],[Nationality]]="Nigeria",Table1[[#This Row],[EMJM Scholarship]],"Not Applicable")</f>
        <v>Not Applicable</v>
      </c>
    </row>
    <row r="1496" spans="1:10" ht="19.25" hidden="1" customHeight="1" x14ac:dyDescent="0.3">
      <c r="A1496" s="8">
        <v>2490128</v>
      </c>
      <c r="B1496" s="6" t="s">
        <v>80</v>
      </c>
      <c r="C1496" s="1" t="s">
        <v>9</v>
      </c>
      <c r="D1496" s="1" t="s">
        <v>9</v>
      </c>
      <c r="E1496" s="1" t="s">
        <v>9</v>
      </c>
      <c r="F1496" s="6"/>
      <c r="G1496" s="6"/>
      <c r="H1496" s="11"/>
      <c r="I149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96" t="str">
        <f>IF(Table1[[#This Row],[Nationality]]="Nigeria",Table1[[#This Row],[EMJM Scholarship]],"Not Applicable")</f>
        <v>Not Applicable</v>
      </c>
    </row>
    <row r="1497" spans="1:10" ht="19.25" hidden="1" customHeight="1" x14ac:dyDescent="0.3">
      <c r="A1497" s="8">
        <v>2490137</v>
      </c>
      <c r="B1497" s="6" t="s">
        <v>80</v>
      </c>
      <c r="C1497" s="1" t="s">
        <v>9</v>
      </c>
      <c r="D1497" s="1" t="s">
        <v>9</v>
      </c>
      <c r="E1497" s="1" t="s">
        <v>9</v>
      </c>
      <c r="F1497" s="6"/>
      <c r="G1497" s="6"/>
      <c r="H1497" s="11"/>
      <c r="I149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97" t="str">
        <f>IF(Table1[[#This Row],[Nationality]]="Nigeria",Table1[[#This Row],[EMJM Scholarship]],"Not Applicable")</f>
        <v>Not Applicable</v>
      </c>
    </row>
    <row r="1498" spans="1:10" ht="19.25" hidden="1" customHeight="1" x14ac:dyDescent="0.3">
      <c r="A1498" s="8">
        <v>2490140</v>
      </c>
      <c r="B1498" s="6" t="s">
        <v>80</v>
      </c>
      <c r="C1498" s="1" t="s">
        <v>9</v>
      </c>
      <c r="D1498" s="1" t="s">
        <v>9</v>
      </c>
      <c r="E1498" s="1" t="s">
        <v>9</v>
      </c>
      <c r="F1498" s="6"/>
      <c r="G1498" s="6"/>
      <c r="H1498" s="11"/>
      <c r="I149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98" t="str">
        <f>IF(Table1[[#This Row],[Nationality]]="Nigeria",Table1[[#This Row],[EMJM Scholarship]],"Not Applicable")</f>
        <v>Not Applicable</v>
      </c>
    </row>
    <row r="1499" spans="1:10" ht="19.25" hidden="1" customHeight="1" x14ac:dyDescent="0.3">
      <c r="A1499" s="8">
        <v>2490207</v>
      </c>
      <c r="B1499" s="6" t="s">
        <v>80</v>
      </c>
      <c r="C1499" s="1" t="s">
        <v>9</v>
      </c>
      <c r="D1499" s="1" t="s">
        <v>9</v>
      </c>
      <c r="E1499" s="1" t="s">
        <v>9</v>
      </c>
      <c r="F1499" s="6"/>
      <c r="G1499" s="6"/>
      <c r="H1499" s="11"/>
      <c r="I149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499" t="str">
        <f>IF(Table1[[#This Row],[Nationality]]="Nigeria",Table1[[#This Row],[EMJM Scholarship]],"Not Applicable")</f>
        <v>Not Applicable</v>
      </c>
    </row>
    <row r="1500" spans="1:10" ht="19.25" hidden="1" customHeight="1" x14ac:dyDescent="0.3">
      <c r="A1500" s="8">
        <v>2490234</v>
      </c>
      <c r="B1500" s="6" t="s">
        <v>80</v>
      </c>
      <c r="C1500" s="1" t="s">
        <v>9</v>
      </c>
      <c r="D1500" s="1" t="s">
        <v>9</v>
      </c>
      <c r="E1500" s="1" t="s">
        <v>9</v>
      </c>
      <c r="F1500" s="6"/>
      <c r="G1500" s="6"/>
      <c r="H1500" s="11"/>
      <c r="I150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00" t="str">
        <f>IF(Table1[[#This Row],[Nationality]]="Nigeria",Table1[[#This Row],[EMJM Scholarship]],"Not Applicable")</f>
        <v>Not Applicable</v>
      </c>
    </row>
    <row r="1501" spans="1:10" ht="19.25" hidden="1" customHeight="1" x14ac:dyDescent="0.3">
      <c r="A1501" s="8">
        <v>2490251</v>
      </c>
      <c r="B1501" s="6" t="s">
        <v>80</v>
      </c>
      <c r="C1501" s="1" t="s">
        <v>9</v>
      </c>
      <c r="D1501" s="1" t="s">
        <v>9</v>
      </c>
      <c r="E1501" s="1" t="s">
        <v>9</v>
      </c>
      <c r="F1501" s="6"/>
      <c r="G1501" s="6"/>
      <c r="H1501" s="11"/>
      <c r="I150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01" t="str">
        <f>IF(Table1[[#This Row],[Nationality]]="Nigeria",Table1[[#This Row],[EMJM Scholarship]],"Not Applicable")</f>
        <v>Not Applicable</v>
      </c>
    </row>
    <row r="1502" spans="1:10" ht="19.25" hidden="1" customHeight="1" x14ac:dyDescent="0.3">
      <c r="A1502" s="8">
        <v>2490283</v>
      </c>
      <c r="B1502" s="6" t="s">
        <v>80</v>
      </c>
      <c r="C1502" s="1" t="s">
        <v>9</v>
      </c>
      <c r="D1502" s="1" t="s">
        <v>9</v>
      </c>
      <c r="E1502" s="1" t="s">
        <v>9</v>
      </c>
      <c r="F1502" s="6"/>
      <c r="G1502" s="6"/>
      <c r="H1502" s="11"/>
      <c r="I150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02" t="str">
        <f>IF(Table1[[#This Row],[Nationality]]="Nigeria",Table1[[#This Row],[EMJM Scholarship]],"Not Applicable")</f>
        <v>Not Applicable</v>
      </c>
    </row>
    <row r="1503" spans="1:10" ht="19.25" hidden="1" customHeight="1" x14ac:dyDescent="0.3">
      <c r="A1503" s="8">
        <v>2490320</v>
      </c>
      <c r="B1503" s="6" t="s">
        <v>80</v>
      </c>
      <c r="C1503" s="1" t="s">
        <v>9</v>
      </c>
      <c r="D1503" s="1" t="s">
        <v>9</v>
      </c>
      <c r="E1503" s="1" t="s">
        <v>9</v>
      </c>
      <c r="F1503" s="6"/>
      <c r="G1503" s="6"/>
      <c r="H1503" s="11"/>
      <c r="I150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03" t="str">
        <f>IF(Table1[[#This Row],[Nationality]]="Nigeria",Table1[[#This Row],[EMJM Scholarship]],"Not Applicable")</f>
        <v>Not Applicable</v>
      </c>
    </row>
    <row r="1504" spans="1:10" ht="19.25" hidden="1" customHeight="1" x14ac:dyDescent="0.3">
      <c r="A1504" s="8">
        <v>2490389</v>
      </c>
      <c r="B1504" s="6" t="s">
        <v>80</v>
      </c>
      <c r="C1504" s="1" t="s">
        <v>9</v>
      </c>
      <c r="D1504" s="1" t="s">
        <v>9</v>
      </c>
      <c r="E1504" s="1" t="s">
        <v>9</v>
      </c>
      <c r="F1504" s="6"/>
      <c r="G1504" s="6"/>
      <c r="H1504" s="11"/>
      <c r="I150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04" t="str">
        <f>IF(Table1[[#This Row],[Nationality]]="Nigeria",Table1[[#This Row],[EMJM Scholarship]],"Not Applicable")</f>
        <v>Not Applicable</v>
      </c>
    </row>
    <row r="1505" spans="1:10" ht="19.25" hidden="1" customHeight="1" x14ac:dyDescent="0.3">
      <c r="A1505" s="8">
        <v>2490418</v>
      </c>
      <c r="B1505" s="6" t="s">
        <v>80</v>
      </c>
      <c r="C1505" s="1" t="s">
        <v>9</v>
      </c>
      <c r="D1505" s="1" t="s">
        <v>9</v>
      </c>
      <c r="E1505" s="1" t="s">
        <v>9</v>
      </c>
      <c r="F1505" s="6"/>
      <c r="G1505" s="6"/>
      <c r="H1505" s="11"/>
      <c r="I150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05" t="str">
        <f>IF(Table1[[#This Row],[Nationality]]="Nigeria",Table1[[#This Row],[EMJM Scholarship]],"Not Applicable")</f>
        <v>Not Applicable</v>
      </c>
    </row>
    <row r="1506" spans="1:10" ht="19.25" hidden="1" customHeight="1" x14ac:dyDescent="0.3">
      <c r="A1506" s="8">
        <v>2490426</v>
      </c>
      <c r="B1506" s="6" t="s">
        <v>80</v>
      </c>
      <c r="C1506" s="1" t="s">
        <v>9</v>
      </c>
      <c r="D1506" s="1" t="s">
        <v>9</v>
      </c>
      <c r="E1506" s="1" t="s">
        <v>9</v>
      </c>
      <c r="F1506" s="6"/>
      <c r="G1506" s="6"/>
      <c r="H1506" s="11"/>
      <c r="I150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06" t="str">
        <f>IF(Table1[[#This Row],[Nationality]]="Nigeria",Table1[[#This Row],[EMJM Scholarship]],"Not Applicable")</f>
        <v>Not Applicable</v>
      </c>
    </row>
    <row r="1507" spans="1:10" ht="19.25" hidden="1" customHeight="1" x14ac:dyDescent="0.3">
      <c r="A1507" s="8">
        <v>2490437</v>
      </c>
      <c r="B1507" s="6" t="s">
        <v>80</v>
      </c>
      <c r="C1507" s="1" t="s">
        <v>9</v>
      </c>
      <c r="D1507" s="1" t="s">
        <v>9</v>
      </c>
      <c r="E1507" s="1" t="s">
        <v>9</v>
      </c>
      <c r="F1507" s="6"/>
      <c r="G1507" s="6"/>
      <c r="H1507" s="11"/>
      <c r="I150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07" t="str">
        <f>IF(Table1[[#This Row],[Nationality]]="Nigeria",Table1[[#This Row],[EMJM Scholarship]],"Not Applicable")</f>
        <v>Not Applicable</v>
      </c>
    </row>
    <row r="1508" spans="1:10" ht="19.25" hidden="1" customHeight="1" x14ac:dyDescent="0.3">
      <c r="A1508" s="8">
        <v>2490469</v>
      </c>
      <c r="B1508" s="6" t="s">
        <v>80</v>
      </c>
      <c r="C1508" s="1" t="s">
        <v>9</v>
      </c>
      <c r="D1508" s="1" t="s">
        <v>9</v>
      </c>
      <c r="E1508" s="1" t="s">
        <v>9</v>
      </c>
      <c r="F1508" s="6"/>
      <c r="G1508" s="6"/>
      <c r="H1508" s="11"/>
      <c r="I150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08" t="str">
        <f>IF(Table1[[#This Row],[Nationality]]="Nigeria",Table1[[#This Row],[EMJM Scholarship]],"Not Applicable")</f>
        <v>Not Applicable</v>
      </c>
    </row>
    <row r="1509" spans="1:10" ht="19.25" hidden="1" customHeight="1" x14ac:dyDescent="0.3">
      <c r="A1509" s="8">
        <v>2490539</v>
      </c>
      <c r="B1509" s="6" t="s">
        <v>80</v>
      </c>
      <c r="C1509" s="1" t="s">
        <v>9</v>
      </c>
      <c r="D1509" s="1" t="s">
        <v>9</v>
      </c>
      <c r="E1509" s="1" t="s">
        <v>9</v>
      </c>
      <c r="F1509" s="6"/>
      <c r="G1509" s="6"/>
      <c r="H1509" s="11"/>
      <c r="I150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09" t="str">
        <f>IF(Table1[[#This Row],[Nationality]]="Nigeria",Table1[[#This Row],[EMJM Scholarship]],"Not Applicable")</f>
        <v>Not Applicable</v>
      </c>
    </row>
    <row r="1510" spans="1:10" ht="19.25" hidden="1" customHeight="1" x14ac:dyDescent="0.3">
      <c r="A1510" s="8">
        <v>2490591</v>
      </c>
      <c r="B1510" s="6" t="s">
        <v>80</v>
      </c>
      <c r="C1510" s="1" t="s">
        <v>9</v>
      </c>
      <c r="D1510" s="1" t="s">
        <v>9</v>
      </c>
      <c r="E1510" s="1" t="s">
        <v>9</v>
      </c>
      <c r="F1510" s="6"/>
      <c r="G1510" s="6"/>
      <c r="H1510" s="11"/>
      <c r="I151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10" t="str">
        <f>IF(Table1[[#This Row],[Nationality]]="Nigeria",Table1[[#This Row],[EMJM Scholarship]],"Not Applicable")</f>
        <v>Not Applicable</v>
      </c>
    </row>
    <row r="1511" spans="1:10" ht="19.25" hidden="1" customHeight="1" x14ac:dyDescent="0.3">
      <c r="A1511" s="8">
        <v>2490603</v>
      </c>
      <c r="B1511" s="6" t="s">
        <v>80</v>
      </c>
      <c r="C1511" s="1" t="s">
        <v>9</v>
      </c>
      <c r="D1511" s="1" t="s">
        <v>9</v>
      </c>
      <c r="E1511" s="1" t="s">
        <v>9</v>
      </c>
      <c r="F1511" s="6"/>
      <c r="G1511" s="6"/>
      <c r="H1511" s="11"/>
      <c r="I151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11" t="str">
        <f>IF(Table1[[#This Row],[Nationality]]="Nigeria",Table1[[#This Row],[EMJM Scholarship]],"Not Applicable")</f>
        <v>Not Applicable</v>
      </c>
    </row>
    <row r="1512" spans="1:10" ht="19.25" hidden="1" customHeight="1" x14ac:dyDescent="0.3">
      <c r="A1512" s="8">
        <v>2491070</v>
      </c>
      <c r="B1512" s="6" t="s">
        <v>80</v>
      </c>
      <c r="C1512" s="1" t="s">
        <v>9</v>
      </c>
      <c r="D1512" s="1" t="s">
        <v>9</v>
      </c>
      <c r="E1512" s="1" t="s">
        <v>9</v>
      </c>
      <c r="F1512" s="6"/>
      <c r="G1512" s="6"/>
      <c r="H1512" s="11"/>
      <c r="I151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12" t="str">
        <f>IF(Table1[[#This Row],[Nationality]]="Nigeria",Table1[[#This Row],[EMJM Scholarship]],"Not Applicable")</f>
        <v>Not Applicable</v>
      </c>
    </row>
    <row r="1513" spans="1:10" ht="19.25" hidden="1" customHeight="1" x14ac:dyDescent="0.3">
      <c r="A1513" s="8">
        <v>2491088</v>
      </c>
      <c r="B1513" s="6" t="s">
        <v>80</v>
      </c>
      <c r="C1513" s="1" t="s">
        <v>9</v>
      </c>
      <c r="D1513" s="1" t="s">
        <v>9</v>
      </c>
      <c r="E1513" s="1" t="s">
        <v>9</v>
      </c>
      <c r="F1513" s="6"/>
      <c r="G1513" s="6"/>
      <c r="H1513" s="11"/>
      <c r="I151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13" t="str">
        <f>IF(Table1[[#This Row],[Nationality]]="Nigeria",Table1[[#This Row],[EMJM Scholarship]],"Not Applicable")</f>
        <v>Not Applicable</v>
      </c>
    </row>
    <row r="1514" spans="1:10" ht="19.25" hidden="1" customHeight="1" x14ac:dyDescent="0.3">
      <c r="A1514" s="8">
        <v>2491092</v>
      </c>
      <c r="B1514" s="6" t="s">
        <v>80</v>
      </c>
      <c r="C1514" s="1" t="s">
        <v>9</v>
      </c>
      <c r="D1514" s="1" t="s">
        <v>9</v>
      </c>
      <c r="E1514" s="1" t="s">
        <v>9</v>
      </c>
      <c r="F1514" s="6"/>
      <c r="G1514" s="6"/>
      <c r="H1514" s="11"/>
      <c r="I151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14" t="str">
        <f>IF(Table1[[#This Row],[Nationality]]="Nigeria",Table1[[#This Row],[EMJM Scholarship]],"Not Applicable")</f>
        <v>Not Applicable</v>
      </c>
    </row>
    <row r="1515" spans="1:10" ht="19.25" hidden="1" customHeight="1" x14ac:dyDescent="0.3">
      <c r="A1515" s="8">
        <v>2491428</v>
      </c>
      <c r="B1515" s="6" t="s">
        <v>80</v>
      </c>
      <c r="C1515" s="1" t="s">
        <v>9</v>
      </c>
      <c r="D1515" s="1" t="s">
        <v>9</v>
      </c>
      <c r="E1515" s="1" t="s">
        <v>9</v>
      </c>
      <c r="F1515" s="6"/>
      <c r="G1515" s="6"/>
      <c r="H1515" s="11"/>
      <c r="I151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15" t="str">
        <f>IF(Table1[[#This Row],[Nationality]]="Nigeria",Table1[[#This Row],[EMJM Scholarship]],"Not Applicable")</f>
        <v>Not Applicable</v>
      </c>
    </row>
    <row r="1516" spans="1:10" ht="19.25" hidden="1" customHeight="1" x14ac:dyDescent="0.3">
      <c r="A1516" s="8">
        <v>2491459</v>
      </c>
      <c r="B1516" s="6" t="s">
        <v>80</v>
      </c>
      <c r="C1516" s="1" t="s">
        <v>9</v>
      </c>
      <c r="D1516" s="1" t="s">
        <v>9</v>
      </c>
      <c r="E1516" s="1" t="s">
        <v>9</v>
      </c>
      <c r="F1516" s="6"/>
      <c r="G1516" s="6"/>
      <c r="H1516" s="11"/>
      <c r="I151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16" t="str">
        <f>IF(Table1[[#This Row],[Nationality]]="Nigeria",Table1[[#This Row],[EMJM Scholarship]],"Not Applicable")</f>
        <v>Not Applicable</v>
      </c>
    </row>
    <row r="1517" spans="1:10" ht="19.25" hidden="1" customHeight="1" x14ac:dyDescent="0.3">
      <c r="A1517" s="8">
        <v>2491499</v>
      </c>
      <c r="B1517" s="6" t="s">
        <v>80</v>
      </c>
      <c r="C1517" s="1" t="s">
        <v>9</v>
      </c>
      <c r="D1517" s="1" t="s">
        <v>9</v>
      </c>
      <c r="E1517" s="1" t="s">
        <v>9</v>
      </c>
      <c r="F1517" s="6"/>
      <c r="G1517" s="6"/>
      <c r="H1517" s="11"/>
      <c r="I151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17" t="str">
        <f>IF(Table1[[#This Row],[Nationality]]="Nigeria",Table1[[#This Row],[EMJM Scholarship]],"Not Applicable")</f>
        <v>Not Applicable</v>
      </c>
    </row>
    <row r="1518" spans="1:10" ht="19.25" hidden="1" customHeight="1" x14ac:dyDescent="0.3">
      <c r="A1518" s="8">
        <v>2491634</v>
      </c>
      <c r="B1518" s="6" t="s">
        <v>80</v>
      </c>
      <c r="C1518" s="1" t="s">
        <v>9</v>
      </c>
      <c r="D1518" s="1" t="s">
        <v>9</v>
      </c>
      <c r="E1518" s="1" t="s">
        <v>9</v>
      </c>
      <c r="F1518" s="6"/>
      <c r="G1518" s="6"/>
      <c r="H1518" s="11"/>
      <c r="I151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18" t="str">
        <f>IF(Table1[[#This Row],[Nationality]]="Nigeria",Table1[[#This Row],[EMJM Scholarship]],"Not Applicable")</f>
        <v>Not Applicable</v>
      </c>
    </row>
    <row r="1519" spans="1:10" ht="19.25" hidden="1" customHeight="1" x14ac:dyDescent="0.3">
      <c r="A1519" s="8">
        <v>2491693</v>
      </c>
      <c r="B1519" s="6" t="s">
        <v>80</v>
      </c>
      <c r="C1519" s="1" t="s">
        <v>9</v>
      </c>
      <c r="D1519" s="1" t="s">
        <v>9</v>
      </c>
      <c r="E1519" s="1" t="s">
        <v>9</v>
      </c>
      <c r="F1519" s="6"/>
      <c r="G1519" s="6"/>
      <c r="H1519" s="11"/>
      <c r="I151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19" t="str">
        <f>IF(Table1[[#This Row],[Nationality]]="Nigeria",Table1[[#This Row],[EMJM Scholarship]],"Not Applicable")</f>
        <v>Not Applicable</v>
      </c>
    </row>
    <row r="1520" spans="1:10" ht="19.25" hidden="1" customHeight="1" x14ac:dyDescent="0.3">
      <c r="A1520" s="8">
        <v>2491733</v>
      </c>
      <c r="B1520" s="6" t="s">
        <v>80</v>
      </c>
      <c r="C1520" s="1" t="s">
        <v>9</v>
      </c>
      <c r="D1520" s="1" t="s">
        <v>9</v>
      </c>
      <c r="E1520" s="1" t="s">
        <v>9</v>
      </c>
      <c r="F1520" s="6"/>
      <c r="G1520" s="6"/>
      <c r="H1520" s="11"/>
      <c r="I152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20" t="str">
        <f>IF(Table1[[#This Row],[Nationality]]="Nigeria",Table1[[#This Row],[EMJM Scholarship]],"Not Applicable")</f>
        <v>Not Applicable</v>
      </c>
    </row>
    <row r="1521" spans="1:10" ht="19.25" hidden="1" customHeight="1" x14ac:dyDescent="0.3">
      <c r="A1521" s="8">
        <v>2491739</v>
      </c>
      <c r="B1521" s="6" t="s">
        <v>80</v>
      </c>
      <c r="C1521" s="1" t="s">
        <v>9</v>
      </c>
      <c r="D1521" s="1" t="s">
        <v>9</v>
      </c>
      <c r="E1521" s="1" t="s">
        <v>9</v>
      </c>
      <c r="F1521" s="6"/>
      <c r="G1521" s="6"/>
      <c r="H1521" s="11"/>
      <c r="I152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21" t="str">
        <f>IF(Table1[[#This Row],[Nationality]]="Nigeria",Table1[[#This Row],[EMJM Scholarship]],"Not Applicable")</f>
        <v>Not Applicable</v>
      </c>
    </row>
    <row r="1522" spans="1:10" ht="19.25" hidden="1" customHeight="1" x14ac:dyDescent="0.3">
      <c r="A1522" s="8">
        <v>2491740</v>
      </c>
      <c r="B1522" s="6" t="s">
        <v>80</v>
      </c>
      <c r="C1522" s="1" t="s">
        <v>9</v>
      </c>
      <c r="D1522" s="1" t="s">
        <v>9</v>
      </c>
      <c r="E1522" s="1" t="s">
        <v>9</v>
      </c>
      <c r="F1522" s="6"/>
      <c r="G1522" s="6"/>
      <c r="H1522" s="11"/>
      <c r="I152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22" t="str">
        <f>IF(Table1[[#This Row],[Nationality]]="Nigeria",Table1[[#This Row],[EMJM Scholarship]],"Not Applicable")</f>
        <v>Not Applicable</v>
      </c>
    </row>
    <row r="1523" spans="1:10" ht="19.25" hidden="1" customHeight="1" x14ac:dyDescent="0.3">
      <c r="A1523" s="8">
        <v>2491789</v>
      </c>
      <c r="B1523" s="6" t="s">
        <v>80</v>
      </c>
      <c r="C1523" s="1" t="s">
        <v>9</v>
      </c>
      <c r="D1523" s="1" t="s">
        <v>9</v>
      </c>
      <c r="E1523" s="1" t="s">
        <v>9</v>
      </c>
      <c r="F1523" s="6"/>
      <c r="G1523" s="6"/>
      <c r="H1523" s="11"/>
      <c r="I152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23" t="str">
        <f>IF(Table1[[#This Row],[Nationality]]="Nigeria",Table1[[#This Row],[EMJM Scholarship]],"Not Applicable")</f>
        <v>Not Applicable</v>
      </c>
    </row>
    <row r="1524" spans="1:10" ht="19.25" hidden="1" customHeight="1" x14ac:dyDescent="0.3">
      <c r="A1524" s="8">
        <v>2491814</v>
      </c>
      <c r="B1524" s="6" t="s">
        <v>80</v>
      </c>
      <c r="C1524" s="1" t="s">
        <v>9</v>
      </c>
      <c r="D1524" s="1" t="s">
        <v>9</v>
      </c>
      <c r="E1524" s="1" t="s">
        <v>9</v>
      </c>
      <c r="F1524" s="6"/>
      <c r="G1524" s="6"/>
      <c r="H1524" s="11"/>
      <c r="I152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24" t="str">
        <f>IF(Table1[[#This Row],[Nationality]]="Nigeria",Table1[[#This Row],[EMJM Scholarship]],"Not Applicable")</f>
        <v>Not Applicable</v>
      </c>
    </row>
    <row r="1525" spans="1:10" ht="19.25" hidden="1" customHeight="1" x14ac:dyDescent="0.3">
      <c r="A1525" s="8">
        <v>2491849</v>
      </c>
      <c r="B1525" s="6" t="s">
        <v>80</v>
      </c>
      <c r="C1525" s="1" t="s">
        <v>9</v>
      </c>
      <c r="D1525" s="1" t="s">
        <v>9</v>
      </c>
      <c r="E1525" s="1" t="s">
        <v>9</v>
      </c>
      <c r="F1525" s="6"/>
      <c r="G1525" s="6"/>
      <c r="H1525" s="11"/>
      <c r="I152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25" t="str">
        <f>IF(Table1[[#This Row],[Nationality]]="Nigeria",Table1[[#This Row],[EMJM Scholarship]],"Not Applicable")</f>
        <v>Not Applicable</v>
      </c>
    </row>
    <row r="1526" spans="1:10" ht="19.25" hidden="1" customHeight="1" x14ac:dyDescent="0.3">
      <c r="A1526" s="8">
        <v>2491885</v>
      </c>
      <c r="B1526" s="6" t="s">
        <v>80</v>
      </c>
      <c r="C1526" s="1" t="s">
        <v>9</v>
      </c>
      <c r="D1526" s="1" t="s">
        <v>9</v>
      </c>
      <c r="E1526" s="1" t="s">
        <v>9</v>
      </c>
      <c r="F1526" s="6"/>
      <c r="G1526" s="6"/>
      <c r="H1526" s="11"/>
      <c r="I152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26" t="str">
        <f>IF(Table1[[#This Row],[Nationality]]="Nigeria",Table1[[#This Row],[EMJM Scholarship]],"Not Applicable")</f>
        <v>Not Applicable</v>
      </c>
    </row>
    <row r="1527" spans="1:10" ht="19.25" hidden="1" customHeight="1" x14ac:dyDescent="0.3">
      <c r="A1527" s="8">
        <v>2491951</v>
      </c>
      <c r="B1527" s="6" t="s">
        <v>80</v>
      </c>
      <c r="C1527" s="1" t="s">
        <v>9</v>
      </c>
      <c r="D1527" s="1" t="s">
        <v>9</v>
      </c>
      <c r="E1527" s="1" t="s">
        <v>9</v>
      </c>
      <c r="F1527" s="6"/>
      <c r="G1527" s="6"/>
      <c r="H1527" s="11"/>
      <c r="I152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27" t="str">
        <f>IF(Table1[[#This Row],[Nationality]]="Nigeria",Table1[[#This Row],[EMJM Scholarship]],"Not Applicable")</f>
        <v>Not Applicable</v>
      </c>
    </row>
    <row r="1528" spans="1:10" ht="19.25" hidden="1" customHeight="1" x14ac:dyDescent="0.3">
      <c r="A1528" s="8">
        <v>2491975</v>
      </c>
      <c r="B1528" s="6" t="s">
        <v>80</v>
      </c>
      <c r="C1528" s="1" t="s">
        <v>9</v>
      </c>
      <c r="D1528" s="1" t="s">
        <v>9</v>
      </c>
      <c r="E1528" s="1" t="s">
        <v>9</v>
      </c>
      <c r="F1528" s="6"/>
      <c r="G1528" s="6"/>
      <c r="H1528" s="11"/>
      <c r="I152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28" t="str">
        <f>IF(Table1[[#This Row],[Nationality]]="Nigeria",Table1[[#This Row],[EMJM Scholarship]],"Not Applicable")</f>
        <v>Not Applicable</v>
      </c>
    </row>
    <row r="1529" spans="1:10" ht="19.25" hidden="1" customHeight="1" x14ac:dyDescent="0.3">
      <c r="A1529" s="8">
        <v>2491983</v>
      </c>
      <c r="B1529" s="6" t="s">
        <v>80</v>
      </c>
      <c r="C1529" s="1" t="s">
        <v>9</v>
      </c>
      <c r="D1529" s="1" t="s">
        <v>9</v>
      </c>
      <c r="E1529" s="1" t="s">
        <v>9</v>
      </c>
      <c r="F1529" s="6"/>
      <c r="G1529" s="6"/>
      <c r="H1529" s="11"/>
      <c r="I152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29" t="str">
        <f>IF(Table1[[#This Row],[Nationality]]="Nigeria",Table1[[#This Row],[EMJM Scholarship]],"Not Applicable")</f>
        <v>Not Applicable</v>
      </c>
    </row>
    <row r="1530" spans="1:10" ht="19.25" hidden="1" customHeight="1" x14ac:dyDescent="0.3">
      <c r="A1530" s="8">
        <v>2491984</v>
      </c>
      <c r="B1530" s="6" t="s">
        <v>80</v>
      </c>
      <c r="C1530" s="1" t="s">
        <v>9</v>
      </c>
      <c r="D1530" s="1" t="s">
        <v>9</v>
      </c>
      <c r="E1530" s="1" t="s">
        <v>9</v>
      </c>
      <c r="F1530" s="6"/>
      <c r="G1530" s="6"/>
      <c r="H1530" s="11"/>
      <c r="I153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30" t="str">
        <f>IF(Table1[[#This Row],[Nationality]]="Nigeria",Table1[[#This Row],[EMJM Scholarship]],"Not Applicable")</f>
        <v>Not Applicable</v>
      </c>
    </row>
    <row r="1531" spans="1:10" ht="19.25" hidden="1" customHeight="1" x14ac:dyDescent="0.3">
      <c r="A1531" s="8">
        <v>2491987</v>
      </c>
      <c r="B1531" s="6" t="s">
        <v>80</v>
      </c>
      <c r="C1531" s="1" t="s">
        <v>9</v>
      </c>
      <c r="D1531" s="1" t="s">
        <v>9</v>
      </c>
      <c r="E1531" s="1" t="s">
        <v>9</v>
      </c>
      <c r="F1531" s="6"/>
      <c r="G1531" s="6"/>
      <c r="H1531" s="11"/>
      <c r="I153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31" t="str">
        <f>IF(Table1[[#This Row],[Nationality]]="Nigeria",Table1[[#This Row],[EMJM Scholarship]],"Not Applicable")</f>
        <v>Not Applicable</v>
      </c>
    </row>
    <row r="1532" spans="1:10" ht="19.25" hidden="1" customHeight="1" x14ac:dyDescent="0.3">
      <c r="A1532" s="8">
        <v>2491992</v>
      </c>
      <c r="B1532" s="6" t="s">
        <v>80</v>
      </c>
      <c r="C1532" s="1" t="s">
        <v>9</v>
      </c>
      <c r="D1532" s="1" t="s">
        <v>9</v>
      </c>
      <c r="E1532" s="1" t="s">
        <v>9</v>
      </c>
      <c r="F1532" s="6"/>
      <c r="G1532" s="6"/>
      <c r="H1532" s="11"/>
      <c r="I153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32" t="str">
        <f>IF(Table1[[#This Row],[Nationality]]="Nigeria",Table1[[#This Row],[EMJM Scholarship]],"Not Applicable")</f>
        <v>Not Applicable</v>
      </c>
    </row>
    <row r="1533" spans="1:10" ht="19.25" hidden="1" customHeight="1" x14ac:dyDescent="0.3">
      <c r="A1533" s="8">
        <v>2491995</v>
      </c>
      <c r="B1533" s="6" t="s">
        <v>80</v>
      </c>
      <c r="C1533" s="1" t="s">
        <v>9</v>
      </c>
      <c r="D1533" s="1" t="s">
        <v>9</v>
      </c>
      <c r="E1533" s="1" t="s">
        <v>9</v>
      </c>
      <c r="F1533" s="6"/>
      <c r="G1533" s="6"/>
      <c r="H1533" s="11"/>
      <c r="I153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33" t="str">
        <f>IF(Table1[[#This Row],[Nationality]]="Nigeria",Table1[[#This Row],[EMJM Scholarship]],"Not Applicable")</f>
        <v>Not Applicable</v>
      </c>
    </row>
    <row r="1534" spans="1:10" ht="19.25" hidden="1" customHeight="1" x14ac:dyDescent="0.3">
      <c r="A1534" s="8">
        <v>2492001</v>
      </c>
      <c r="B1534" s="6" t="s">
        <v>80</v>
      </c>
      <c r="C1534" s="1" t="s">
        <v>9</v>
      </c>
      <c r="D1534" s="1" t="s">
        <v>9</v>
      </c>
      <c r="E1534" s="1" t="s">
        <v>9</v>
      </c>
      <c r="F1534" s="6"/>
      <c r="G1534" s="6"/>
      <c r="H1534" s="11"/>
      <c r="I153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34" t="str">
        <f>IF(Table1[[#This Row],[Nationality]]="Nigeria",Table1[[#This Row],[EMJM Scholarship]],"Not Applicable")</f>
        <v>Not Applicable</v>
      </c>
    </row>
    <row r="1535" spans="1:10" ht="19.25" hidden="1" customHeight="1" x14ac:dyDescent="0.3">
      <c r="A1535" s="8">
        <v>2492006</v>
      </c>
      <c r="B1535" s="6" t="s">
        <v>80</v>
      </c>
      <c r="C1535" s="1" t="s">
        <v>9</v>
      </c>
      <c r="D1535" s="1" t="s">
        <v>9</v>
      </c>
      <c r="E1535" s="1" t="s">
        <v>9</v>
      </c>
      <c r="F1535" s="6"/>
      <c r="G1535" s="6"/>
      <c r="H1535" s="11"/>
      <c r="I153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35" t="str">
        <f>IF(Table1[[#This Row],[Nationality]]="Nigeria",Table1[[#This Row],[EMJM Scholarship]],"Not Applicable")</f>
        <v>Not Applicable</v>
      </c>
    </row>
    <row r="1536" spans="1:10" ht="19.25" hidden="1" customHeight="1" x14ac:dyDescent="0.3">
      <c r="A1536" s="8">
        <v>2492007</v>
      </c>
      <c r="B1536" s="6" t="s">
        <v>80</v>
      </c>
      <c r="C1536" s="1" t="s">
        <v>9</v>
      </c>
      <c r="D1536" s="1" t="s">
        <v>9</v>
      </c>
      <c r="E1536" s="1" t="s">
        <v>9</v>
      </c>
      <c r="F1536" s="6"/>
      <c r="G1536" s="6"/>
      <c r="H1536" s="11"/>
      <c r="I153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36" t="str">
        <f>IF(Table1[[#This Row],[Nationality]]="Nigeria",Table1[[#This Row],[EMJM Scholarship]],"Not Applicable")</f>
        <v>Not Applicable</v>
      </c>
    </row>
    <row r="1537" spans="1:10" ht="19.25" hidden="1" customHeight="1" x14ac:dyDescent="0.3">
      <c r="A1537" s="8">
        <v>2492009</v>
      </c>
      <c r="B1537" s="6" t="s">
        <v>80</v>
      </c>
      <c r="C1537" s="1" t="s">
        <v>9</v>
      </c>
      <c r="D1537" s="1" t="s">
        <v>9</v>
      </c>
      <c r="E1537" s="1" t="s">
        <v>9</v>
      </c>
      <c r="F1537" s="6"/>
      <c r="G1537" s="6"/>
      <c r="H1537" s="11"/>
      <c r="I153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37" t="str">
        <f>IF(Table1[[#This Row],[Nationality]]="Nigeria",Table1[[#This Row],[EMJM Scholarship]],"Not Applicable")</f>
        <v>Not Applicable</v>
      </c>
    </row>
    <row r="1538" spans="1:10" ht="19.25" hidden="1" customHeight="1" x14ac:dyDescent="0.3">
      <c r="A1538" s="8">
        <v>2492158</v>
      </c>
      <c r="B1538" s="6" t="s">
        <v>80</v>
      </c>
      <c r="C1538" s="1" t="s">
        <v>9</v>
      </c>
      <c r="D1538" s="1" t="s">
        <v>9</v>
      </c>
      <c r="E1538" s="1" t="s">
        <v>9</v>
      </c>
      <c r="F1538" s="6"/>
      <c r="G1538" s="6"/>
      <c r="H1538" s="11"/>
      <c r="I153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38" t="str">
        <f>IF(Table1[[#This Row],[Nationality]]="Nigeria",Table1[[#This Row],[EMJM Scholarship]],"Not Applicable")</f>
        <v>Not Applicable</v>
      </c>
    </row>
    <row r="1539" spans="1:10" ht="19.25" hidden="1" customHeight="1" x14ac:dyDescent="0.3">
      <c r="A1539" s="8">
        <v>2492324</v>
      </c>
      <c r="B1539" s="6" t="s">
        <v>80</v>
      </c>
      <c r="C1539" s="1" t="s">
        <v>9</v>
      </c>
      <c r="D1539" s="1" t="s">
        <v>9</v>
      </c>
      <c r="E1539" s="1" t="s">
        <v>9</v>
      </c>
      <c r="F1539" s="6"/>
      <c r="G1539" s="6"/>
      <c r="H1539" s="11"/>
      <c r="I153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39" t="str">
        <f>IF(Table1[[#This Row],[Nationality]]="Nigeria",Table1[[#This Row],[EMJM Scholarship]],"Not Applicable")</f>
        <v>Not Applicable</v>
      </c>
    </row>
    <row r="1540" spans="1:10" ht="19.25" hidden="1" customHeight="1" x14ac:dyDescent="0.3">
      <c r="A1540" s="8">
        <v>2492376</v>
      </c>
      <c r="B1540" s="6" t="s">
        <v>80</v>
      </c>
      <c r="C1540" s="1" t="s">
        <v>9</v>
      </c>
      <c r="D1540" s="1" t="s">
        <v>9</v>
      </c>
      <c r="E1540" s="1" t="s">
        <v>9</v>
      </c>
      <c r="F1540" s="6"/>
      <c r="G1540" s="6"/>
      <c r="H1540" s="11"/>
      <c r="I154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40" t="str">
        <f>IF(Table1[[#This Row],[Nationality]]="Nigeria",Table1[[#This Row],[EMJM Scholarship]],"Not Applicable")</f>
        <v>Not Applicable</v>
      </c>
    </row>
    <row r="1541" spans="1:10" ht="19.25" hidden="1" customHeight="1" x14ac:dyDescent="0.3">
      <c r="A1541" s="8">
        <v>2492425</v>
      </c>
      <c r="B1541" s="6" t="s">
        <v>80</v>
      </c>
      <c r="C1541" s="1" t="s">
        <v>9</v>
      </c>
      <c r="D1541" s="1" t="s">
        <v>9</v>
      </c>
      <c r="E1541" s="1" t="s">
        <v>9</v>
      </c>
      <c r="F1541" s="6"/>
      <c r="G1541" s="6"/>
      <c r="H1541" s="11"/>
      <c r="I154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41" t="str">
        <f>IF(Table1[[#This Row],[Nationality]]="Nigeria",Table1[[#This Row],[EMJM Scholarship]],"Not Applicable")</f>
        <v>Not Applicable</v>
      </c>
    </row>
    <row r="1542" spans="1:10" ht="19.25" hidden="1" customHeight="1" x14ac:dyDescent="0.3">
      <c r="A1542" s="8">
        <v>2492640</v>
      </c>
      <c r="B1542" s="6" t="s">
        <v>80</v>
      </c>
      <c r="C1542" s="1" t="s">
        <v>9</v>
      </c>
      <c r="D1542" s="1" t="s">
        <v>9</v>
      </c>
      <c r="E1542" s="1" t="s">
        <v>9</v>
      </c>
      <c r="F1542" s="6"/>
      <c r="G1542" s="6"/>
      <c r="H1542" s="11"/>
      <c r="I154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42" t="str">
        <f>IF(Table1[[#This Row],[Nationality]]="Nigeria",Table1[[#This Row],[EMJM Scholarship]],"Not Applicable")</f>
        <v>Not Applicable</v>
      </c>
    </row>
    <row r="1543" spans="1:10" ht="19.25" hidden="1" customHeight="1" x14ac:dyDescent="0.3">
      <c r="A1543" s="8">
        <v>2492657</v>
      </c>
      <c r="B1543" s="6" t="s">
        <v>80</v>
      </c>
      <c r="C1543" s="1" t="s">
        <v>9</v>
      </c>
      <c r="D1543" s="1" t="s">
        <v>9</v>
      </c>
      <c r="E1543" s="1" t="s">
        <v>9</v>
      </c>
      <c r="F1543" s="6"/>
      <c r="G1543" s="6"/>
      <c r="H1543" s="11"/>
      <c r="I154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43" t="str">
        <f>IF(Table1[[#This Row],[Nationality]]="Nigeria",Table1[[#This Row],[EMJM Scholarship]],"Not Applicable")</f>
        <v>Not Applicable</v>
      </c>
    </row>
    <row r="1544" spans="1:10" ht="19.25" hidden="1" customHeight="1" x14ac:dyDescent="0.3">
      <c r="A1544" s="8">
        <v>2492688</v>
      </c>
      <c r="B1544" s="6" t="s">
        <v>80</v>
      </c>
      <c r="C1544" s="1" t="s">
        <v>9</v>
      </c>
      <c r="D1544" s="1" t="s">
        <v>9</v>
      </c>
      <c r="E1544" s="1" t="s">
        <v>9</v>
      </c>
      <c r="F1544" s="6"/>
      <c r="G1544" s="6"/>
      <c r="H1544" s="11"/>
      <c r="I154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44" t="str">
        <f>IF(Table1[[#This Row],[Nationality]]="Nigeria",Table1[[#This Row],[EMJM Scholarship]],"Not Applicable")</f>
        <v>Not Applicable</v>
      </c>
    </row>
    <row r="1545" spans="1:10" ht="19.25" hidden="1" customHeight="1" x14ac:dyDescent="0.3">
      <c r="A1545" s="8">
        <v>2492766</v>
      </c>
      <c r="B1545" s="6" t="s">
        <v>80</v>
      </c>
      <c r="C1545" s="1" t="s">
        <v>9</v>
      </c>
      <c r="D1545" s="1" t="s">
        <v>9</v>
      </c>
      <c r="E1545" s="1" t="s">
        <v>9</v>
      </c>
      <c r="F1545" s="6"/>
      <c r="G1545" s="6"/>
      <c r="H1545" s="11"/>
      <c r="I154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45" t="str">
        <f>IF(Table1[[#This Row],[Nationality]]="Nigeria",Table1[[#This Row],[EMJM Scholarship]],"Not Applicable")</f>
        <v>Not Applicable</v>
      </c>
    </row>
    <row r="1546" spans="1:10" ht="19.25" hidden="1" customHeight="1" x14ac:dyDescent="0.3">
      <c r="A1546" s="8">
        <v>2492824</v>
      </c>
      <c r="B1546" s="6" t="s">
        <v>80</v>
      </c>
      <c r="C1546" s="1" t="s">
        <v>9</v>
      </c>
      <c r="D1546" s="1" t="s">
        <v>9</v>
      </c>
      <c r="E1546" s="1" t="s">
        <v>9</v>
      </c>
      <c r="F1546" s="6"/>
      <c r="G1546" s="6"/>
      <c r="H1546" s="11"/>
      <c r="I154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46" t="str">
        <f>IF(Table1[[#This Row],[Nationality]]="Nigeria",Table1[[#This Row],[EMJM Scholarship]],"Not Applicable")</f>
        <v>Not Applicable</v>
      </c>
    </row>
    <row r="1547" spans="1:10" ht="19.25" hidden="1" customHeight="1" x14ac:dyDescent="0.3">
      <c r="A1547" s="8">
        <v>2492925</v>
      </c>
      <c r="B1547" s="6" t="s">
        <v>80</v>
      </c>
      <c r="C1547" s="1" t="s">
        <v>9</v>
      </c>
      <c r="D1547" s="1" t="s">
        <v>9</v>
      </c>
      <c r="E1547" s="1" t="s">
        <v>9</v>
      </c>
      <c r="F1547" s="6"/>
      <c r="G1547" s="6"/>
      <c r="H1547" s="11"/>
      <c r="I154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47" t="str">
        <f>IF(Table1[[#This Row],[Nationality]]="Nigeria",Table1[[#This Row],[EMJM Scholarship]],"Not Applicable")</f>
        <v>Not Applicable</v>
      </c>
    </row>
    <row r="1548" spans="1:10" ht="19.25" hidden="1" customHeight="1" x14ac:dyDescent="0.3">
      <c r="A1548" s="8">
        <v>2493054</v>
      </c>
      <c r="B1548" s="6" t="s">
        <v>80</v>
      </c>
      <c r="C1548" s="1" t="s">
        <v>9</v>
      </c>
      <c r="D1548" s="1" t="s">
        <v>9</v>
      </c>
      <c r="E1548" s="1" t="s">
        <v>9</v>
      </c>
      <c r="F1548" s="6"/>
      <c r="G1548" s="6"/>
      <c r="H1548" s="11"/>
      <c r="I154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48" t="str">
        <f>IF(Table1[[#This Row],[Nationality]]="Nigeria",Table1[[#This Row],[EMJM Scholarship]],"Not Applicable")</f>
        <v>Not Applicable</v>
      </c>
    </row>
    <row r="1549" spans="1:10" ht="19.25" hidden="1" customHeight="1" x14ac:dyDescent="0.3">
      <c r="A1549" s="8">
        <v>2493179</v>
      </c>
      <c r="B1549" s="6" t="s">
        <v>80</v>
      </c>
      <c r="C1549" s="1" t="s">
        <v>9</v>
      </c>
      <c r="D1549" s="1" t="s">
        <v>9</v>
      </c>
      <c r="E1549" s="1" t="s">
        <v>9</v>
      </c>
      <c r="F1549" s="6"/>
      <c r="G1549" s="6"/>
      <c r="H1549" s="11"/>
      <c r="I154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49" t="str">
        <f>IF(Table1[[#This Row],[Nationality]]="Nigeria",Table1[[#This Row],[EMJM Scholarship]],"Not Applicable")</f>
        <v>Not Applicable</v>
      </c>
    </row>
    <row r="1550" spans="1:10" ht="19.25" hidden="1" customHeight="1" x14ac:dyDescent="0.3">
      <c r="A1550" s="8">
        <v>2493228</v>
      </c>
      <c r="B1550" s="6" t="s">
        <v>80</v>
      </c>
      <c r="C1550" s="1" t="s">
        <v>9</v>
      </c>
      <c r="D1550" s="1" t="s">
        <v>9</v>
      </c>
      <c r="E1550" s="1" t="s">
        <v>9</v>
      </c>
      <c r="F1550" s="6"/>
      <c r="G1550" s="6"/>
      <c r="H1550" s="11"/>
      <c r="I155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50" t="str">
        <f>IF(Table1[[#This Row],[Nationality]]="Nigeria",Table1[[#This Row],[EMJM Scholarship]],"Not Applicable")</f>
        <v>Not Applicable</v>
      </c>
    </row>
    <row r="1551" spans="1:10" ht="19.25" hidden="1" customHeight="1" x14ac:dyDescent="0.3">
      <c r="A1551" s="8">
        <v>2493453</v>
      </c>
      <c r="B1551" s="6" t="s">
        <v>80</v>
      </c>
      <c r="C1551" s="1" t="s">
        <v>9</v>
      </c>
      <c r="D1551" s="1" t="s">
        <v>9</v>
      </c>
      <c r="E1551" s="1" t="s">
        <v>9</v>
      </c>
      <c r="F1551" s="6"/>
      <c r="G1551" s="6"/>
      <c r="H1551" s="11"/>
      <c r="I155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51" t="str">
        <f>IF(Table1[[#This Row],[Nationality]]="Nigeria",Table1[[#This Row],[EMJM Scholarship]],"Not Applicable")</f>
        <v>Not Applicable</v>
      </c>
    </row>
    <row r="1552" spans="1:10" ht="19.25" hidden="1" customHeight="1" x14ac:dyDescent="0.3">
      <c r="A1552" s="8">
        <v>2493471</v>
      </c>
      <c r="B1552" s="6" t="s">
        <v>80</v>
      </c>
      <c r="C1552" s="1" t="s">
        <v>9</v>
      </c>
      <c r="D1552" s="1" t="s">
        <v>9</v>
      </c>
      <c r="E1552" s="1" t="s">
        <v>9</v>
      </c>
      <c r="F1552" s="6"/>
      <c r="G1552" s="6"/>
      <c r="H1552" s="11"/>
      <c r="I155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52" t="str">
        <f>IF(Table1[[#This Row],[Nationality]]="Nigeria",Table1[[#This Row],[EMJM Scholarship]],"Not Applicable")</f>
        <v>Not Applicable</v>
      </c>
    </row>
    <row r="1553" spans="1:10" ht="19.25" hidden="1" customHeight="1" x14ac:dyDescent="0.3">
      <c r="A1553" s="8">
        <v>2493472</v>
      </c>
      <c r="B1553" s="6" t="s">
        <v>80</v>
      </c>
      <c r="C1553" s="1" t="s">
        <v>9</v>
      </c>
      <c r="D1553" s="1" t="s">
        <v>9</v>
      </c>
      <c r="E1553" s="1" t="s">
        <v>9</v>
      </c>
      <c r="F1553" s="6"/>
      <c r="G1553" s="6"/>
      <c r="H1553" s="11"/>
      <c r="I155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53" t="str">
        <f>IF(Table1[[#This Row],[Nationality]]="Nigeria",Table1[[#This Row],[EMJM Scholarship]],"Not Applicable")</f>
        <v>Not Applicable</v>
      </c>
    </row>
    <row r="1554" spans="1:10" ht="19.25" hidden="1" customHeight="1" x14ac:dyDescent="0.3">
      <c r="A1554" s="8">
        <v>2493473</v>
      </c>
      <c r="B1554" s="6" t="s">
        <v>80</v>
      </c>
      <c r="C1554" s="1" t="s">
        <v>9</v>
      </c>
      <c r="D1554" s="1" t="s">
        <v>9</v>
      </c>
      <c r="E1554" s="1" t="s">
        <v>9</v>
      </c>
      <c r="F1554" s="6"/>
      <c r="G1554" s="6"/>
      <c r="H1554" s="11"/>
      <c r="I155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54" t="str">
        <f>IF(Table1[[#This Row],[Nationality]]="Nigeria",Table1[[#This Row],[EMJM Scholarship]],"Not Applicable")</f>
        <v>Not Applicable</v>
      </c>
    </row>
    <row r="1555" spans="1:10" ht="19.25" hidden="1" customHeight="1" x14ac:dyDescent="0.3">
      <c r="A1555" s="8">
        <v>2493504</v>
      </c>
      <c r="B1555" s="6" t="s">
        <v>80</v>
      </c>
      <c r="C1555" s="1" t="s">
        <v>9</v>
      </c>
      <c r="D1555" s="1" t="s">
        <v>9</v>
      </c>
      <c r="E1555" s="1" t="s">
        <v>9</v>
      </c>
      <c r="F1555" s="6"/>
      <c r="G1555" s="6"/>
      <c r="H1555" s="11"/>
      <c r="I155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55" t="str">
        <f>IF(Table1[[#This Row],[Nationality]]="Nigeria",Table1[[#This Row],[EMJM Scholarship]],"Not Applicable")</f>
        <v>Not Applicable</v>
      </c>
    </row>
    <row r="1556" spans="1:10" ht="19.25" hidden="1" customHeight="1" x14ac:dyDescent="0.3">
      <c r="A1556" s="8">
        <v>2493506</v>
      </c>
      <c r="B1556" s="6" t="s">
        <v>80</v>
      </c>
      <c r="C1556" s="1" t="s">
        <v>9</v>
      </c>
      <c r="D1556" s="1" t="s">
        <v>9</v>
      </c>
      <c r="E1556" s="1" t="s">
        <v>9</v>
      </c>
      <c r="F1556" s="6"/>
      <c r="G1556" s="6"/>
      <c r="H1556" s="11"/>
      <c r="I155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56" t="str">
        <f>IF(Table1[[#This Row],[Nationality]]="Nigeria",Table1[[#This Row],[EMJM Scholarship]],"Not Applicable")</f>
        <v>Not Applicable</v>
      </c>
    </row>
    <row r="1557" spans="1:10" ht="19.25" hidden="1" customHeight="1" x14ac:dyDescent="0.3">
      <c r="A1557" s="8">
        <v>2493520</v>
      </c>
      <c r="B1557" s="6" t="s">
        <v>80</v>
      </c>
      <c r="C1557" s="1" t="s">
        <v>9</v>
      </c>
      <c r="D1557" s="1" t="s">
        <v>9</v>
      </c>
      <c r="E1557" s="1" t="s">
        <v>9</v>
      </c>
      <c r="F1557" s="6"/>
      <c r="G1557" s="6"/>
      <c r="H1557" s="11"/>
      <c r="I155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57" t="str">
        <f>IF(Table1[[#This Row],[Nationality]]="Nigeria",Table1[[#This Row],[EMJM Scholarship]],"Not Applicable")</f>
        <v>Not Applicable</v>
      </c>
    </row>
    <row r="1558" spans="1:10" ht="19.25" hidden="1" customHeight="1" x14ac:dyDescent="0.3">
      <c r="A1558" s="8">
        <v>2493526</v>
      </c>
      <c r="B1558" s="6" t="s">
        <v>80</v>
      </c>
      <c r="C1558" s="1" t="s">
        <v>9</v>
      </c>
      <c r="D1558" s="1" t="s">
        <v>9</v>
      </c>
      <c r="E1558" s="1" t="s">
        <v>9</v>
      </c>
      <c r="F1558" s="6"/>
      <c r="G1558" s="6"/>
      <c r="H1558" s="11"/>
      <c r="I155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58" t="str">
        <f>IF(Table1[[#This Row],[Nationality]]="Nigeria",Table1[[#This Row],[EMJM Scholarship]],"Not Applicable")</f>
        <v>Not Applicable</v>
      </c>
    </row>
    <row r="1559" spans="1:10" ht="19.25" hidden="1" customHeight="1" x14ac:dyDescent="0.3">
      <c r="A1559" s="8">
        <v>2493539</v>
      </c>
      <c r="B1559" s="6" t="s">
        <v>80</v>
      </c>
      <c r="C1559" s="1" t="s">
        <v>9</v>
      </c>
      <c r="D1559" s="1" t="s">
        <v>9</v>
      </c>
      <c r="E1559" s="1" t="s">
        <v>9</v>
      </c>
      <c r="F1559" s="6"/>
      <c r="G1559" s="6"/>
      <c r="H1559" s="11"/>
      <c r="I155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59" t="str">
        <f>IF(Table1[[#This Row],[Nationality]]="Nigeria",Table1[[#This Row],[EMJM Scholarship]],"Not Applicable")</f>
        <v>Not Applicable</v>
      </c>
    </row>
    <row r="1560" spans="1:10" ht="19.25" hidden="1" customHeight="1" x14ac:dyDescent="0.3">
      <c r="A1560" s="8">
        <v>2493546</v>
      </c>
      <c r="B1560" s="6" t="s">
        <v>80</v>
      </c>
      <c r="C1560" s="1" t="s">
        <v>9</v>
      </c>
      <c r="D1560" s="1" t="s">
        <v>9</v>
      </c>
      <c r="E1560" s="1" t="s">
        <v>9</v>
      </c>
      <c r="F1560" s="6"/>
      <c r="G1560" s="6"/>
      <c r="H1560" s="11"/>
      <c r="I156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60" t="str">
        <f>IF(Table1[[#This Row],[Nationality]]="Nigeria",Table1[[#This Row],[EMJM Scholarship]],"Not Applicable")</f>
        <v>Not Applicable</v>
      </c>
    </row>
    <row r="1561" spans="1:10" ht="19.25" hidden="1" customHeight="1" x14ac:dyDescent="0.3">
      <c r="A1561" s="8">
        <v>2493557</v>
      </c>
      <c r="B1561" s="6" t="s">
        <v>80</v>
      </c>
      <c r="C1561" s="1" t="s">
        <v>9</v>
      </c>
      <c r="D1561" s="1" t="s">
        <v>9</v>
      </c>
      <c r="E1561" s="1" t="s">
        <v>9</v>
      </c>
      <c r="F1561" s="6"/>
      <c r="G1561" s="6"/>
      <c r="H1561" s="11"/>
      <c r="I156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61" t="str">
        <f>IF(Table1[[#This Row],[Nationality]]="Nigeria",Table1[[#This Row],[EMJM Scholarship]],"Not Applicable")</f>
        <v>Not Applicable</v>
      </c>
    </row>
    <row r="1562" spans="1:10" ht="19.25" hidden="1" customHeight="1" x14ac:dyDescent="0.3">
      <c r="A1562" s="8">
        <v>2493560</v>
      </c>
      <c r="B1562" s="6" t="s">
        <v>80</v>
      </c>
      <c r="C1562" s="1" t="s">
        <v>9</v>
      </c>
      <c r="D1562" s="1" t="s">
        <v>9</v>
      </c>
      <c r="E1562" s="1" t="s">
        <v>9</v>
      </c>
      <c r="F1562" s="6"/>
      <c r="G1562" s="6"/>
      <c r="H1562" s="11"/>
      <c r="I156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62" t="str">
        <f>IF(Table1[[#This Row],[Nationality]]="Nigeria",Table1[[#This Row],[EMJM Scholarship]],"Not Applicable")</f>
        <v>Not Applicable</v>
      </c>
    </row>
    <row r="1563" spans="1:10" ht="19.25" hidden="1" customHeight="1" x14ac:dyDescent="0.3">
      <c r="A1563" s="8">
        <v>2493571</v>
      </c>
      <c r="B1563" s="6" t="s">
        <v>80</v>
      </c>
      <c r="C1563" s="1" t="s">
        <v>9</v>
      </c>
      <c r="D1563" s="1" t="s">
        <v>9</v>
      </c>
      <c r="E1563" s="1" t="s">
        <v>9</v>
      </c>
      <c r="F1563" s="6"/>
      <c r="G1563" s="6"/>
      <c r="H1563" s="11"/>
      <c r="I156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63" t="str">
        <f>IF(Table1[[#This Row],[Nationality]]="Nigeria",Table1[[#This Row],[EMJM Scholarship]],"Not Applicable")</f>
        <v>Not Applicable</v>
      </c>
    </row>
    <row r="1564" spans="1:10" ht="19.25" hidden="1" customHeight="1" x14ac:dyDescent="0.3">
      <c r="A1564" s="8">
        <v>2493636</v>
      </c>
      <c r="B1564" s="6" t="s">
        <v>80</v>
      </c>
      <c r="C1564" s="1" t="s">
        <v>9</v>
      </c>
      <c r="D1564" s="1" t="s">
        <v>9</v>
      </c>
      <c r="E1564" s="1" t="s">
        <v>9</v>
      </c>
      <c r="F1564" s="6"/>
      <c r="G1564" s="6"/>
      <c r="H1564" s="11"/>
      <c r="I156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64" t="str">
        <f>IF(Table1[[#This Row],[Nationality]]="Nigeria",Table1[[#This Row],[EMJM Scholarship]],"Not Applicable")</f>
        <v>Not Applicable</v>
      </c>
    </row>
    <row r="1565" spans="1:10" ht="19.25" hidden="1" customHeight="1" x14ac:dyDescent="0.3">
      <c r="A1565" s="8">
        <v>2493657</v>
      </c>
      <c r="B1565" s="6" t="s">
        <v>80</v>
      </c>
      <c r="C1565" s="1" t="s">
        <v>9</v>
      </c>
      <c r="D1565" s="1" t="s">
        <v>9</v>
      </c>
      <c r="E1565" s="1" t="s">
        <v>9</v>
      </c>
      <c r="F1565" s="6"/>
      <c r="G1565" s="6"/>
      <c r="H1565" s="11"/>
      <c r="I156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65" t="str">
        <f>IF(Table1[[#This Row],[Nationality]]="Nigeria",Table1[[#This Row],[EMJM Scholarship]],"Not Applicable")</f>
        <v>Not Applicable</v>
      </c>
    </row>
    <row r="1566" spans="1:10" ht="19.25" hidden="1" customHeight="1" x14ac:dyDescent="0.3">
      <c r="A1566" s="8">
        <v>2493685</v>
      </c>
      <c r="B1566" s="6" t="s">
        <v>80</v>
      </c>
      <c r="C1566" s="1" t="s">
        <v>9</v>
      </c>
      <c r="D1566" s="1" t="s">
        <v>9</v>
      </c>
      <c r="E1566" s="1" t="s">
        <v>9</v>
      </c>
      <c r="F1566" s="6"/>
      <c r="G1566" s="6"/>
      <c r="H1566" s="11"/>
      <c r="I156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66" t="str">
        <f>IF(Table1[[#This Row],[Nationality]]="Nigeria",Table1[[#This Row],[EMJM Scholarship]],"Not Applicable")</f>
        <v>Not Applicable</v>
      </c>
    </row>
    <row r="1567" spans="1:10" ht="19.25" hidden="1" customHeight="1" x14ac:dyDescent="0.3">
      <c r="A1567" s="8">
        <v>2493753</v>
      </c>
      <c r="B1567" s="6" t="s">
        <v>80</v>
      </c>
      <c r="C1567" s="1" t="s">
        <v>9</v>
      </c>
      <c r="D1567" s="1" t="s">
        <v>9</v>
      </c>
      <c r="E1567" s="1" t="s">
        <v>9</v>
      </c>
      <c r="F1567" s="6"/>
      <c r="G1567" s="6"/>
      <c r="H1567" s="11"/>
      <c r="I156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67" t="str">
        <f>IF(Table1[[#This Row],[Nationality]]="Nigeria",Table1[[#This Row],[EMJM Scholarship]],"Not Applicable")</f>
        <v>Not Applicable</v>
      </c>
    </row>
    <row r="1568" spans="1:10" ht="19.25" hidden="1" customHeight="1" x14ac:dyDescent="0.3">
      <c r="A1568" s="8">
        <v>2493836</v>
      </c>
      <c r="B1568" s="6" t="s">
        <v>80</v>
      </c>
      <c r="C1568" s="1" t="s">
        <v>9</v>
      </c>
      <c r="D1568" s="1" t="s">
        <v>9</v>
      </c>
      <c r="E1568" s="1" t="s">
        <v>9</v>
      </c>
      <c r="F1568" s="6"/>
      <c r="G1568" s="6"/>
      <c r="H1568" s="11"/>
      <c r="I156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68" t="str">
        <f>IF(Table1[[#This Row],[Nationality]]="Nigeria",Table1[[#This Row],[EMJM Scholarship]],"Not Applicable")</f>
        <v>Not Applicable</v>
      </c>
    </row>
    <row r="1569" spans="1:10" ht="19.25" hidden="1" customHeight="1" x14ac:dyDescent="0.3">
      <c r="A1569" s="8">
        <v>2494033</v>
      </c>
      <c r="B1569" s="6" t="s">
        <v>80</v>
      </c>
      <c r="C1569" s="1" t="s">
        <v>9</v>
      </c>
      <c r="D1569" s="1" t="s">
        <v>9</v>
      </c>
      <c r="E1569" s="1" t="s">
        <v>9</v>
      </c>
      <c r="F1569" s="6"/>
      <c r="G1569" s="6"/>
      <c r="H1569" s="11"/>
      <c r="I156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69" t="str">
        <f>IF(Table1[[#This Row],[Nationality]]="Nigeria",Table1[[#This Row],[EMJM Scholarship]],"Not Applicable")</f>
        <v>Not Applicable</v>
      </c>
    </row>
    <row r="1570" spans="1:10" ht="19.25" hidden="1" customHeight="1" x14ac:dyDescent="0.3">
      <c r="A1570" s="8">
        <v>2494189</v>
      </c>
      <c r="B1570" s="6" t="s">
        <v>80</v>
      </c>
      <c r="C1570" s="1" t="s">
        <v>9</v>
      </c>
      <c r="D1570" s="1" t="s">
        <v>9</v>
      </c>
      <c r="E1570" s="1" t="s">
        <v>9</v>
      </c>
      <c r="F1570" s="6"/>
      <c r="G1570" s="6"/>
      <c r="H1570" s="11"/>
      <c r="I157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70" t="str">
        <f>IF(Table1[[#This Row],[Nationality]]="Nigeria",Table1[[#This Row],[EMJM Scholarship]],"Not Applicable")</f>
        <v>Not Applicable</v>
      </c>
    </row>
    <row r="1571" spans="1:10" ht="19.25" hidden="1" customHeight="1" x14ac:dyDescent="0.3">
      <c r="A1571" s="8">
        <v>2494193</v>
      </c>
      <c r="B1571" s="6" t="s">
        <v>80</v>
      </c>
      <c r="C1571" s="1" t="s">
        <v>9</v>
      </c>
      <c r="D1571" s="1" t="s">
        <v>9</v>
      </c>
      <c r="E1571" s="1" t="s">
        <v>9</v>
      </c>
      <c r="F1571" s="6"/>
      <c r="G1571" s="6"/>
      <c r="H1571" s="11"/>
      <c r="I157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71" t="str">
        <f>IF(Table1[[#This Row],[Nationality]]="Nigeria",Table1[[#This Row],[EMJM Scholarship]],"Not Applicable")</f>
        <v>Not Applicable</v>
      </c>
    </row>
    <row r="1572" spans="1:10" ht="19.25" hidden="1" customHeight="1" x14ac:dyDescent="0.3">
      <c r="A1572" s="8">
        <v>2494204</v>
      </c>
      <c r="B1572" s="6" t="s">
        <v>80</v>
      </c>
      <c r="C1572" s="1" t="s">
        <v>9</v>
      </c>
      <c r="D1572" s="1" t="s">
        <v>9</v>
      </c>
      <c r="E1572" s="1" t="s">
        <v>9</v>
      </c>
      <c r="F1572" s="6"/>
      <c r="G1572" s="6"/>
      <c r="H1572" s="11"/>
      <c r="I157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72" t="str">
        <f>IF(Table1[[#This Row],[Nationality]]="Nigeria",Table1[[#This Row],[EMJM Scholarship]],"Not Applicable")</f>
        <v>Not Applicable</v>
      </c>
    </row>
    <row r="1573" spans="1:10" ht="19.25" hidden="1" customHeight="1" x14ac:dyDescent="0.3">
      <c r="A1573" s="8">
        <v>2494303</v>
      </c>
      <c r="B1573" s="6" t="s">
        <v>80</v>
      </c>
      <c r="C1573" s="1" t="s">
        <v>9</v>
      </c>
      <c r="D1573" s="1" t="s">
        <v>9</v>
      </c>
      <c r="E1573" s="1" t="s">
        <v>9</v>
      </c>
      <c r="F1573" s="6"/>
      <c r="G1573" s="6"/>
      <c r="H1573" s="11"/>
      <c r="I157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73" t="str">
        <f>IF(Table1[[#This Row],[Nationality]]="Nigeria",Table1[[#This Row],[EMJM Scholarship]],"Not Applicable")</f>
        <v>Not Applicable</v>
      </c>
    </row>
    <row r="1574" spans="1:10" ht="19.25" hidden="1" customHeight="1" x14ac:dyDescent="0.3">
      <c r="A1574" s="8">
        <v>2494312</v>
      </c>
      <c r="B1574" s="6" t="s">
        <v>80</v>
      </c>
      <c r="C1574" s="1" t="s">
        <v>9</v>
      </c>
      <c r="D1574" s="1" t="s">
        <v>9</v>
      </c>
      <c r="E1574" s="1" t="s">
        <v>9</v>
      </c>
      <c r="F1574" s="6"/>
      <c r="G1574" s="6"/>
      <c r="H1574" s="11"/>
      <c r="I157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74" t="str">
        <f>IF(Table1[[#This Row],[Nationality]]="Nigeria",Table1[[#This Row],[EMJM Scholarship]],"Not Applicable")</f>
        <v>Not Applicable</v>
      </c>
    </row>
    <row r="1575" spans="1:10" ht="19.25" hidden="1" customHeight="1" x14ac:dyDescent="0.3">
      <c r="A1575" s="8">
        <v>2494405</v>
      </c>
      <c r="B1575" s="6" t="s">
        <v>80</v>
      </c>
      <c r="C1575" s="1" t="s">
        <v>9</v>
      </c>
      <c r="D1575" s="1" t="s">
        <v>9</v>
      </c>
      <c r="E1575" s="1" t="s">
        <v>9</v>
      </c>
      <c r="F1575" s="6"/>
      <c r="G1575" s="6"/>
      <c r="H1575" s="11"/>
      <c r="I157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75" t="str">
        <f>IF(Table1[[#This Row],[Nationality]]="Nigeria",Table1[[#This Row],[EMJM Scholarship]],"Not Applicable")</f>
        <v>Not Applicable</v>
      </c>
    </row>
    <row r="1576" spans="1:10" ht="19.25" hidden="1" customHeight="1" x14ac:dyDescent="0.3">
      <c r="A1576" s="8">
        <v>2494463</v>
      </c>
      <c r="B1576" s="6" t="s">
        <v>80</v>
      </c>
      <c r="C1576" s="1" t="s">
        <v>9</v>
      </c>
      <c r="D1576" s="1" t="s">
        <v>9</v>
      </c>
      <c r="E1576" s="1" t="s">
        <v>9</v>
      </c>
      <c r="F1576" s="6"/>
      <c r="G1576" s="6"/>
      <c r="H1576" s="11"/>
      <c r="I157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76" t="str">
        <f>IF(Table1[[#This Row],[Nationality]]="Nigeria",Table1[[#This Row],[EMJM Scholarship]],"Not Applicable")</f>
        <v>Not Applicable</v>
      </c>
    </row>
    <row r="1577" spans="1:10" ht="19.25" hidden="1" customHeight="1" x14ac:dyDescent="0.3">
      <c r="A1577" s="8">
        <v>2494486</v>
      </c>
      <c r="B1577" s="6" t="s">
        <v>80</v>
      </c>
      <c r="C1577" s="1" t="s">
        <v>9</v>
      </c>
      <c r="D1577" s="1" t="s">
        <v>9</v>
      </c>
      <c r="E1577" s="1" t="s">
        <v>9</v>
      </c>
      <c r="F1577" s="6"/>
      <c r="G1577" s="6"/>
      <c r="H1577" s="11"/>
      <c r="I157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77" t="str">
        <f>IF(Table1[[#This Row],[Nationality]]="Nigeria",Table1[[#This Row],[EMJM Scholarship]],"Not Applicable")</f>
        <v>Not Applicable</v>
      </c>
    </row>
    <row r="1578" spans="1:10" ht="19.25" hidden="1" customHeight="1" x14ac:dyDescent="0.3">
      <c r="A1578" s="8">
        <v>2494504</v>
      </c>
      <c r="B1578" s="6" t="s">
        <v>80</v>
      </c>
      <c r="C1578" s="1" t="s">
        <v>9</v>
      </c>
      <c r="D1578" s="1" t="s">
        <v>9</v>
      </c>
      <c r="E1578" s="1" t="s">
        <v>9</v>
      </c>
      <c r="F1578" s="6"/>
      <c r="G1578" s="6"/>
      <c r="H1578" s="11"/>
      <c r="I157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78" t="str">
        <f>IF(Table1[[#This Row],[Nationality]]="Nigeria",Table1[[#This Row],[EMJM Scholarship]],"Not Applicable")</f>
        <v>Not Applicable</v>
      </c>
    </row>
    <row r="1579" spans="1:10" ht="19.25" hidden="1" customHeight="1" x14ac:dyDescent="0.3">
      <c r="A1579" s="8">
        <v>2494589</v>
      </c>
      <c r="B1579" s="6" t="s">
        <v>80</v>
      </c>
      <c r="C1579" s="1" t="s">
        <v>9</v>
      </c>
      <c r="D1579" s="1" t="s">
        <v>9</v>
      </c>
      <c r="E1579" s="1" t="s">
        <v>9</v>
      </c>
      <c r="F1579" s="6"/>
      <c r="G1579" s="6"/>
      <c r="H1579" s="11"/>
      <c r="I157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79" t="str">
        <f>IF(Table1[[#This Row],[Nationality]]="Nigeria",Table1[[#This Row],[EMJM Scholarship]],"Not Applicable")</f>
        <v>Not Applicable</v>
      </c>
    </row>
    <row r="1580" spans="1:10" ht="19.25" hidden="1" customHeight="1" x14ac:dyDescent="0.3">
      <c r="A1580" s="8">
        <v>2494648</v>
      </c>
      <c r="B1580" s="6" t="s">
        <v>80</v>
      </c>
      <c r="C1580" s="1" t="s">
        <v>9</v>
      </c>
      <c r="D1580" s="1" t="s">
        <v>9</v>
      </c>
      <c r="E1580" s="1" t="s">
        <v>9</v>
      </c>
      <c r="F1580" s="6"/>
      <c r="G1580" s="6"/>
      <c r="H1580" s="11"/>
      <c r="I158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80" t="str">
        <f>IF(Table1[[#This Row],[Nationality]]="Nigeria",Table1[[#This Row],[EMJM Scholarship]],"Not Applicable")</f>
        <v>Not Applicable</v>
      </c>
    </row>
    <row r="1581" spans="1:10" ht="19.25" hidden="1" customHeight="1" x14ac:dyDescent="0.3">
      <c r="A1581" s="8">
        <v>2494841</v>
      </c>
      <c r="B1581" s="6" t="s">
        <v>80</v>
      </c>
      <c r="C1581" s="1" t="s">
        <v>9</v>
      </c>
      <c r="D1581" s="1" t="s">
        <v>9</v>
      </c>
      <c r="E1581" s="1" t="s">
        <v>9</v>
      </c>
      <c r="F1581" s="6"/>
      <c r="G1581" s="6"/>
      <c r="H1581" s="11"/>
      <c r="I158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81" t="str">
        <f>IF(Table1[[#This Row],[Nationality]]="Nigeria",Table1[[#This Row],[EMJM Scholarship]],"Not Applicable")</f>
        <v>Not Applicable</v>
      </c>
    </row>
    <row r="1582" spans="1:10" ht="19.25" hidden="1" customHeight="1" x14ac:dyDescent="0.3">
      <c r="A1582" s="8">
        <v>2494852</v>
      </c>
      <c r="B1582" s="6" t="s">
        <v>80</v>
      </c>
      <c r="C1582" s="1" t="s">
        <v>9</v>
      </c>
      <c r="D1582" s="1" t="s">
        <v>9</v>
      </c>
      <c r="E1582" s="1" t="s">
        <v>9</v>
      </c>
      <c r="F1582" s="6"/>
      <c r="G1582" s="6"/>
      <c r="H1582" s="11"/>
      <c r="I158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82" t="str">
        <f>IF(Table1[[#This Row],[Nationality]]="Nigeria",Table1[[#This Row],[EMJM Scholarship]],"Not Applicable")</f>
        <v>Not Applicable</v>
      </c>
    </row>
    <row r="1583" spans="1:10" ht="19.25" hidden="1" customHeight="1" x14ac:dyDescent="0.3">
      <c r="A1583" s="8">
        <v>2494856</v>
      </c>
      <c r="B1583" s="6" t="s">
        <v>80</v>
      </c>
      <c r="C1583" s="1" t="s">
        <v>9</v>
      </c>
      <c r="D1583" s="1" t="s">
        <v>9</v>
      </c>
      <c r="E1583" s="1" t="s">
        <v>9</v>
      </c>
      <c r="F1583" s="6"/>
      <c r="G1583" s="6"/>
      <c r="H1583" s="11"/>
      <c r="I158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83" t="str">
        <f>IF(Table1[[#This Row],[Nationality]]="Nigeria",Table1[[#This Row],[EMJM Scholarship]],"Not Applicable")</f>
        <v>Not Applicable</v>
      </c>
    </row>
    <row r="1584" spans="1:10" ht="19.25" hidden="1" customHeight="1" x14ac:dyDescent="0.3">
      <c r="A1584" s="8">
        <v>2494971</v>
      </c>
      <c r="B1584" s="6" t="s">
        <v>80</v>
      </c>
      <c r="C1584" s="1" t="s">
        <v>9</v>
      </c>
      <c r="D1584" s="1" t="s">
        <v>9</v>
      </c>
      <c r="E1584" s="1" t="s">
        <v>9</v>
      </c>
      <c r="F1584" s="6"/>
      <c r="G1584" s="6"/>
      <c r="H1584" s="11"/>
      <c r="I158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84" t="str">
        <f>IF(Table1[[#This Row],[Nationality]]="Nigeria",Table1[[#This Row],[EMJM Scholarship]],"Not Applicable")</f>
        <v>Not Applicable</v>
      </c>
    </row>
    <row r="1585" spans="1:10" ht="19.25" hidden="1" customHeight="1" x14ac:dyDescent="0.3">
      <c r="A1585" s="8">
        <v>2495037</v>
      </c>
      <c r="B1585" s="6" t="s">
        <v>80</v>
      </c>
      <c r="C1585" s="1" t="s">
        <v>9</v>
      </c>
      <c r="D1585" s="1" t="s">
        <v>9</v>
      </c>
      <c r="E1585" s="1" t="s">
        <v>9</v>
      </c>
      <c r="F1585" s="6"/>
      <c r="G1585" s="6"/>
      <c r="H1585" s="11"/>
      <c r="I158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85" t="str">
        <f>IF(Table1[[#This Row],[Nationality]]="Nigeria",Table1[[#This Row],[EMJM Scholarship]],"Not Applicable")</f>
        <v>Not Applicable</v>
      </c>
    </row>
    <row r="1586" spans="1:10" ht="19.25" hidden="1" customHeight="1" x14ac:dyDescent="0.3">
      <c r="A1586" s="8">
        <v>2495049</v>
      </c>
      <c r="B1586" s="6" t="s">
        <v>80</v>
      </c>
      <c r="C1586" s="1" t="s">
        <v>9</v>
      </c>
      <c r="D1586" s="1" t="s">
        <v>9</v>
      </c>
      <c r="E1586" s="1" t="s">
        <v>9</v>
      </c>
      <c r="F1586" s="6"/>
      <c r="G1586" s="6"/>
      <c r="H1586" s="11"/>
      <c r="I158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86" t="str">
        <f>IF(Table1[[#This Row],[Nationality]]="Nigeria",Table1[[#This Row],[EMJM Scholarship]],"Not Applicable")</f>
        <v>Not Applicable</v>
      </c>
    </row>
    <row r="1587" spans="1:10" ht="19.25" hidden="1" customHeight="1" x14ac:dyDescent="0.3">
      <c r="A1587" s="8">
        <v>2495246</v>
      </c>
      <c r="B1587" s="6" t="s">
        <v>80</v>
      </c>
      <c r="C1587" s="1" t="s">
        <v>9</v>
      </c>
      <c r="D1587" s="1" t="s">
        <v>9</v>
      </c>
      <c r="E1587" s="1" t="s">
        <v>9</v>
      </c>
      <c r="F1587" s="6"/>
      <c r="G1587" s="6"/>
      <c r="H1587" s="11"/>
      <c r="I158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87" t="str">
        <f>IF(Table1[[#This Row],[Nationality]]="Nigeria",Table1[[#This Row],[EMJM Scholarship]],"Not Applicable")</f>
        <v>Not Applicable</v>
      </c>
    </row>
    <row r="1588" spans="1:10" ht="19.25" hidden="1" customHeight="1" x14ac:dyDescent="0.3">
      <c r="A1588" s="8">
        <v>2495369</v>
      </c>
      <c r="B1588" s="6" t="s">
        <v>80</v>
      </c>
      <c r="C1588" s="1" t="s">
        <v>9</v>
      </c>
      <c r="D1588" s="1" t="s">
        <v>9</v>
      </c>
      <c r="E1588" s="1" t="s">
        <v>9</v>
      </c>
      <c r="F1588" s="6"/>
      <c r="G1588" s="6"/>
      <c r="H1588" s="11"/>
      <c r="I158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88" t="str">
        <f>IF(Table1[[#This Row],[Nationality]]="Nigeria",Table1[[#This Row],[EMJM Scholarship]],"Not Applicable")</f>
        <v>Not Applicable</v>
      </c>
    </row>
    <row r="1589" spans="1:10" ht="19.25" hidden="1" customHeight="1" x14ac:dyDescent="0.3">
      <c r="A1589" s="8">
        <v>2495427</v>
      </c>
      <c r="B1589" s="6" t="s">
        <v>80</v>
      </c>
      <c r="C1589" s="1" t="s">
        <v>9</v>
      </c>
      <c r="D1589" s="1" t="s">
        <v>9</v>
      </c>
      <c r="E1589" s="1" t="s">
        <v>9</v>
      </c>
      <c r="F1589" s="6"/>
      <c r="G1589" s="6"/>
      <c r="H1589" s="11"/>
      <c r="I158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89" t="str">
        <f>IF(Table1[[#This Row],[Nationality]]="Nigeria",Table1[[#This Row],[EMJM Scholarship]],"Not Applicable")</f>
        <v>Not Applicable</v>
      </c>
    </row>
    <row r="1590" spans="1:10" ht="19.25" hidden="1" customHeight="1" x14ac:dyDescent="0.3">
      <c r="A1590" s="8">
        <v>2495456</v>
      </c>
      <c r="B1590" s="6" t="s">
        <v>80</v>
      </c>
      <c r="C1590" s="1" t="s">
        <v>9</v>
      </c>
      <c r="D1590" s="1" t="s">
        <v>9</v>
      </c>
      <c r="E1590" s="1" t="s">
        <v>9</v>
      </c>
      <c r="F1590" s="6"/>
      <c r="G1590" s="6"/>
      <c r="H1590" s="11"/>
      <c r="I159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90" t="str">
        <f>IF(Table1[[#This Row],[Nationality]]="Nigeria",Table1[[#This Row],[EMJM Scholarship]],"Not Applicable")</f>
        <v>Not Applicable</v>
      </c>
    </row>
    <row r="1591" spans="1:10" ht="19.25" hidden="1" customHeight="1" x14ac:dyDescent="0.3">
      <c r="A1591" s="8">
        <v>2495487</v>
      </c>
      <c r="B1591" s="6" t="s">
        <v>80</v>
      </c>
      <c r="C1591" s="1" t="s">
        <v>9</v>
      </c>
      <c r="D1591" s="1" t="s">
        <v>9</v>
      </c>
      <c r="E1591" s="1" t="s">
        <v>9</v>
      </c>
      <c r="F1591" s="6"/>
      <c r="G1591" s="6"/>
      <c r="H1591" s="11"/>
      <c r="I159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91" t="str">
        <f>IF(Table1[[#This Row],[Nationality]]="Nigeria",Table1[[#This Row],[EMJM Scholarship]],"Not Applicable")</f>
        <v>Not Applicable</v>
      </c>
    </row>
    <row r="1592" spans="1:10" ht="19.25" hidden="1" customHeight="1" x14ac:dyDescent="0.3">
      <c r="A1592" s="8">
        <v>2495534</v>
      </c>
      <c r="B1592" s="6" t="s">
        <v>80</v>
      </c>
      <c r="C1592" s="1" t="s">
        <v>9</v>
      </c>
      <c r="D1592" s="1" t="s">
        <v>9</v>
      </c>
      <c r="E1592" s="1" t="s">
        <v>9</v>
      </c>
      <c r="F1592" s="6"/>
      <c r="G1592" s="6"/>
      <c r="H1592" s="11"/>
      <c r="I159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92" t="str">
        <f>IF(Table1[[#This Row],[Nationality]]="Nigeria",Table1[[#This Row],[EMJM Scholarship]],"Not Applicable")</f>
        <v>Not Applicable</v>
      </c>
    </row>
    <row r="1593" spans="1:10" ht="19.25" hidden="1" customHeight="1" x14ac:dyDescent="0.3">
      <c r="A1593" s="8">
        <v>2495549</v>
      </c>
      <c r="B1593" s="6" t="s">
        <v>80</v>
      </c>
      <c r="C1593" s="1" t="s">
        <v>9</v>
      </c>
      <c r="D1593" s="1" t="s">
        <v>9</v>
      </c>
      <c r="E1593" s="1" t="s">
        <v>9</v>
      </c>
      <c r="F1593" s="6"/>
      <c r="G1593" s="6"/>
      <c r="H1593" s="11"/>
      <c r="I159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93" t="str">
        <f>IF(Table1[[#This Row],[Nationality]]="Nigeria",Table1[[#This Row],[EMJM Scholarship]],"Not Applicable")</f>
        <v>Not Applicable</v>
      </c>
    </row>
    <row r="1594" spans="1:10" ht="19.25" hidden="1" customHeight="1" x14ac:dyDescent="0.3">
      <c r="A1594" s="8">
        <v>2495583</v>
      </c>
      <c r="B1594" s="6" t="s">
        <v>80</v>
      </c>
      <c r="C1594" s="1" t="s">
        <v>9</v>
      </c>
      <c r="D1594" s="1" t="s">
        <v>9</v>
      </c>
      <c r="E1594" s="1" t="s">
        <v>9</v>
      </c>
      <c r="F1594" s="6"/>
      <c r="G1594" s="6"/>
      <c r="H1594" s="11"/>
      <c r="I159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94" t="str">
        <f>IF(Table1[[#This Row],[Nationality]]="Nigeria",Table1[[#This Row],[EMJM Scholarship]],"Not Applicable")</f>
        <v>Not Applicable</v>
      </c>
    </row>
    <row r="1595" spans="1:10" ht="19.25" hidden="1" customHeight="1" x14ac:dyDescent="0.3">
      <c r="A1595" s="8">
        <v>2495650</v>
      </c>
      <c r="B1595" s="6" t="s">
        <v>80</v>
      </c>
      <c r="C1595" s="1" t="s">
        <v>9</v>
      </c>
      <c r="D1595" s="1" t="s">
        <v>9</v>
      </c>
      <c r="E1595" s="1" t="s">
        <v>9</v>
      </c>
      <c r="F1595" s="6"/>
      <c r="G1595" s="6"/>
      <c r="H1595" s="11"/>
      <c r="I159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95" t="str">
        <f>IF(Table1[[#This Row],[Nationality]]="Nigeria",Table1[[#This Row],[EMJM Scholarship]],"Not Applicable")</f>
        <v>Not Applicable</v>
      </c>
    </row>
    <row r="1596" spans="1:10" ht="19.25" hidden="1" customHeight="1" x14ac:dyDescent="0.3">
      <c r="A1596" s="8">
        <v>2495837</v>
      </c>
      <c r="B1596" s="6" t="s">
        <v>80</v>
      </c>
      <c r="C1596" s="1" t="s">
        <v>9</v>
      </c>
      <c r="D1596" s="1" t="s">
        <v>9</v>
      </c>
      <c r="E1596" s="1" t="s">
        <v>9</v>
      </c>
      <c r="F1596" s="6"/>
      <c r="G1596" s="6"/>
      <c r="H1596" s="11"/>
      <c r="I159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96" t="str">
        <f>IF(Table1[[#This Row],[Nationality]]="Nigeria",Table1[[#This Row],[EMJM Scholarship]],"Not Applicable")</f>
        <v>Not Applicable</v>
      </c>
    </row>
    <row r="1597" spans="1:10" ht="19.25" hidden="1" customHeight="1" x14ac:dyDescent="0.3">
      <c r="A1597" s="8">
        <v>2495841</v>
      </c>
      <c r="B1597" s="6" t="s">
        <v>80</v>
      </c>
      <c r="C1597" s="1" t="s">
        <v>9</v>
      </c>
      <c r="D1597" s="1" t="s">
        <v>9</v>
      </c>
      <c r="E1597" s="1" t="s">
        <v>9</v>
      </c>
      <c r="F1597" s="6"/>
      <c r="G1597" s="6"/>
      <c r="H1597" s="11"/>
      <c r="I159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97" t="str">
        <f>IF(Table1[[#This Row],[Nationality]]="Nigeria",Table1[[#This Row],[EMJM Scholarship]],"Not Applicable")</f>
        <v>Not Applicable</v>
      </c>
    </row>
    <row r="1598" spans="1:10" ht="19.25" hidden="1" customHeight="1" x14ac:dyDescent="0.3">
      <c r="A1598" s="8">
        <v>2495842</v>
      </c>
      <c r="B1598" s="6" t="s">
        <v>80</v>
      </c>
      <c r="C1598" s="1" t="s">
        <v>9</v>
      </c>
      <c r="D1598" s="1" t="s">
        <v>9</v>
      </c>
      <c r="E1598" s="1" t="s">
        <v>9</v>
      </c>
      <c r="F1598" s="6"/>
      <c r="G1598" s="6"/>
      <c r="H1598" s="11"/>
      <c r="I159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98" t="str">
        <f>IF(Table1[[#This Row],[Nationality]]="Nigeria",Table1[[#This Row],[EMJM Scholarship]],"Not Applicable")</f>
        <v>Not Applicable</v>
      </c>
    </row>
    <row r="1599" spans="1:10" ht="19.25" hidden="1" customHeight="1" x14ac:dyDescent="0.3">
      <c r="A1599" s="8">
        <v>2495852</v>
      </c>
      <c r="B1599" s="6" t="s">
        <v>80</v>
      </c>
      <c r="C1599" s="1" t="s">
        <v>9</v>
      </c>
      <c r="D1599" s="1" t="s">
        <v>9</v>
      </c>
      <c r="E1599" s="1" t="s">
        <v>9</v>
      </c>
      <c r="F1599" s="6"/>
      <c r="G1599" s="6"/>
      <c r="H1599" s="11"/>
      <c r="I159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599" t="str">
        <f>IF(Table1[[#This Row],[Nationality]]="Nigeria",Table1[[#This Row],[EMJM Scholarship]],"Not Applicable")</f>
        <v>Not Applicable</v>
      </c>
    </row>
    <row r="1600" spans="1:10" ht="19.25" hidden="1" customHeight="1" x14ac:dyDescent="0.3">
      <c r="A1600" s="8">
        <v>2495986</v>
      </c>
      <c r="B1600" s="6" t="s">
        <v>80</v>
      </c>
      <c r="C1600" s="1" t="s">
        <v>9</v>
      </c>
      <c r="D1600" s="1" t="s">
        <v>9</v>
      </c>
      <c r="E1600" s="1" t="s">
        <v>9</v>
      </c>
      <c r="F1600" s="6"/>
      <c r="G1600" s="6"/>
      <c r="H1600" s="11"/>
      <c r="I160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00" t="str">
        <f>IF(Table1[[#This Row],[Nationality]]="Nigeria",Table1[[#This Row],[EMJM Scholarship]],"Not Applicable")</f>
        <v>Not Applicable</v>
      </c>
    </row>
    <row r="1601" spans="1:10" ht="19.25" hidden="1" customHeight="1" x14ac:dyDescent="0.3">
      <c r="A1601" s="8">
        <v>2496089</v>
      </c>
      <c r="B1601" s="6" t="s">
        <v>80</v>
      </c>
      <c r="C1601" s="1" t="s">
        <v>9</v>
      </c>
      <c r="D1601" s="1" t="s">
        <v>9</v>
      </c>
      <c r="E1601" s="1" t="s">
        <v>9</v>
      </c>
      <c r="F1601" s="6"/>
      <c r="G1601" s="6"/>
      <c r="H1601" s="11"/>
      <c r="I160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01" t="str">
        <f>IF(Table1[[#This Row],[Nationality]]="Nigeria",Table1[[#This Row],[EMJM Scholarship]],"Not Applicable")</f>
        <v>Not Applicable</v>
      </c>
    </row>
    <row r="1602" spans="1:10" ht="19.25" hidden="1" customHeight="1" x14ac:dyDescent="0.3">
      <c r="A1602" s="8">
        <v>2496100</v>
      </c>
      <c r="B1602" s="6" t="s">
        <v>80</v>
      </c>
      <c r="C1602" s="1" t="s">
        <v>9</v>
      </c>
      <c r="D1602" s="1" t="s">
        <v>9</v>
      </c>
      <c r="E1602" s="1" t="s">
        <v>9</v>
      </c>
      <c r="F1602" s="6"/>
      <c r="G1602" s="6"/>
      <c r="H1602" s="11"/>
      <c r="I160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02" t="str">
        <f>IF(Table1[[#This Row],[Nationality]]="Nigeria",Table1[[#This Row],[EMJM Scholarship]],"Not Applicable")</f>
        <v>Not Applicable</v>
      </c>
    </row>
    <row r="1603" spans="1:10" ht="19.25" hidden="1" customHeight="1" x14ac:dyDescent="0.3">
      <c r="A1603" s="8">
        <v>2496104</v>
      </c>
      <c r="B1603" s="6" t="s">
        <v>80</v>
      </c>
      <c r="C1603" s="1" t="s">
        <v>9</v>
      </c>
      <c r="D1603" s="1" t="s">
        <v>9</v>
      </c>
      <c r="E1603" s="1" t="s">
        <v>9</v>
      </c>
      <c r="F1603" s="6"/>
      <c r="G1603" s="6"/>
      <c r="H1603" s="11"/>
      <c r="I160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03" t="str">
        <f>IF(Table1[[#This Row],[Nationality]]="Nigeria",Table1[[#This Row],[EMJM Scholarship]],"Not Applicable")</f>
        <v>Not Applicable</v>
      </c>
    </row>
    <row r="1604" spans="1:10" ht="19.25" hidden="1" customHeight="1" x14ac:dyDescent="0.3">
      <c r="A1604" s="8">
        <v>2496106</v>
      </c>
      <c r="B1604" s="6" t="s">
        <v>80</v>
      </c>
      <c r="C1604" s="1" t="s">
        <v>9</v>
      </c>
      <c r="D1604" s="1" t="s">
        <v>9</v>
      </c>
      <c r="E1604" s="1" t="s">
        <v>9</v>
      </c>
      <c r="F1604" s="6"/>
      <c r="G1604" s="6"/>
      <c r="H1604" s="11"/>
      <c r="I160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04" t="str">
        <f>IF(Table1[[#This Row],[Nationality]]="Nigeria",Table1[[#This Row],[EMJM Scholarship]],"Not Applicable")</f>
        <v>Not Applicable</v>
      </c>
    </row>
    <row r="1605" spans="1:10" ht="19.25" hidden="1" customHeight="1" x14ac:dyDescent="0.3">
      <c r="A1605" s="8">
        <v>2496126</v>
      </c>
      <c r="B1605" s="6" t="s">
        <v>80</v>
      </c>
      <c r="C1605" s="1" t="s">
        <v>9</v>
      </c>
      <c r="D1605" s="1" t="s">
        <v>9</v>
      </c>
      <c r="E1605" s="1" t="s">
        <v>9</v>
      </c>
      <c r="F1605" s="6"/>
      <c r="G1605" s="6"/>
      <c r="H1605" s="11"/>
      <c r="I160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05" t="str">
        <f>IF(Table1[[#This Row],[Nationality]]="Nigeria",Table1[[#This Row],[EMJM Scholarship]],"Not Applicable")</f>
        <v>Not Applicable</v>
      </c>
    </row>
    <row r="1606" spans="1:10" ht="19.25" hidden="1" customHeight="1" x14ac:dyDescent="0.3">
      <c r="A1606" s="8">
        <v>2496145</v>
      </c>
      <c r="B1606" s="6" t="s">
        <v>80</v>
      </c>
      <c r="C1606" s="1" t="s">
        <v>9</v>
      </c>
      <c r="D1606" s="1" t="s">
        <v>9</v>
      </c>
      <c r="E1606" s="1" t="s">
        <v>9</v>
      </c>
      <c r="F1606" s="6"/>
      <c r="G1606" s="6"/>
      <c r="H1606" s="11"/>
      <c r="I160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06" t="str">
        <f>IF(Table1[[#This Row],[Nationality]]="Nigeria",Table1[[#This Row],[EMJM Scholarship]],"Not Applicable")</f>
        <v>Not Applicable</v>
      </c>
    </row>
    <row r="1607" spans="1:10" ht="19.25" hidden="1" customHeight="1" x14ac:dyDescent="0.3">
      <c r="A1607" s="8">
        <v>2496161</v>
      </c>
      <c r="B1607" s="6" t="s">
        <v>80</v>
      </c>
      <c r="C1607" s="1" t="s">
        <v>9</v>
      </c>
      <c r="D1607" s="1" t="s">
        <v>9</v>
      </c>
      <c r="E1607" s="1" t="s">
        <v>9</v>
      </c>
      <c r="F1607" s="6"/>
      <c r="G1607" s="6"/>
      <c r="H1607" s="11"/>
      <c r="I160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07" t="str">
        <f>IF(Table1[[#This Row],[Nationality]]="Nigeria",Table1[[#This Row],[EMJM Scholarship]],"Not Applicable")</f>
        <v>Not Applicable</v>
      </c>
    </row>
    <row r="1608" spans="1:10" ht="19.25" hidden="1" customHeight="1" x14ac:dyDescent="0.3">
      <c r="A1608" s="8">
        <v>2496193</v>
      </c>
      <c r="B1608" s="6" t="s">
        <v>80</v>
      </c>
      <c r="C1608" s="1" t="s">
        <v>9</v>
      </c>
      <c r="D1608" s="1" t="s">
        <v>9</v>
      </c>
      <c r="E1608" s="1" t="s">
        <v>9</v>
      </c>
      <c r="F1608" s="6"/>
      <c r="G1608" s="6"/>
      <c r="H1608" s="11"/>
      <c r="I160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08" t="str">
        <f>IF(Table1[[#This Row],[Nationality]]="Nigeria",Table1[[#This Row],[EMJM Scholarship]],"Not Applicable")</f>
        <v>Not Applicable</v>
      </c>
    </row>
    <row r="1609" spans="1:10" ht="19.25" hidden="1" customHeight="1" x14ac:dyDescent="0.3">
      <c r="A1609" s="8">
        <v>2496264</v>
      </c>
      <c r="B1609" s="6" t="s">
        <v>80</v>
      </c>
      <c r="C1609" s="1" t="s">
        <v>9</v>
      </c>
      <c r="D1609" s="1" t="s">
        <v>9</v>
      </c>
      <c r="E1609" s="1" t="s">
        <v>9</v>
      </c>
      <c r="F1609" s="6"/>
      <c r="G1609" s="6"/>
      <c r="H1609" s="11"/>
      <c r="I160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09" t="str">
        <f>IF(Table1[[#This Row],[Nationality]]="Nigeria",Table1[[#This Row],[EMJM Scholarship]],"Not Applicable")</f>
        <v>Not Applicable</v>
      </c>
    </row>
    <row r="1610" spans="1:10" ht="19.25" hidden="1" customHeight="1" x14ac:dyDescent="0.3">
      <c r="A1610" s="8">
        <v>2496341</v>
      </c>
      <c r="B1610" s="6" t="s">
        <v>80</v>
      </c>
      <c r="C1610" s="1" t="s">
        <v>9</v>
      </c>
      <c r="D1610" s="1" t="s">
        <v>9</v>
      </c>
      <c r="E1610" s="1" t="s">
        <v>9</v>
      </c>
      <c r="F1610" s="6"/>
      <c r="G1610" s="6"/>
      <c r="H1610" s="11"/>
      <c r="I161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10" t="str">
        <f>IF(Table1[[#This Row],[Nationality]]="Nigeria",Table1[[#This Row],[EMJM Scholarship]],"Not Applicable")</f>
        <v>Not Applicable</v>
      </c>
    </row>
    <row r="1611" spans="1:10" ht="19.25" hidden="1" customHeight="1" x14ac:dyDescent="0.3">
      <c r="A1611" s="8">
        <v>2496530</v>
      </c>
      <c r="B1611" s="6" t="s">
        <v>80</v>
      </c>
      <c r="C1611" s="1" t="s">
        <v>9</v>
      </c>
      <c r="D1611" s="1" t="s">
        <v>9</v>
      </c>
      <c r="E1611" s="1" t="s">
        <v>9</v>
      </c>
      <c r="F1611" s="6"/>
      <c r="G1611" s="6"/>
      <c r="H1611" s="11"/>
      <c r="I161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11" t="str">
        <f>IF(Table1[[#This Row],[Nationality]]="Nigeria",Table1[[#This Row],[EMJM Scholarship]],"Not Applicable")</f>
        <v>Not Applicable</v>
      </c>
    </row>
    <row r="1612" spans="1:10" ht="19.25" hidden="1" customHeight="1" x14ac:dyDescent="0.3">
      <c r="A1612" s="8">
        <v>2496543</v>
      </c>
      <c r="B1612" s="6" t="s">
        <v>80</v>
      </c>
      <c r="C1612" s="1" t="s">
        <v>9</v>
      </c>
      <c r="D1612" s="1" t="s">
        <v>9</v>
      </c>
      <c r="E1612" s="1" t="s">
        <v>9</v>
      </c>
      <c r="F1612" s="6"/>
      <c r="G1612" s="6"/>
      <c r="H1612" s="11"/>
      <c r="I161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12" t="str">
        <f>IF(Table1[[#This Row],[Nationality]]="Nigeria",Table1[[#This Row],[EMJM Scholarship]],"Not Applicable")</f>
        <v>Not Applicable</v>
      </c>
    </row>
    <row r="1613" spans="1:10" ht="19.25" hidden="1" customHeight="1" x14ac:dyDescent="0.3">
      <c r="A1613" s="8">
        <v>2496545</v>
      </c>
      <c r="B1613" s="6" t="s">
        <v>80</v>
      </c>
      <c r="C1613" s="1" t="s">
        <v>9</v>
      </c>
      <c r="D1613" s="1" t="s">
        <v>9</v>
      </c>
      <c r="E1613" s="1" t="s">
        <v>9</v>
      </c>
      <c r="F1613" s="6"/>
      <c r="G1613" s="6"/>
      <c r="H1613" s="11"/>
      <c r="I161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13" t="str">
        <f>IF(Table1[[#This Row],[Nationality]]="Nigeria",Table1[[#This Row],[EMJM Scholarship]],"Not Applicable")</f>
        <v>Not Applicable</v>
      </c>
    </row>
    <row r="1614" spans="1:10" ht="19.25" hidden="1" customHeight="1" x14ac:dyDescent="0.3">
      <c r="A1614" s="8">
        <v>2496566</v>
      </c>
      <c r="B1614" s="6" t="s">
        <v>80</v>
      </c>
      <c r="C1614" s="1" t="s">
        <v>9</v>
      </c>
      <c r="D1614" s="1" t="s">
        <v>9</v>
      </c>
      <c r="E1614" s="1" t="s">
        <v>9</v>
      </c>
      <c r="F1614" s="6"/>
      <c r="G1614" s="6"/>
      <c r="H1614" s="11"/>
      <c r="I161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14" t="str">
        <f>IF(Table1[[#This Row],[Nationality]]="Nigeria",Table1[[#This Row],[EMJM Scholarship]],"Not Applicable")</f>
        <v>Not Applicable</v>
      </c>
    </row>
    <row r="1615" spans="1:10" ht="19.25" hidden="1" customHeight="1" x14ac:dyDescent="0.3">
      <c r="A1615" s="8">
        <v>2496585</v>
      </c>
      <c r="B1615" s="6" t="s">
        <v>80</v>
      </c>
      <c r="C1615" s="1" t="s">
        <v>9</v>
      </c>
      <c r="D1615" s="1" t="s">
        <v>9</v>
      </c>
      <c r="E1615" s="1" t="s">
        <v>9</v>
      </c>
      <c r="F1615" s="6"/>
      <c r="G1615" s="6"/>
      <c r="H1615" s="11"/>
      <c r="I161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15" t="str">
        <f>IF(Table1[[#This Row],[Nationality]]="Nigeria",Table1[[#This Row],[EMJM Scholarship]],"Not Applicable")</f>
        <v>Not Applicable</v>
      </c>
    </row>
    <row r="1616" spans="1:10" ht="19.25" hidden="1" customHeight="1" x14ac:dyDescent="0.3">
      <c r="A1616" s="8">
        <v>2496632</v>
      </c>
      <c r="B1616" s="6" t="s">
        <v>80</v>
      </c>
      <c r="C1616" s="1" t="s">
        <v>9</v>
      </c>
      <c r="D1616" s="1" t="s">
        <v>9</v>
      </c>
      <c r="E1616" s="1" t="s">
        <v>9</v>
      </c>
      <c r="F1616" s="6"/>
      <c r="G1616" s="6"/>
      <c r="H1616" s="11"/>
      <c r="I161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16" t="str">
        <f>IF(Table1[[#This Row],[Nationality]]="Nigeria",Table1[[#This Row],[EMJM Scholarship]],"Not Applicable")</f>
        <v>Not Applicable</v>
      </c>
    </row>
    <row r="1617" spans="1:10" ht="19.25" hidden="1" customHeight="1" x14ac:dyDescent="0.3">
      <c r="A1617" s="8">
        <v>2496863</v>
      </c>
      <c r="B1617" s="6" t="s">
        <v>80</v>
      </c>
      <c r="C1617" s="1" t="s">
        <v>9</v>
      </c>
      <c r="D1617" s="1" t="s">
        <v>9</v>
      </c>
      <c r="E1617" s="1" t="s">
        <v>9</v>
      </c>
      <c r="F1617" s="6"/>
      <c r="G1617" s="6"/>
      <c r="H1617" s="11"/>
      <c r="I161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17" t="str">
        <f>IF(Table1[[#This Row],[Nationality]]="Nigeria",Table1[[#This Row],[EMJM Scholarship]],"Not Applicable")</f>
        <v>Not Applicable</v>
      </c>
    </row>
    <row r="1618" spans="1:10" ht="19.25" hidden="1" customHeight="1" x14ac:dyDescent="0.3">
      <c r="A1618" s="8">
        <v>2496892</v>
      </c>
      <c r="B1618" s="6" t="s">
        <v>80</v>
      </c>
      <c r="C1618" s="1" t="s">
        <v>9</v>
      </c>
      <c r="D1618" s="1" t="s">
        <v>9</v>
      </c>
      <c r="E1618" s="1" t="s">
        <v>9</v>
      </c>
      <c r="F1618" s="6"/>
      <c r="G1618" s="6"/>
      <c r="H1618" s="11"/>
      <c r="I161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18" t="str">
        <f>IF(Table1[[#This Row],[Nationality]]="Nigeria",Table1[[#This Row],[EMJM Scholarship]],"Not Applicable")</f>
        <v>Not Applicable</v>
      </c>
    </row>
    <row r="1619" spans="1:10" ht="19.25" hidden="1" customHeight="1" x14ac:dyDescent="0.3">
      <c r="A1619" s="8">
        <v>2497062</v>
      </c>
      <c r="B1619" s="6" t="s">
        <v>80</v>
      </c>
      <c r="C1619" s="1" t="s">
        <v>9</v>
      </c>
      <c r="D1619" s="1" t="s">
        <v>9</v>
      </c>
      <c r="E1619" s="1" t="s">
        <v>9</v>
      </c>
      <c r="F1619" s="6"/>
      <c r="G1619" s="6"/>
      <c r="H1619" s="11"/>
      <c r="I161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19" t="str">
        <f>IF(Table1[[#This Row],[Nationality]]="Nigeria",Table1[[#This Row],[EMJM Scholarship]],"Not Applicable")</f>
        <v>Not Applicable</v>
      </c>
    </row>
    <row r="1620" spans="1:10" ht="19.25" hidden="1" customHeight="1" x14ac:dyDescent="0.3">
      <c r="A1620" s="8">
        <v>2497227</v>
      </c>
      <c r="B1620" s="6" t="s">
        <v>80</v>
      </c>
      <c r="C1620" s="1" t="s">
        <v>9</v>
      </c>
      <c r="D1620" s="1" t="s">
        <v>9</v>
      </c>
      <c r="E1620" s="1" t="s">
        <v>9</v>
      </c>
      <c r="F1620" s="6"/>
      <c r="G1620" s="6"/>
      <c r="H1620" s="11"/>
      <c r="I162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20" t="str">
        <f>IF(Table1[[#This Row],[Nationality]]="Nigeria",Table1[[#This Row],[EMJM Scholarship]],"Not Applicable")</f>
        <v>Not Applicable</v>
      </c>
    </row>
    <row r="1621" spans="1:10" ht="19.25" hidden="1" customHeight="1" x14ac:dyDescent="0.3">
      <c r="A1621" s="8">
        <v>2497239</v>
      </c>
      <c r="B1621" s="6" t="s">
        <v>80</v>
      </c>
      <c r="C1621" s="1" t="s">
        <v>9</v>
      </c>
      <c r="D1621" s="1" t="s">
        <v>9</v>
      </c>
      <c r="E1621" s="1" t="s">
        <v>9</v>
      </c>
      <c r="F1621" s="6"/>
      <c r="G1621" s="6"/>
      <c r="H1621" s="11"/>
      <c r="I162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21" t="str">
        <f>IF(Table1[[#This Row],[Nationality]]="Nigeria",Table1[[#This Row],[EMJM Scholarship]],"Not Applicable")</f>
        <v>Not Applicable</v>
      </c>
    </row>
    <row r="1622" spans="1:10" ht="19.25" hidden="1" customHeight="1" x14ac:dyDescent="0.3">
      <c r="A1622" s="8">
        <v>2497256</v>
      </c>
      <c r="B1622" s="6" t="s">
        <v>80</v>
      </c>
      <c r="C1622" s="1" t="s">
        <v>9</v>
      </c>
      <c r="D1622" s="1" t="s">
        <v>9</v>
      </c>
      <c r="E1622" s="1" t="s">
        <v>9</v>
      </c>
      <c r="F1622" s="6"/>
      <c r="G1622" s="6"/>
      <c r="H1622" s="11"/>
      <c r="I162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22" t="str">
        <f>IF(Table1[[#This Row],[Nationality]]="Nigeria",Table1[[#This Row],[EMJM Scholarship]],"Not Applicable")</f>
        <v>Not Applicable</v>
      </c>
    </row>
    <row r="1623" spans="1:10" ht="19.25" hidden="1" customHeight="1" x14ac:dyDescent="0.3">
      <c r="A1623" s="8">
        <v>2497257</v>
      </c>
      <c r="B1623" s="6" t="s">
        <v>80</v>
      </c>
      <c r="C1623" s="1" t="s">
        <v>9</v>
      </c>
      <c r="D1623" s="1" t="s">
        <v>9</v>
      </c>
      <c r="E1623" s="1" t="s">
        <v>9</v>
      </c>
      <c r="F1623" s="6"/>
      <c r="G1623" s="6"/>
      <c r="H1623" s="11"/>
      <c r="I162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23" t="str">
        <f>IF(Table1[[#This Row],[Nationality]]="Nigeria",Table1[[#This Row],[EMJM Scholarship]],"Not Applicable")</f>
        <v>Not Applicable</v>
      </c>
    </row>
    <row r="1624" spans="1:10" ht="19.25" hidden="1" customHeight="1" x14ac:dyDescent="0.3">
      <c r="A1624" s="8">
        <v>2497277</v>
      </c>
      <c r="B1624" s="6" t="s">
        <v>80</v>
      </c>
      <c r="C1624" s="1" t="s">
        <v>9</v>
      </c>
      <c r="D1624" s="1" t="s">
        <v>9</v>
      </c>
      <c r="E1624" s="1" t="s">
        <v>9</v>
      </c>
      <c r="F1624" s="6"/>
      <c r="G1624" s="6"/>
      <c r="H1624" s="11"/>
      <c r="I162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24" t="str">
        <f>IF(Table1[[#This Row],[Nationality]]="Nigeria",Table1[[#This Row],[EMJM Scholarship]],"Not Applicable")</f>
        <v>Not Applicable</v>
      </c>
    </row>
    <row r="1625" spans="1:10" ht="19.25" hidden="1" customHeight="1" x14ac:dyDescent="0.3">
      <c r="A1625" s="8">
        <v>2497287</v>
      </c>
      <c r="B1625" s="6" t="s">
        <v>80</v>
      </c>
      <c r="C1625" s="1" t="s">
        <v>9</v>
      </c>
      <c r="D1625" s="1" t="s">
        <v>9</v>
      </c>
      <c r="E1625" s="1" t="s">
        <v>9</v>
      </c>
      <c r="F1625" s="6"/>
      <c r="G1625" s="6"/>
      <c r="H1625" s="11"/>
      <c r="I162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25" t="str">
        <f>IF(Table1[[#This Row],[Nationality]]="Nigeria",Table1[[#This Row],[EMJM Scholarship]],"Not Applicable")</f>
        <v>Not Applicable</v>
      </c>
    </row>
    <row r="1626" spans="1:10" ht="19.25" hidden="1" customHeight="1" x14ac:dyDescent="0.3">
      <c r="A1626" s="8">
        <v>2497314</v>
      </c>
      <c r="B1626" s="6" t="s">
        <v>80</v>
      </c>
      <c r="C1626" s="1" t="s">
        <v>9</v>
      </c>
      <c r="D1626" s="1" t="s">
        <v>9</v>
      </c>
      <c r="E1626" s="1" t="s">
        <v>9</v>
      </c>
      <c r="F1626" s="6"/>
      <c r="G1626" s="6"/>
      <c r="H1626" s="11"/>
      <c r="I162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26" t="str">
        <f>IF(Table1[[#This Row],[Nationality]]="Nigeria",Table1[[#This Row],[EMJM Scholarship]],"Not Applicable")</f>
        <v>Not Applicable</v>
      </c>
    </row>
    <row r="1627" spans="1:10" ht="19.25" hidden="1" customHeight="1" x14ac:dyDescent="0.3">
      <c r="A1627" s="8">
        <v>2497350</v>
      </c>
      <c r="B1627" s="6" t="s">
        <v>80</v>
      </c>
      <c r="C1627" s="1" t="s">
        <v>9</v>
      </c>
      <c r="D1627" s="1" t="s">
        <v>9</v>
      </c>
      <c r="E1627" s="1" t="s">
        <v>9</v>
      </c>
      <c r="F1627" s="6"/>
      <c r="G1627" s="6"/>
      <c r="H1627" s="11"/>
      <c r="I162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27" t="str">
        <f>IF(Table1[[#This Row],[Nationality]]="Nigeria",Table1[[#This Row],[EMJM Scholarship]],"Not Applicable")</f>
        <v>Not Applicable</v>
      </c>
    </row>
    <row r="1628" spans="1:10" ht="19.25" hidden="1" customHeight="1" x14ac:dyDescent="0.3">
      <c r="A1628" s="8">
        <v>2497360</v>
      </c>
      <c r="B1628" s="6" t="s">
        <v>80</v>
      </c>
      <c r="C1628" s="1" t="s">
        <v>9</v>
      </c>
      <c r="D1628" s="1" t="s">
        <v>9</v>
      </c>
      <c r="E1628" s="1" t="s">
        <v>9</v>
      </c>
      <c r="F1628" s="6"/>
      <c r="G1628" s="6"/>
      <c r="H1628" s="11"/>
      <c r="I162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28" t="str">
        <f>IF(Table1[[#This Row],[Nationality]]="Nigeria",Table1[[#This Row],[EMJM Scholarship]],"Not Applicable")</f>
        <v>Not Applicable</v>
      </c>
    </row>
    <row r="1629" spans="1:10" ht="19.25" hidden="1" customHeight="1" x14ac:dyDescent="0.3">
      <c r="A1629" s="8">
        <v>2497383</v>
      </c>
      <c r="B1629" s="6" t="s">
        <v>80</v>
      </c>
      <c r="C1629" s="1" t="s">
        <v>9</v>
      </c>
      <c r="D1629" s="1" t="s">
        <v>9</v>
      </c>
      <c r="E1629" s="1" t="s">
        <v>9</v>
      </c>
      <c r="F1629" s="6"/>
      <c r="G1629" s="6"/>
      <c r="H1629" s="11"/>
      <c r="I162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29" t="str">
        <f>IF(Table1[[#This Row],[Nationality]]="Nigeria",Table1[[#This Row],[EMJM Scholarship]],"Not Applicable")</f>
        <v>Not Applicable</v>
      </c>
    </row>
    <row r="1630" spans="1:10" ht="19.25" hidden="1" customHeight="1" x14ac:dyDescent="0.3">
      <c r="A1630" s="8">
        <v>2497405</v>
      </c>
      <c r="B1630" s="6" t="s">
        <v>80</v>
      </c>
      <c r="C1630" s="1" t="s">
        <v>9</v>
      </c>
      <c r="D1630" s="1" t="s">
        <v>9</v>
      </c>
      <c r="E1630" s="1" t="s">
        <v>9</v>
      </c>
      <c r="F1630" s="6"/>
      <c r="G1630" s="6"/>
      <c r="H1630" s="11"/>
      <c r="I163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30" t="str">
        <f>IF(Table1[[#This Row],[Nationality]]="Nigeria",Table1[[#This Row],[EMJM Scholarship]],"Not Applicable")</f>
        <v>Not Applicable</v>
      </c>
    </row>
    <row r="1631" spans="1:10" ht="19.25" hidden="1" customHeight="1" x14ac:dyDescent="0.3">
      <c r="A1631" s="8">
        <v>2497433</v>
      </c>
      <c r="B1631" s="6" t="s">
        <v>80</v>
      </c>
      <c r="C1631" s="1" t="s">
        <v>9</v>
      </c>
      <c r="D1631" s="1" t="s">
        <v>9</v>
      </c>
      <c r="E1631" s="1" t="s">
        <v>9</v>
      </c>
      <c r="F1631" s="6"/>
      <c r="G1631" s="6"/>
      <c r="H1631" s="11"/>
      <c r="I163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31" t="str">
        <f>IF(Table1[[#This Row],[Nationality]]="Nigeria",Table1[[#This Row],[EMJM Scholarship]],"Not Applicable")</f>
        <v>Not Applicable</v>
      </c>
    </row>
    <row r="1632" spans="1:10" ht="19.25" hidden="1" customHeight="1" x14ac:dyDescent="0.3">
      <c r="A1632" s="8">
        <v>2497468</v>
      </c>
      <c r="B1632" s="6" t="s">
        <v>80</v>
      </c>
      <c r="C1632" s="1" t="s">
        <v>9</v>
      </c>
      <c r="D1632" s="1" t="s">
        <v>9</v>
      </c>
      <c r="E1632" s="1" t="s">
        <v>9</v>
      </c>
      <c r="F1632" s="6"/>
      <c r="G1632" s="6"/>
      <c r="H1632" s="11"/>
      <c r="I163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32" t="str">
        <f>IF(Table1[[#This Row],[Nationality]]="Nigeria",Table1[[#This Row],[EMJM Scholarship]],"Not Applicable")</f>
        <v>Not Applicable</v>
      </c>
    </row>
    <row r="1633" spans="1:10" ht="19.25" hidden="1" customHeight="1" x14ac:dyDescent="0.3">
      <c r="A1633" s="8">
        <v>2497479</v>
      </c>
      <c r="B1633" s="6" t="s">
        <v>80</v>
      </c>
      <c r="C1633" s="1" t="s">
        <v>9</v>
      </c>
      <c r="D1633" s="1" t="s">
        <v>9</v>
      </c>
      <c r="E1633" s="1" t="s">
        <v>9</v>
      </c>
      <c r="F1633" s="6"/>
      <c r="G1633" s="6"/>
      <c r="H1633" s="11"/>
      <c r="I163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33" t="str">
        <f>IF(Table1[[#This Row],[Nationality]]="Nigeria",Table1[[#This Row],[EMJM Scholarship]],"Not Applicable")</f>
        <v>Not Applicable</v>
      </c>
    </row>
    <row r="1634" spans="1:10" ht="19.25" hidden="1" customHeight="1" x14ac:dyDescent="0.3">
      <c r="A1634" s="8">
        <v>2497481</v>
      </c>
      <c r="B1634" s="6" t="s">
        <v>80</v>
      </c>
      <c r="C1634" s="1" t="s">
        <v>9</v>
      </c>
      <c r="D1634" s="1" t="s">
        <v>9</v>
      </c>
      <c r="E1634" s="1" t="s">
        <v>9</v>
      </c>
      <c r="F1634" s="6"/>
      <c r="G1634" s="6"/>
      <c r="H1634" s="11"/>
      <c r="I163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34" t="str">
        <f>IF(Table1[[#This Row],[Nationality]]="Nigeria",Table1[[#This Row],[EMJM Scholarship]],"Not Applicable")</f>
        <v>Not Applicable</v>
      </c>
    </row>
    <row r="1635" spans="1:10" ht="19.25" hidden="1" customHeight="1" x14ac:dyDescent="0.3">
      <c r="A1635" s="8">
        <v>2497498</v>
      </c>
      <c r="B1635" s="6" t="s">
        <v>80</v>
      </c>
      <c r="C1635" s="1" t="s">
        <v>9</v>
      </c>
      <c r="D1635" s="1" t="s">
        <v>9</v>
      </c>
      <c r="E1635" s="1" t="s">
        <v>9</v>
      </c>
      <c r="F1635" s="6"/>
      <c r="G1635" s="6"/>
      <c r="H1635" s="11"/>
      <c r="I163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35" t="str">
        <f>IF(Table1[[#This Row],[Nationality]]="Nigeria",Table1[[#This Row],[EMJM Scholarship]],"Not Applicable")</f>
        <v>Not Applicable</v>
      </c>
    </row>
    <row r="1636" spans="1:10" ht="19.25" hidden="1" customHeight="1" x14ac:dyDescent="0.3">
      <c r="A1636" s="8">
        <v>2497521</v>
      </c>
      <c r="B1636" s="6" t="s">
        <v>80</v>
      </c>
      <c r="C1636" s="1" t="s">
        <v>9</v>
      </c>
      <c r="D1636" s="1" t="s">
        <v>9</v>
      </c>
      <c r="E1636" s="1" t="s">
        <v>9</v>
      </c>
      <c r="F1636" s="6"/>
      <c r="G1636" s="6"/>
      <c r="H1636" s="11"/>
      <c r="I163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36" t="str">
        <f>IF(Table1[[#This Row],[Nationality]]="Nigeria",Table1[[#This Row],[EMJM Scholarship]],"Not Applicable")</f>
        <v>Not Applicable</v>
      </c>
    </row>
    <row r="1637" spans="1:10" ht="19.25" hidden="1" customHeight="1" x14ac:dyDescent="0.3">
      <c r="A1637" s="8">
        <v>2497548</v>
      </c>
      <c r="B1637" s="6" t="s">
        <v>80</v>
      </c>
      <c r="C1637" s="1" t="s">
        <v>9</v>
      </c>
      <c r="D1637" s="1" t="s">
        <v>9</v>
      </c>
      <c r="E1637" s="1" t="s">
        <v>9</v>
      </c>
      <c r="F1637" s="6"/>
      <c r="G1637" s="6"/>
      <c r="H1637" s="11"/>
      <c r="I163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37" t="str">
        <f>IF(Table1[[#This Row],[Nationality]]="Nigeria",Table1[[#This Row],[EMJM Scholarship]],"Not Applicable")</f>
        <v>Not Applicable</v>
      </c>
    </row>
    <row r="1638" spans="1:10" ht="19.25" hidden="1" customHeight="1" x14ac:dyDescent="0.3">
      <c r="A1638" s="8">
        <v>2497636</v>
      </c>
      <c r="B1638" s="6" t="s">
        <v>80</v>
      </c>
      <c r="C1638" s="1" t="s">
        <v>9</v>
      </c>
      <c r="D1638" s="1" t="s">
        <v>9</v>
      </c>
      <c r="E1638" s="1" t="s">
        <v>9</v>
      </c>
      <c r="F1638" s="6"/>
      <c r="G1638" s="6"/>
      <c r="H1638" s="11"/>
      <c r="I163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38" t="str">
        <f>IF(Table1[[#This Row],[Nationality]]="Nigeria",Table1[[#This Row],[EMJM Scholarship]],"Not Applicable")</f>
        <v>Not Applicable</v>
      </c>
    </row>
    <row r="1639" spans="1:10" ht="19.25" hidden="1" customHeight="1" x14ac:dyDescent="0.3">
      <c r="A1639" s="8">
        <v>2497703</v>
      </c>
      <c r="B1639" s="6" t="s">
        <v>80</v>
      </c>
      <c r="C1639" s="1" t="s">
        <v>9</v>
      </c>
      <c r="D1639" s="1" t="s">
        <v>9</v>
      </c>
      <c r="E1639" s="1" t="s">
        <v>9</v>
      </c>
      <c r="F1639" s="6"/>
      <c r="G1639" s="6"/>
      <c r="H1639" s="11"/>
      <c r="I163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39" t="str">
        <f>IF(Table1[[#This Row],[Nationality]]="Nigeria",Table1[[#This Row],[EMJM Scholarship]],"Not Applicable")</f>
        <v>Not Applicable</v>
      </c>
    </row>
    <row r="1640" spans="1:10" ht="19.25" hidden="1" customHeight="1" x14ac:dyDescent="0.3">
      <c r="A1640" s="8">
        <v>2497712</v>
      </c>
      <c r="B1640" s="6" t="s">
        <v>80</v>
      </c>
      <c r="C1640" s="1" t="s">
        <v>9</v>
      </c>
      <c r="D1640" s="1" t="s">
        <v>9</v>
      </c>
      <c r="E1640" s="1" t="s">
        <v>9</v>
      </c>
      <c r="F1640" s="6"/>
      <c r="G1640" s="6"/>
      <c r="H1640" s="11"/>
      <c r="I164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40" t="str">
        <f>IF(Table1[[#This Row],[Nationality]]="Nigeria",Table1[[#This Row],[EMJM Scholarship]],"Not Applicable")</f>
        <v>Not Applicable</v>
      </c>
    </row>
    <row r="1641" spans="1:10" ht="19.25" hidden="1" customHeight="1" x14ac:dyDescent="0.3">
      <c r="A1641" s="8">
        <v>2497873</v>
      </c>
      <c r="B1641" s="6" t="s">
        <v>80</v>
      </c>
      <c r="C1641" s="1" t="s">
        <v>9</v>
      </c>
      <c r="D1641" s="1" t="s">
        <v>9</v>
      </c>
      <c r="E1641" s="1" t="s">
        <v>9</v>
      </c>
      <c r="F1641" s="6"/>
      <c r="G1641" s="6"/>
      <c r="H1641" s="11"/>
      <c r="I164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41" t="str">
        <f>IF(Table1[[#This Row],[Nationality]]="Nigeria",Table1[[#This Row],[EMJM Scholarship]],"Not Applicable")</f>
        <v>Not Applicable</v>
      </c>
    </row>
    <row r="1642" spans="1:10" ht="19.25" hidden="1" customHeight="1" x14ac:dyDescent="0.3">
      <c r="A1642" s="8">
        <v>2497952</v>
      </c>
      <c r="B1642" s="6" t="s">
        <v>80</v>
      </c>
      <c r="C1642" s="1" t="s">
        <v>9</v>
      </c>
      <c r="D1642" s="1" t="s">
        <v>9</v>
      </c>
      <c r="E1642" s="1" t="s">
        <v>9</v>
      </c>
      <c r="F1642" s="6"/>
      <c r="G1642" s="6"/>
      <c r="H1642" s="11"/>
      <c r="I164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42" t="str">
        <f>IF(Table1[[#This Row],[Nationality]]="Nigeria",Table1[[#This Row],[EMJM Scholarship]],"Not Applicable")</f>
        <v>Not Applicable</v>
      </c>
    </row>
    <row r="1643" spans="1:10" ht="19.25" hidden="1" customHeight="1" x14ac:dyDescent="0.3">
      <c r="A1643" s="8">
        <v>2497982</v>
      </c>
      <c r="B1643" s="6" t="s">
        <v>80</v>
      </c>
      <c r="C1643" s="1" t="s">
        <v>9</v>
      </c>
      <c r="D1643" s="1" t="s">
        <v>9</v>
      </c>
      <c r="E1643" s="1" t="s">
        <v>9</v>
      </c>
      <c r="F1643" s="6"/>
      <c r="G1643" s="6"/>
      <c r="H1643" s="11"/>
      <c r="I164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43" t="str">
        <f>IF(Table1[[#This Row],[Nationality]]="Nigeria",Table1[[#This Row],[EMJM Scholarship]],"Not Applicable")</f>
        <v>Not Applicable</v>
      </c>
    </row>
    <row r="1644" spans="1:10" ht="19.25" hidden="1" customHeight="1" x14ac:dyDescent="0.3">
      <c r="A1644" s="8">
        <v>2498021</v>
      </c>
      <c r="B1644" s="6" t="s">
        <v>80</v>
      </c>
      <c r="C1644" s="1" t="s">
        <v>9</v>
      </c>
      <c r="D1644" s="1" t="s">
        <v>9</v>
      </c>
      <c r="E1644" s="1" t="s">
        <v>9</v>
      </c>
      <c r="F1644" s="6"/>
      <c r="G1644" s="6"/>
      <c r="H1644" s="11"/>
      <c r="I164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44" t="str">
        <f>IF(Table1[[#This Row],[Nationality]]="Nigeria",Table1[[#This Row],[EMJM Scholarship]],"Not Applicable")</f>
        <v>Not Applicable</v>
      </c>
    </row>
    <row r="1645" spans="1:10" ht="19.25" hidden="1" customHeight="1" x14ac:dyDescent="0.3">
      <c r="A1645" s="8">
        <v>2498039</v>
      </c>
      <c r="B1645" s="6" t="s">
        <v>80</v>
      </c>
      <c r="C1645" s="1" t="s">
        <v>9</v>
      </c>
      <c r="D1645" s="1" t="s">
        <v>9</v>
      </c>
      <c r="E1645" s="1" t="s">
        <v>9</v>
      </c>
      <c r="F1645" s="6"/>
      <c r="G1645" s="6"/>
      <c r="H1645" s="11"/>
      <c r="I164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45" t="str">
        <f>IF(Table1[[#This Row],[Nationality]]="Nigeria",Table1[[#This Row],[EMJM Scholarship]],"Not Applicable")</f>
        <v>Not Applicable</v>
      </c>
    </row>
    <row r="1646" spans="1:10" ht="19.25" hidden="1" customHeight="1" x14ac:dyDescent="0.3">
      <c r="A1646" s="8">
        <v>2498072</v>
      </c>
      <c r="B1646" s="6" t="s">
        <v>80</v>
      </c>
      <c r="C1646" s="1" t="s">
        <v>9</v>
      </c>
      <c r="D1646" s="1" t="s">
        <v>9</v>
      </c>
      <c r="E1646" s="1" t="s">
        <v>9</v>
      </c>
      <c r="F1646" s="6"/>
      <c r="G1646" s="6"/>
      <c r="H1646" s="11"/>
      <c r="I164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46" t="str">
        <f>IF(Table1[[#This Row],[Nationality]]="Nigeria",Table1[[#This Row],[EMJM Scholarship]],"Not Applicable")</f>
        <v>Not Applicable</v>
      </c>
    </row>
    <row r="1647" spans="1:10" ht="19.25" hidden="1" customHeight="1" x14ac:dyDescent="0.3">
      <c r="A1647" s="8">
        <v>2498078</v>
      </c>
      <c r="B1647" s="6" t="s">
        <v>80</v>
      </c>
      <c r="C1647" s="1" t="s">
        <v>9</v>
      </c>
      <c r="D1647" s="1" t="s">
        <v>9</v>
      </c>
      <c r="E1647" s="1" t="s">
        <v>9</v>
      </c>
      <c r="F1647" s="6"/>
      <c r="G1647" s="6"/>
      <c r="H1647" s="11"/>
      <c r="I164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47" t="str">
        <f>IF(Table1[[#This Row],[Nationality]]="Nigeria",Table1[[#This Row],[EMJM Scholarship]],"Not Applicable")</f>
        <v>Not Applicable</v>
      </c>
    </row>
    <row r="1648" spans="1:10" ht="19.25" hidden="1" customHeight="1" x14ac:dyDescent="0.3">
      <c r="A1648" s="8">
        <v>2498133</v>
      </c>
      <c r="B1648" s="6" t="s">
        <v>80</v>
      </c>
      <c r="C1648" s="1" t="s">
        <v>9</v>
      </c>
      <c r="D1648" s="1" t="s">
        <v>9</v>
      </c>
      <c r="E1648" s="1" t="s">
        <v>9</v>
      </c>
      <c r="F1648" s="6"/>
      <c r="G1648" s="6"/>
      <c r="H1648" s="11"/>
      <c r="I164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48" t="str">
        <f>IF(Table1[[#This Row],[Nationality]]="Nigeria",Table1[[#This Row],[EMJM Scholarship]],"Not Applicable")</f>
        <v>Not Applicable</v>
      </c>
    </row>
    <row r="1649" spans="1:10" ht="19.25" hidden="1" customHeight="1" x14ac:dyDescent="0.3">
      <c r="A1649" s="8">
        <v>2498156</v>
      </c>
      <c r="B1649" s="6" t="s">
        <v>80</v>
      </c>
      <c r="C1649" s="1" t="s">
        <v>9</v>
      </c>
      <c r="D1649" s="1" t="s">
        <v>9</v>
      </c>
      <c r="E1649" s="1" t="s">
        <v>9</v>
      </c>
      <c r="F1649" s="6"/>
      <c r="G1649" s="6"/>
      <c r="H1649" s="11"/>
      <c r="I164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49" t="str">
        <f>IF(Table1[[#This Row],[Nationality]]="Nigeria",Table1[[#This Row],[EMJM Scholarship]],"Not Applicable")</f>
        <v>Not Applicable</v>
      </c>
    </row>
    <row r="1650" spans="1:10" ht="19.25" hidden="1" customHeight="1" x14ac:dyDescent="0.3">
      <c r="A1650" s="8">
        <v>2498157</v>
      </c>
      <c r="B1650" s="6" t="s">
        <v>80</v>
      </c>
      <c r="C1650" s="1" t="s">
        <v>9</v>
      </c>
      <c r="D1650" s="1" t="s">
        <v>9</v>
      </c>
      <c r="E1650" s="1" t="s">
        <v>9</v>
      </c>
      <c r="F1650" s="6"/>
      <c r="G1650" s="6"/>
      <c r="H1650" s="11"/>
      <c r="I165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50" t="str">
        <f>IF(Table1[[#This Row],[Nationality]]="Nigeria",Table1[[#This Row],[EMJM Scholarship]],"Not Applicable")</f>
        <v>Not Applicable</v>
      </c>
    </row>
    <row r="1651" spans="1:10" ht="19.25" hidden="1" customHeight="1" x14ac:dyDescent="0.3">
      <c r="A1651" s="8">
        <v>2498189</v>
      </c>
      <c r="B1651" s="6" t="s">
        <v>80</v>
      </c>
      <c r="C1651" s="1" t="s">
        <v>9</v>
      </c>
      <c r="D1651" s="1" t="s">
        <v>9</v>
      </c>
      <c r="E1651" s="1" t="s">
        <v>9</v>
      </c>
      <c r="F1651" s="6"/>
      <c r="G1651" s="6"/>
      <c r="H1651" s="11"/>
      <c r="I165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51" t="str">
        <f>IF(Table1[[#This Row],[Nationality]]="Nigeria",Table1[[#This Row],[EMJM Scholarship]],"Not Applicable")</f>
        <v>Not Applicable</v>
      </c>
    </row>
    <row r="1652" spans="1:10" ht="19.25" hidden="1" customHeight="1" x14ac:dyDescent="0.3">
      <c r="A1652" s="8">
        <v>2498221</v>
      </c>
      <c r="B1652" s="6" t="s">
        <v>80</v>
      </c>
      <c r="C1652" s="1" t="s">
        <v>9</v>
      </c>
      <c r="D1652" s="1" t="s">
        <v>9</v>
      </c>
      <c r="E1652" s="1" t="s">
        <v>9</v>
      </c>
      <c r="F1652" s="6"/>
      <c r="G1652" s="6"/>
      <c r="H1652" s="11"/>
      <c r="I165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52" t="str">
        <f>IF(Table1[[#This Row],[Nationality]]="Nigeria",Table1[[#This Row],[EMJM Scholarship]],"Not Applicable")</f>
        <v>Not Applicable</v>
      </c>
    </row>
    <row r="1653" spans="1:10" ht="19.25" hidden="1" customHeight="1" x14ac:dyDescent="0.3">
      <c r="A1653" s="8">
        <v>2498259</v>
      </c>
      <c r="B1653" s="6" t="s">
        <v>80</v>
      </c>
      <c r="C1653" s="1" t="s">
        <v>9</v>
      </c>
      <c r="D1653" s="1" t="s">
        <v>9</v>
      </c>
      <c r="E1653" s="1" t="s">
        <v>9</v>
      </c>
      <c r="F1653" s="6"/>
      <c r="G1653" s="6"/>
      <c r="H1653" s="11"/>
      <c r="I165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53" t="str">
        <f>IF(Table1[[#This Row],[Nationality]]="Nigeria",Table1[[#This Row],[EMJM Scholarship]],"Not Applicable")</f>
        <v>Not Applicable</v>
      </c>
    </row>
    <row r="1654" spans="1:10" ht="19.25" hidden="1" customHeight="1" x14ac:dyDescent="0.3">
      <c r="A1654" s="8">
        <v>2498270</v>
      </c>
      <c r="B1654" s="6" t="s">
        <v>80</v>
      </c>
      <c r="C1654" s="1" t="s">
        <v>9</v>
      </c>
      <c r="D1654" s="1" t="s">
        <v>9</v>
      </c>
      <c r="E1654" s="1" t="s">
        <v>9</v>
      </c>
      <c r="F1654" s="6"/>
      <c r="G1654" s="6"/>
      <c r="H1654" s="11"/>
      <c r="I165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54" t="str">
        <f>IF(Table1[[#This Row],[Nationality]]="Nigeria",Table1[[#This Row],[EMJM Scholarship]],"Not Applicable")</f>
        <v>Not Applicable</v>
      </c>
    </row>
    <row r="1655" spans="1:10" ht="19.25" hidden="1" customHeight="1" x14ac:dyDescent="0.3">
      <c r="A1655" s="8">
        <v>2498280</v>
      </c>
      <c r="B1655" s="6" t="s">
        <v>80</v>
      </c>
      <c r="C1655" s="1" t="s">
        <v>9</v>
      </c>
      <c r="D1655" s="1" t="s">
        <v>9</v>
      </c>
      <c r="E1655" s="1" t="s">
        <v>9</v>
      </c>
      <c r="F1655" s="6"/>
      <c r="G1655" s="6"/>
      <c r="H1655" s="11"/>
      <c r="I165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55" t="str">
        <f>IF(Table1[[#This Row],[Nationality]]="Nigeria",Table1[[#This Row],[EMJM Scholarship]],"Not Applicable")</f>
        <v>Not Applicable</v>
      </c>
    </row>
    <row r="1656" spans="1:10" ht="19.25" hidden="1" customHeight="1" x14ac:dyDescent="0.3">
      <c r="A1656" s="8">
        <v>2498298</v>
      </c>
      <c r="B1656" s="6" t="s">
        <v>80</v>
      </c>
      <c r="C1656" s="1" t="s">
        <v>9</v>
      </c>
      <c r="D1656" s="1" t="s">
        <v>9</v>
      </c>
      <c r="E1656" s="1" t="s">
        <v>9</v>
      </c>
      <c r="F1656" s="6"/>
      <c r="G1656" s="6"/>
      <c r="H1656" s="11"/>
      <c r="I165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56" t="str">
        <f>IF(Table1[[#This Row],[Nationality]]="Nigeria",Table1[[#This Row],[EMJM Scholarship]],"Not Applicable")</f>
        <v>Not Applicable</v>
      </c>
    </row>
    <row r="1657" spans="1:10" ht="19.25" hidden="1" customHeight="1" x14ac:dyDescent="0.3">
      <c r="A1657" s="8">
        <v>2498301</v>
      </c>
      <c r="B1657" s="6" t="s">
        <v>80</v>
      </c>
      <c r="C1657" s="1" t="s">
        <v>9</v>
      </c>
      <c r="D1657" s="1" t="s">
        <v>9</v>
      </c>
      <c r="E1657" s="1" t="s">
        <v>9</v>
      </c>
      <c r="F1657" s="6"/>
      <c r="G1657" s="6"/>
      <c r="H1657" s="11"/>
      <c r="I165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57" t="str">
        <f>IF(Table1[[#This Row],[Nationality]]="Nigeria",Table1[[#This Row],[EMJM Scholarship]],"Not Applicable")</f>
        <v>Not Applicable</v>
      </c>
    </row>
    <row r="1658" spans="1:10" ht="19.25" hidden="1" customHeight="1" x14ac:dyDescent="0.3">
      <c r="A1658" s="8">
        <v>2498325</v>
      </c>
      <c r="B1658" s="6" t="s">
        <v>80</v>
      </c>
      <c r="C1658" s="1" t="s">
        <v>9</v>
      </c>
      <c r="D1658" s="1" t="s">
        <v>9</v>
      </c>
      <c r="E1658" s="1" t="s">
        <v>9</v>
      </c>
      <c r="F1658" s="6"/>
      <c r="G1658" s="6"/>
      <c r="H1658" s="11"/>
      <c r="I165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58" t="str">
        <f>IF(Table1[[#This Row],[Nationality]]="Nigeria",Table1[[#This Row],[EMJM Scholarship]],"Not Applicable")</f>
        <v>Not Applicable</v>
      </c>
    </row>
    <row r="1659" spans="1:10" ht="19.25" hidden="1" customHeight="1" x14ac:dyDescent="0.3">
      <c r="A1659" s="8">
        <v>2498354</v>
      </c>
      <c r="B1659" s="6" t="s">
        <v>80</v>
      </c>
      <c r="C1659" s="1" t="s">
        <v>9</v>
      </c>
      <c r="D1659" s="1" t="s">
        <v>9</v>
      </c>
      <c r="E1659" s="1" t="s">
        <v>9</v>
      </c>
      <c r="F1659" s="6"/>
      <c r="G1659" s="6"/>
      <c r="H1659" s="11"/>
      <c r="I165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59" t="str">
        <f>IF(Table1[[#This Row],[Nationality]]="Nigeria",Table1[[#This Row],[EMJM Scholarship]],"Not Applicable")</f>
        <v>Not Applicable</v>
      </c>
    </row>
    <row r="1660" spans="1:10" ht="19.25" hidden="1" customHeight="1" x14ac:dyDescent="0.3">
      <c r="A1660" s="8">
        <v>2498363</v>
      </c>
      <c r="B1660" s="6" t="s">
        <v>80</v>
      </c>
      <c r="C1660" s="1" t="s">
        <v>9</v>
      </c>
      <c r="D1660" s="1" t="s">
        <v>9</v>
      </c>
      <c r="E1660" s="1" t="s">
        <v>9</v>
      </c>
      <c r="F1660" s="6"/>
      <c r="G1660" s="6"/>
      <c r="H1660" s="11"/>
      <c r="I166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60" t="str">
        <f>IF(Table1[[#This Row],[Nationality]]="Nigeria",Table1[[#This Row],[EMJM Scholarship]],"Not Applicable")</f>
        <v>Not Applicable</v>
      </c>
    </row>
    <row r="1661" spans="1:10" ht="19.25" hidden="1" customHeight="1" x14ac:dyDescent="0.3">
      <c r="A1661" s="8">
        <v>2498385</v>
      </c>
      <c r="B1661" s="6" t="s">
        <v>80</v>
      </c>
      <c r="C1661" s="1" t="s">
        <v>9</v>
      </c>
      <c r="D1661" s="1" t="s">
        <v>9</v>
      </c>
      <c r="E1661" s="1" t="s">
        <v>9</v>
      </c>
      <c r="F1661" s="6"/>
      <c r="G1661" s="6"/>
      <c r="H1661" s="11"/>
      <c r="I166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61" t="str">
        <f>IF(Table1[[#This Row],[Nationality]]="Nigeria",Table1[[#This Row],[EMJM Scholarship]],"Not Applicable")</f>
        <v>Not Applicable</v>
      </c>
    </row>
    <row r="1662" spans="1:10" ht="19.25" hidden="1" customHeight="1" x14ac:dyDescent="0.3">
      <c r="A1662" s="8">
        <v>2498435</v>
      </c>
      <c r="B1662" s="6" t="s">
        <v>80</v>
      </c>
      <c r="C1662" s="1" t="s">
        <v>9</v>
      </c>
      <c r="D1662" s="1" t="s">
        <v>9</v>
      </c>
      <c r="E1662" s="1" t="s">
        <v>9</v>
      </c>
      <c r="F1662" s="6"/>
      <c r="G1662" s="6"/>
      <c r="H1662" s="11"/>
      <c r="I166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62" t="str">
        <f>IF(Table1[[#This Row],[Nationality]]="Nigeria",Table1[[#This Row],[EMJM Scholarship]],"Not Applicable")</f>
        <v>Not Applicable</v>
      </c>
    </row>
    <row r="1663" spans="1:10" ht="19.25" hidden="1" customHeight="1" x14ac:dyDescent="0.3">
      <c r="A1663" s="8">
        <v>2498695</v>
      </c>
      <c r="B1663" s="6" t="s">
        <v>80</v>
      </c>
      <c r="C1663" s="1" t="s">
        <v>9</v>
      </c>
      <c r="D1663" s="1" t="s">
        <v>9</v>
      </c>
      <c r="E1663" s="1" t="s">
        <v>9</v>
      </c>
      <c r="F1663" s="6"/>
      <c r="G1663" s="6"/>
      <c r="H1663" s="11"/>
      <c r="I166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63" t="str">
        <f>IF(Table1[[#This Row],[Nationality]]="Nigeria",Table1[[#This Row],[EMJM Scholarship]],"Not Applicable")</f>
        <v>Not Applicable</v>
      </c>
    </row>
    <row r="1664" spans="1:10" ht="19.25" hidden="1" customHeight="1" x14ac:dyDescent="0.3">
      <c r="A1664" s="8">
        <v>2498728</v>
      </c>
      <c r="B1664" s="6" t="s">
        <v>80</v>
      </c>
      <c r="C1664" s="1" t="s">
        <v>9</v>
      </c>
      <c r="D1664" s="1" t="s">
        <v>9</v>
      </c>
      <c r="E1664" s="1" t="s">
        <v>9</v>
      </c>
      <c r="F1664" s="6"/>
      <c r="G1664" s="6"/>
      <c r="H1664" s="11"/>
      <c r="I166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64" t="str">
        <f>IF(Table1[[#This Row],[Nationality]]="Nigeria",Table1[[#This Row],[EMJM Scholarship]],"Not Applicable")</f>
        <v>Not Applicable</v>
      </c>
    </row>
    <row r="1665" spans="1:10" ht="19.25" hidden="1" customHeight="1" x14ac:dyDescent="0.3">
      <c r="A1665" s="8">
        <v>2498806</v>
      </c>
      <c r="B1665" s="6" t="s">
        <v>80</v>
      </c>
      <c r="C1665" s="1" t="s">
        <v>9</v>
      </c>
      <c r="D1665" s="1" t="s">
        <v>9</v>
      </c>
      <c r="E1665" s="1" t="s">
        <v>9</v>
      </c>
      <c r="F1665" s="6"/>
      <c r="G1665" s="6"/>
      <c r="H1665" s="11"/>
      <c r="I166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65" t="str">
        <f>IF(Table1[[#This Row],[Nationality]]="Nigeria",Table1[[#This Row],[EMJM Scholarship]],"Not Applicable")</f>
        <v>Not Applicable</v>
      </c>
    </row>
    <row r="1666" spans="1:10" ht="19.25" hidden="1" customHeight="1" x14ac:dyDescent="0.3">
      <c r="A1666" s="8">
        <v>2498839</v>
      </c>
      <c r="B1666" s="6" t="s">
        <v>80</v>
      </c>
      <c r="C1666" s="1" t="s">
        <v>9</v>
      </c>
      <c r="D1666" s="1" t="s">
        <v>9</v>
      </c>
      <c r="E1666" s="1" t="s">
        <v>9</v>
      </c>
      <c r="F1666" s="6"/>
      <c r="G1666" s="6"/>
      <c r="H1666" s="11"/>
      <c r="I166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66" t="str">
        <f>IF(Table1[[#This Row],[Nationality]]="Nigeria",Table1[[#This Row],[EMJM Scholarship]],"Not Applicable")</f>
        <v>Not Applicable</v>
      </c>
    </row>
    <row r="1667" spans="1:10" ht="19.25" hidden="1" customHeight="1" x14ac:dyDescent="0.3">
      <c r="A1667" s="8">
        <v>2498878</v>
      </c>
      <c r="B1667" s="6" t="s">
        <v>80</v>
      </c>
      <c r="C1667" s="1" t="s">
        <v>9</v>
      </c>
      <c r="D1667" s="1" t="s">
        <v>9</v>
      </c>
      <c r="E1667" s="1" t="s">
        <v>9</v>
      </c>
      <c r="F1667" s="6"/>
      <c r="G1667" s="6"/>
      <c r="H1667" s="11"/>
      <c r="I166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67" t="str">
        <f>IF(Table1[[#This Row],[Nationality]]="Nigeria",Table1[[#This Row],[EMJM Scholarship]],"Not Applicable")</f>
        <v>Not Applicable</v>
      </c>
    </row>
    <row r="1668" spans="1:10" ht="19.25" hidden="1" customHeight="1" x14ac:dyDescent="0.3">
      <c r="A1668" s="8">
        <v>2498948</v>
      </c>
      <c r="B1668" s="6" t="s">
        <v>80</v>
      </c>
      <c r="C1668" s="1" t="s">
        <v>9</v>
      </c>
      <c r="D1668" s="1" t="s">
        <v>9</v>
      </c>
      <c r="E1668" s="1" t="s">
        <v>9</v>
      </c>
      <c r="F1668" s="6"/>
      <c r="G1668" s="6"/>
      <c r="H1668" s="11"/>
      <c r="I166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68" t="str">
        <f>IF(Table1[[#This Row],[Nationality]]="Nigeria",Table1[[#This Row],[EMJM Scholarship]],"Not Applicable")</f>
        <v>Not Applicable</v>
      </c>
    </row>
    <row r="1669" spans="1:10" ht="19.25" hidden="1" customHeight="1" x14ac:dyDescent="0.3">
      <c r="A1669" s="8">
        <v>2499031</v>
      </c>
      <c r="B1669" s="6" t="s">
        <v>80</v>
      </c>
      <c r="C1669" s="1" t="s">
        <v>9</v>
      </c>
      <c r="D1669" s="1" t="s">
        <v>9</v>
      </c>
      <c r="E1669" s="1" t="s">
        <v>9</v>
      </c>
      <c r="F1669" s="6"/>
      <c r="G1669" s="6"/>
      <c r="H1669" s="11"/>
      <c r="I166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69" t="str">
        <f>IF(Table1[[#This Row],[Nationality]]="Nigeria",Table1[[#This Row],[EMJM Scholarship]],"Not Applicable")</f>
        <v>Not Applicable</v>
      </c>
    </row>
    <row r="1670" spans="1:10" ht="19.25" hidden="1" customHeight="1" x14ac:dyDescent="0.3">
      <c r="A1670" s="8">
        <v>2499036</v>
      </c>
      <c r="B1670" s="6" t="s">
        <v>80</v>
      </c>
      <c r="C1670" s="1" t="s">
        <v>9</v>
      </c>
      <c r="D1670" s="1" t="s">
        <v>9</v>
      </c>
      <c r="E1670" s="1" t="s">
        <v>9</v>
      </c>
      <c r="F1670" s="6"/>
      <c r="G1670" s="6"/>
      <c r="H1670" s="11"/>
      <c r="I167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70" t="str">
        <f>IF(Table1[[#This Row],[Nationality]]="Nigeria",Table1[[#This Row],[EMJM Scholarship]],"Not Applicable")</f>
        <v>Not Applicable</v>
      </c>
    </row>
    <row r="1671" spans="1:10" ht="19.25" hidden="1" customHeight="1" x14ac:dyDescent="0.3">
      <c r="A1671" s="8">
        <v>2499040</v>
      </c>
      <c r="B1671" s="6" t="s">
        <v>80</v>
      </c>
      <c r="C1671" s="1" t="s">
        <v>9</v>
      </c>
      <c r="D1671" s="1" t="s">
        <v>9</v>
      </c>
      <c r="E1671" s="1" t="s">
        <v>9</v>
      </c>
      <c r="F1671" s="6"/>
      <c r="G1671" s="6"/>
      <c r="H1671" s="11"/>
      <c r="I167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71" t="str">
        <f>IF(Table1[[#This Row],[Nationality]]="Nigeria",Table1[[#This Row],[EMJM Scholarship]],"Not Applicable")</f>
        <v>Not Applicable</v>
      </c>
    </row>
    <row r="1672" spans="1:10" ht="19.25" hidden="1" customHeight="1" x14ac:dyDescent="0.3">
      <c r="A1672" s="8">
        <v>2499063</v>
      </c>
      <c r="B1672" s="6" t="s">
        <v>80</v>
      </c>
      <c r="C1672" s="1" t="s">
        <v>9</v>
      </c>
      <c r="D1672" s="1" t="s">
        <v>9</v>
      </c>
      <c r="E1672" s="1" t="s">
        <v>9</v>
      </c>
      <c r="F1672" s="6"/>
      <c r="G1672" s="6"/>
      <c r="H1672" s="11"/>
      <c r="I167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72" t="str">
        <f>IF(Table1[[#This Row],[Nationality]]="Nigeria",Table1[[#This Row],[EMJM Scholarship]],"Not Applicable")</f>
        <v>Not Applicable</v>
      </c>
    </row>
    <row r="1673" spans="1:10" ht="19.25" hidden="1" customHeight="1" x14ac:dyDescent="0.3">
      <c r="A1673" s="8">
        <v>2499155</v>
      </c>
      <c r="B1673" s="6" t="s">
        <v>80</v>
      </c>
      <c r="C1673" s="1" t="s">
        <v>9</v>
      </c>
      <c r="D1673" s="1" t="s">
        <v>9</v>
      </c>
      <c r="E1673" s="1" t="s">
        <v>9</v>
      </c>
      <c r="F1673" s="6"/>
      <c r="G1673" s="6"/>
      <c r="H1673" s="11"/>
      <c r="I167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73" t="str">
        <f>IF(Table1[[#This Row],[Nationality]]="Nigeria",Table1[[#This Row],[EMJM Scholarship]],"Not Applicable")</f>
        <v>Not Applicable</v>
      </c>
    </row>
    <row r="1674" spans="1:10" ht="19.25" hidden="1" customHeight="1" x14ac:dyDescent="0.3">
      <c r="A1674" s="8">
        <v>2499182</v>
      </c>
      <c r="B1674" s="6" t="s">
        <v>80</v>
      </c>
      <c r="C1674" s="1" t="s">
        <v>9</v>
      </c>
      <c r="D1674" s="1" t="s">
        <v>9</v>
      </c>
      <c r="E1674" s="1" t="s">
        <v>9</v>
      </c>
      <c r="F1674" s="6"/>
      <c r="G1674" s="6"/>
      <c r="H1674" s="11"/>
      <c r="I167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74" t="str">
        <f>IF(Table1[[#This Row],[Nationality]]="Nigeria",Table1[[#This Row],[EMJM Scholarship]],"Not Applicable")</f>
        <v>Not Applicable</v>
      </c>
    </row>
    <row r="1675" spans="1:10" ht="19.25" hidden="1" customHeight="1" x14ac:dyDescent="0.3">
      <c r="A1675" s="8">
        <v>2499188</v>
      </c>
      <c r="B1675" s="6" t="s">
        <v>80</v>
      </c>
      <c r="C1675" s="1" t="s">
        <v>9</v>
      </c>
      <c r="D1675" s="1" t="s">
        <v>9</v>
      </c>
      <c r="E1675" s="1" t="s">
        <v>9</v>
      </c>
      <c r="F1675" s="6"/>
      <c r="G1675" s="6"/>
      <c r="H1675" s="11"/>
      <c r="I167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75" t="str">
        <f>IF(Table1[[#This Row],[Nationality]]="Nigeria",Table1[[#This Row],[EMJM Scholarship]],"Not Applicable")</f>
        <v>Not Applicable</v>
      </c>
    </row>
    <row r="1676" spans="1:10" ht="19.25" hidden="1" customHeight="1" x14ac:dyDescent="0.3">
      <c r="A1676" s="8">
        <v>2499189</v>
      </c>
      <c r="B1676" s="6" t="s">
        <v>80</v>
      </c>
      <c r="C1676" s="1" t="s">
        <v>9</v>
      </c>
      <c r="D1676" s="1" t="s">
        <v>9</v>
      </c>
      <c r="E1676" s="1" t="s">
        <v>9</v>
      </c>
      <c r="F1676" s="6"/>
      <c r="G1676" s="6"/>
      <c r="H1676" s="11"/>
      <c r="I167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76" t="str">
        <f>IF(Table1[[#This Row],[Nationality]]="Nigeria",Table1[[#This Row],[EMJM Scholarship]],"Not Applicable")</f>
        <v>Not Applicable</v>
      </c>
    </row>
    <row r="1677" spans="1:10" ht="19.25" hidden="1" customHeight="1" x14ac:dyDescent="0.3">
      <c r="A1677" s="8">
        <v>2499190</v>
      </c>
      <c r="B1677" s="6" t="s">
        <v>80</v>
      </c>
      <c r="C1677" s="1" t="s">
        <v>9</v>
      </c>
      <c r="D1677" s="1" t="s">
        <v>9</v>
      </c>
      <c r="E1677" s="1" t="s">
        <v>9</v>
      </c>
      <c r="F1677" s="6"/>
      <c r="G1677" s="6"/>
      <c r="H1677" s="11"/>
      <c r="I167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77" t="str">
        <f>IF(Table1[[#This Row],[Nationality]]="Nigeria",Table1[[#This Row],[EMJM Scholarship]],"Not Applicable")</f>
        <v>Not Applicable</v>
      </c>
    </row>
    <row r="1678" spans="1:10" ht="19.25" hidden="1" customHeight="1" x14ac:dyDescent="0.3">
      <c r="A1678" s="8">
        <v>2499193</v>
      </c>
      <c r="B1678" s="6" t="s">
        <v>80</v>
      </c>
      <c r="C1678" s="1" t="s">
        <v>9</v>
      </c>
      <c r="D1678" s="1" t="s">
        <v>9</v>
      </c>
      <c r="E1678" s="1" t="s">
        <v>9</v>
      </c>
      <c r="F1678" s="6"/>
      <c r="G1678" s="6"/>
      <c r="H1678" s="11"/>
      <c r="I167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78" t="str">
        <f>IF(Table1[[#This Row],[Nationality]]="Nigeria",Table1[[#This Row],[EMJM Scholarship]],"Not Applicable")</f>
        <v>Not Applicable</v>
      </c>
    </row>
    <row r="1679" spans="1:10" ht="19.25" hidden="1" customHeight="1" x14ac:dyDescent="0.3">
      <c r="A1679" s="8">
        <v>2499332</v>
      </c>
      <c r="B1679" s="6" t="s">
        <v>80</v>
      </c>
      <c r="C1679" s="1" t="s">
        <v>9</v>
      </c>
      <c r="D1679" s="1" t="s">
        <v>9</v>
      </c>
      <c r="E1679" s="1" t="s">
        <v>9</v>
      </c>
      <c r="F1679" s="6"/>
      <c r="G1679" s="6"/>
      <c r="H1679" s="11"/>
      <c r="I167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79" t="str">
        <f>IF(Table1[[#This Row],[Nationality]]="Nigeria",Table1[[#This Row],[EMJM Scholarship]],"Not Applicable")</f>
        <v>Not Applicable</v>
      </c>
    </row>
    <row r="1680" spans="1:10" ht="19.25" hidden="1" customHeight="1" x14ac:dyDescent="0.3">
      <c r="A1680" s="8">
        <v>2499446</v>
      </c>
      <c r="B1680" s="6" t="s">
        <v>80</v>
      </c>
      <c r="C1680" s="1" t="s">
        <v>9</v>
      </c>
      <c r="D1680" s="1" t="s">
        <v>9</v>
      </c>
      <c r="E1680" s="1" t="s">
        <v>9</v>
      </c>
      <c r="F1680" s="6"/>
      <c r="G1680" s="6"/>
      <c r="H1680" s="11"/>
      <c r="I168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80" t="str">
        <f>IF(Table1[[#This Row],[Nationality]]="Nigeria",Table1[[#This Row],[EMJM Scholarship]],"Not Applicable")</f>
        <v>Not Applicable</v>
      </c>
    </row>
    <row r="1681" spans="1:10" ht="19.25" hidden="1" customHeight="1" x14ac:dyDescent="0.3">
      <c r="A1681" s="8">
        <v>2499463</v>
      </c>
      <c r="B1681" s="6" t="s">
        <v>80</v>
      </c>
      <c r="C1681" s="1" t="s">
        <v>9</v>
      </c>
      <c r="D1681" s="1" t="s">
        <v>9</v>
      </c>
      <c r="E1681" s="1" t="s">
        <v>9</v>
      </c>
      <c r="F1681" s="6"/>
      <c r="G1681" s="6"/>
      <c r="H1681" s="11"/>
      <c r="I168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81" t="str">
        <f>IF(Table1[[#This Row],[Nationality]]="Nigeria",Table1[[#This Row],[EMJM Scholarship]],"Not Applicable")</f>
        <v>Not Applicable</v>
      </c>
    </row>
    <row r="1682" spans="1:10" ht="19.25" hidden="1" customHeight="1" x14ac:dyDescent="0.3">
      <c r="A1682" s="8">
        <v>2499521</v>
      </c>
      <c r="B1682" s="6" t="s">
        <v>80</v>
      </c>
      <c r="C1682" s="1" t="s">
        <v>9</v>
      </c>
      <c r="D1682" s="1" t="s">
        <v>9</v>
      </c>
      <c r="E1682" s="1" t="s">
        <v>9</v>
      </c>
      <c r="F1682" s="6"/>
      <c r="G1682" s="6"/>
      <c r="H1682" s="11"/>
      <c r="I168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82" t="str">
        <f>IF(Table1[[#This Row],[Nationality]]="Nigeria",Table1[[#This Row],[EMJM Scholarship]],"Not Applicable")</f>
        <v>Not Applicable</v>
      </c>
    </row>
    <row r="1683" spans="1:10" ht="19.25" hidden="1" customHeight="1" x14ac:dyDescent="0.3">
      <c r="A1683" s="8">
        <v>2499538</v>
      </c>
      <c r="B1683" s="6" t="s">
        <v>80</v>
      </c>
      <c r="C1683" s="1" t="s">
        <v>9</v>
      </c>
      <c r="D1683" s="1" t="s">
        <v>9</v>
      </c>
      <c r="E1683" s="1" t="s">
        <v>9</v>
      </c>
      <c r="F1683" s="6"/>
      <c r="G1683" s="6"/>
      <c r="H1683" s="11"/>
      <c r="I168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83" t="str">
        <f>IF(Table1[[#This Row],[Nationality]]="Nigeria",Table1[[#This Row],[EMJM Scholarship]],"Not Applicable")</f>
        <v>Not Applicable</v>
      </c>
    </row>
    <row r="1684" spans="1:10" ht="19.25" hidden="1" customHeight="1" x14ac:dyDescent="0.3">
      <c r="A1684" s="8">
        <v>2499751</v>
      </c>
      <c r="B1684" s="6" t="s">
        <v>80</v>
      </c>
      <c r="C1684" s="1" t="s">
        <v>9</v>
      </c>
      <c r="D1684" s="1" t="s">
        <v>9</v>
      </c>
      <c r="E1684" s="1" t="s">
        <v>9</v>
      </c>
      <c r="F1684" s="6"/>
      <c r="G1684" s="6"/>
      <c r="H1684" s="11"/>
      <c r="I168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84" t="str">
        <f>IF(Table1[[#This Row],[Nationality]]="Nigeria",Table1[[#This Row],[EMJM Scholarship]],"Not Applicable")</f>
        <v>Not Applicable</v>
      </c>
    </row>
    <row r="1685" spans="1:10" ht="19.25" hidden="1" customHeight="1" x14ac:dyDescent="0.3">
      <c r="A1685" s="8">
        <v>2499804</v>
      </c>
      <c r="B1685" s="6" t="s">
        <v>80</v>
      </c>
      <c r="C1685" s="1" t="s">
        <v>9</v>
      </c>
      <c r="D1685" s="1" t="s">
        <v>9</v>
      </c>
      <c r="E1685" s="1" t="s">
        <v>9</v>
      </c>
      <c r="F1685" s="6"/>
      <c r="G1685" s="6"/>
      <c r="H1685" s="11"/>
      <c r="I168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85" t="str">
        <f>IF(Table1[[#This Row],[Nationality]]="Nigeria",Table1[[#This Row],[EMJM Scholarship]],"Not Applicable")</f>
        <v>Not Applicable</v>
      </c>
    </row>
    <row r="1686" spans="1:10" ht="19.25" hidden="1" customHeight="1" x14ac:dyDescent="0.3">
      <c r="A1686" s="8">
        <v>2499915</v>
      </c>
      <c r="B1686" s="6" t="s">
        <v>80</v>
      </c>
      <c r="C1686" s="1" t="s">
        <v>9</v>
      </c>
      <c r="D1686" s="1" t="s">
        <v>9</v>
      </c>
      <c r="E1686" s="1" t="s">
        <v>9</v>
      </c>
      <c r="F1686" s="6"/>
      <c r="G1686" s="6"/>
      <c r="H1686" s="11"/>
      <c r="I168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86" t="str">
        <f>IF(Table1[[#This Row],[Nationality]]="Nigeria",Table1[[#This Row],[EMJM Scholarship]],"Not Applicable")</f>
        <v>Not Applicable</v>
      </c>
    </row>
    <row r="1687" spans="1:10" ht="19.25" hidden="1" customHeight="1" x14ac:dyDescent="0.3">
      <c r="A1687" s="8">
        <v>2499968</v>
      </c>
      <c r="B1687" s="6" t="s">
        <v>80</v>
      </c>
      <c r="C1687" s="1" t="s">
        <v>9</v>
      </c>
      <c r="D1687" s="1" t="s">
        <v>9</v>
      </c>
      <c r="E1687" s="1" t="s">
        <v>9</v>
      </c>
      <c r="F1687" s="6"/>
      <c r="G1687" s="6"/>
      <c r="H1687" s="11"/>
      <c r="I168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87" t="str">
        <f>IF(Table1[[#This Row],[Nationality]]="Nigeria",Table1[[#This Row],[EMJM Scholarship]],"Not Applicable")</f>
        <v>Not Applicable</v>
      </c>
    </row>
    <row r="1688" spans="1:10" ht="19.25" hidden="1" customHeight="1" x14ac:dyDescent="0.3">
      <c r="A1688" s="8">
        <v>2500108</v>
      </c>
      <c r="B1688" s="6" t="s">
        <v>80</v>
      </c>
      <c r="C1688" s="1" t="s">
        <v>9</v>
      </c>
      <c r="D1688" s="1" t="s">
        <v>9</v>
      </c>
      <c r="E1688" s="1" t="s">
        <v>9</v>
      </c>
      <c r="F1688" s="6"/>
      <c r="G1688" s="6"/>
      <c r="H1688" s="11"/>
      <c r="I168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88" t="str">
        <f>IF(Table1[[#This Row],[Nationality]]="Nigeria",Table1[[#This Row],[EMJM Scholarship]],"Not Applicable")</f>
        <v>Not Applicable</v>
      </c>
    </row>
    <row r="1689" spans="1:10" ht="19.25" hidden="1" customHeight="1" x14ac:dyDescent="0.3">
      <c r="A1689" s="8">
        <v>2500217</v>
      </c>
      <c r="B1689" s="6" t="s">
        <v>80</v>
      </c>
      <c r="C1689" s="1" t="s">
        <v>9</v>
      </c>
      <c r="D1689" s="1" t="s">
        <v>9</v>
      </c>
      <c r="E1689" s="1" t="s">
        <v>9</v>
      </c>
      <c r="F1689" s="6"/>
      <c r="G1689" s="6"/>
      <c r="H1689" s="11"/>
      <c r="I168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89" t="str">
        <f>IF(Table1[[#This Row],[Nationality]]="Nigeria",Table1[[#This Row],[EMJM Scholarship]],"Not Applicable")</f>
        <v>Not Applicable</v>
      </c>
    </row>
    <row r="1690" spans="1:10" ht="19.25" hidden="1" customHeight="1" x14ac:dyDescent="0.3">
      <c r="A1690" s="8">
        <v>2500229</v>
      </c>
      <c r="B1690" s="6" t="s">
        <v>80</v>
      </c>
      <c r="C1690" s="1" t="s">
        <v>9</v>
      </c>
      <c r="D1690" s="1" t="s">
        <v>9</v>
      </c>
      <c r="E1690" s="1" t="s">
        <v>9</v>
      </c>
      <c r="F1690" s="6"/>
      <c r="G1690" s="6"/>
      <c r="H1690" s="11"/>
      <c r="I169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90" t="str">
        <f>IF(Table1[[#This Row],[Nationality]]="Nigeria",Table1[[#This Row],[EMJM Scholarship]],"Not Applicable")</f>
        <v>Not Applicable</v>
      </c>
    </row>
    <row r="1691" spans="1:10" ht="19.25" hidden="1" customHeight="1" x14ac:dyDescent="0.3">
      <c r="A1691" s="8">
        <v>2500274</v>
      </c>
      <c r="B1691" s="6" t="s">
        <v>80</v>
      </c>
      <c r="C1691" s="1" t="s">
        <v>9</v>
      </c>
      <c r="D1691" s="1" t="s">
        <v>9</v>
      </c>
      <c r="E1691" s="1" t="s">
        <v>9</v>
      </c>
      <c r="F1691" s="6"/>
      <c r="G1691" s="6"/>
      <c r="H1691" s="11"/>
      <c r="I169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91" t="str">
        <f>IF(Table1[[#This Row],[Nationality]]="Nigeria",Table1[[#This Row],[EMJM Scholarship]],"Not Applicable")</f>
        <v>Not Applicable</v>
      </c>
    </row>
    <row r="1692" spans="1:10" ht="19.25" hidden="1" customHeight="1" x14ac:dyDescent="0.3">
      <c r="A1692" s="8">
        <v>2500280</v>
      </c>
      <c r="B1692" s="6" t="s">
        <v>80</v>
      </c>
      <c r="C1692" s="1" t="s">
        <v>9</v>
      </c>
      <c r="D1692" s="1" t="s">
        <v>9</v>
      </c>
      <c r="E1692" s="1" t="s">
        <v>9</v>
      </c>
      <c r="F1692" s="6"/>
      <c r="G1692" s="6"/>
      <c r="H1692" s="11"/>
      <c r="I169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92" t="str">
        <f>IF(Table1[[#This Row],[Nationality]]="Nigeria",Table1[[#This Row],[EMJM Scholarship]],"Not Applicable")</f>
        <v>Not Applicable</v>
      </c>
    </row>
    <row r="1693" spans="1:10" ht="19.25" hidden="1" customHeight="1" x14ac:dyDescent="0.3">
      <c r="A1693" s="8">
        <v>2500418</v>
      </c>
      <c r="B1693" s="6" t="s">
        <v>80</v>
      </c>
      <c r="C1693" s="1" t="s">
        <v>9</v>
      </c>
      <c r="D1693" s="1" t="s">
        <v>9</v>
      </c>
      <c r="E1693" s="1" t="s">
        <v>9</v>
      </c>
      <c r="F1693" s="6"/>
      <c r="G1693" s="6"/>
      <c r="H1693" s="11"/>
      <c r="I169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93" t="str">
        <f>IF(Table1[[#This Row],[Nationality]]="Nigeria",Table1[[#This Row],[EMJM Scholarship]],"Not Applicable")</f>
        <v>Not Applicable</v>
      </c>
    </row>
    <row r="1694" spans="1:10" ht="19.25" hidden="1" customHeight="1" x14ac:dyDescent="0.3">
      <c r="A1694" s="8">
        <v>2500426</v>
      </c>
      <c r="B1694" s="6" t="s">
        <v>80</v>
      </c>
      <c r="C1694" s="1" t="s">
        <v>9</v>
      </c>
      <c r="D1694" s="1" t="s">
        <v>9</v>
      </c>
      <c r="E1694" s="1" t="s">
        <v>9</v>
      </c>
      <c r="F1694" s="6"/>
      <c r="G1694" s="6"/>
      <c r="H1694" s="11"/>
      <c r="I169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94" t="str">
        <f>IF(Table1[[#This Row],[Nationality]]="Nigeria",Table1[[#This Row],[EMJM Scholarship]],"Not Applicable")</f>
        <v>Not Applicable</v>
      </c>
    </row>
    <row r="1695" spans="1:10" ht="19.25" hidden="1" customHeight="1" x14ac:dyDescent="0.3">
      <c r="A1695" s="8">
        <v>2500487</v>
      </c>
      <c r="B1695" s="6" t="s">
        <v>80</v>
      </c>
      <c r="C1695" s="1" t="s">
        <v>9</v>
      </c>
      <c r="D1695" s="1" t="s">
        <v>9</v>
      </c>
      <c r="E1695" s="1" t="s">
        <v>9</v>
      </c>
      <c r="F1695" s="6"/>
      <c r="G1695" s="6"/>
      <c r="H1695" s="11"/>
      <c r="I169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95" t="str">
        <f>IF(Table1[[#This Row],[Nationality]]="Nigeria",Table1[[#This Row],[EMJM Scholarship]],"Not Applicable")</f>
        <v>Not Applicable</v>
      </c>
    </row>
    <row r="1696" spans="1:10" ht="19.25" hidden="1" customHeight="1" x14ac:dyDescent="0.3">
      <c r="A1696" s="8">
        <v>2500508</v>
      </c>
      <c r="B1696" s="6" t="s">
        <v>80</v>
      </c>
      <c r="C1696" s="1" t="s">
        <v>9</v>
      </c>
      <c r="D1696" s="1" t="s">
        <v>9</v>
      </c>
      <c r="E1696" s="1" t="s">
        <v>9</v>
      </c>
      <c r="F1696" s="6"/>
      <c r="G1696" s="6"/>
      <c r="H1696" s="11"/>
      <c r="I169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96" t="str">
        <f>IF(Table1[[#This Row],[Nationality]]="Nigeria",Table1[[#This Row],[EMJM Scholarship]],"Not Applicable")</f>
        <v>Not Applicable</v>
      </c>
    </row>
    <row r="1697" spans="1:10" ht="19.25" hidden="1" customHeight="1" x14ac:dyDescent="0.3">
      <c r="A1697" s="8">
        <v>2500571</v>
      </c>
      <c r="B1697" s="6" t="s">
        <v>80</v>
      </c>
      <c r="C1697" s="1" t="s">
        <v>9</v>
      </c>
      <c r="D1697" s="1" t="s">
        <v>9</v>
      </c>
      <c r="E1697" s="1" t="s">
        <v>9</v>
      </c>
      <c r="F1697" s="6"/>
      <c r="G1697" s="6"/>
      <c r="H1697" s="11"/>
      <c r="I169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97" t="str">
        <f>IF(Table1[[#This Row],[Nationality]]="Nigeria",Table1[[#This Row],[EMJM Scholarship]],"Not Applicable")</f>
        <v>Not Applicable</v>
      </c>
    </row>
    <row r="1698" spans="1:10" ht="19.25" hidden="1" customHeight="1" x14ac:dyDescent="0.3">
      <c r="A1698" s="8">
        <v>2500614</v>
      </c>
      <c r="B1698" s="6" t="s">
        <v>80</v>
      </c>
      <c r="C1698" s="1" t="s">
        <v>9</v>
      </c>
      <c r="D1698" s="1" t="s">
        <v>9</v>
      </c>
      <c r="E1698" s="1" t="s">
        <v>9</v>
      </c>
      <c r="F1698" s="6"/>
      <c r="G1698" s="6"/>
      <c r="H1698" s="11"/>
      <c r="I169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98" t="str">
        <f>IF(Table1[[#This Row],[Nationality]]="Nigeria",Table1[[#This Row],[EMJM Scholarship]],"Not Applicable")</f>
        <v>Not Applicable</v>
      </c>
    </row>
    <row r="1699" spans="1:10" ht="19.25" hidden="1" customHeight="1" x14ac:dyDescent="0.3">
      <c r="A1699" s="8">
        <v>2500830</v>
      </c>
      <c r="B1699" s="6" t="s">
        <v>80</v>
      </c>
      <c r="C1699" s="1" t="s">
        <v>9</v>
      </c>
      <c r="D1699" s="1" t="s">
        <v>9</v>
      </c>
      <c r="E1699" s="1" t="s">
        <v>9</v>
      </c>
      <c r="F1699" s="6"/>
      <c r="G1699" s="6"/>
      <c r="H1699" s="11"/>
      <c r="I169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699" t="str">
        <f>IF(Table1[[#This Row],[Nationality]]="Nigeria",Table1[[#This Row],[EMJM Scholarship]],"Not Applicable")</f>
        <v>Not Applicable</v>
      </c>
    </row>
    <row r="1700" spans="1:10" ht="19.25" hidden="1" customHeight="1" x14ac:dyDescent="0.3">
      <c r="A1700" s="8">
        <v>2500891</v>
      </c>
      <c r="B1700" s="6" t="s">
        <v>80</v>
      </c>
      <c r="C1700" s="1" t="s">
        <v>9</v>
      </c>
      <c r="D1700" s="1" t="s">
        <v>9</v>
      </c>
      <c r="E1700" s="1" t="s">
        <v>9</v>
      </c>
      <c r="F1700" s="6"/>
      <c r="G1700" s="6"/>
      <c r="H1700" s="11"/>
      <c r="I170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00" t="str">
        <f>IF(Table1[[#This Row],[Nationality]]="Nigeria",Table1[[#This Row],[EMJM Scholarship]],"Not Applicable")</f>
        <v>Not Applicable</v>
      </c>
    </row>
    <row r="1701" spans="1:10" ht="19.25" hidden="1" customHeight="1" x14ac:dyDescent="0.3">
      <c r="A1701" s="8">
        <v>2500955</v>
      </c>
      <c r="B1701" s="6" t="s">
        <v>80</v>
      </c>
      <c r="C1701" s="1" t="s">
        <v>9</v>
      </c>
      <c r="D1701" s="1" t="s">
        <v>9</v>
      </c>
      <c r="E1701" s="1" t="s">
        <v>9</v>
      </c>
      <c r="F1701" s="6"/>
      <c r="G1701" s="6"/>
      <c r="H1701" s="11"/>
      <c r="I170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01" t="str">
        <f>IF(Table1[[#This Row],[Nationality]]="Nigeria",Table1[[#This Row],[EMJM Scholarship]],"Not Applicable")</f>
        <v>Not Applicable</v>
      </c>
    </row>
    <row r="1702" spans="1:10" ht="19.25" hidden="1" customHeight="1" x14ac:dyDescent="0.3">
      <c r="A1702" s="8">
        <v>2501014</v>
      </c>
      <c r="B1702" s="6" t="s">
        <v>80</v>
      </c>
      <c r="C1702" s="1" t="s">
        <v>9</v>
      </c>
      <c r="D1702" s="1" t="s">
        <v>9</v>
      </c>
      <c r="E1702" s="1" t="s">
        <v>9</v>
      </c>
      <c r="F1702" s="6"/>
      <c r="G1702" s="6"/>
      <c r="H1702" s="11"/>
      <c r="I170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02" t="str">
        <f>IF(Table1[[#This Row],[Nationality]]="Nigeria",Table1[[#This Row],[EMJM Scholarship]],"Not Applicable")</f>
        <v>Not Applicable</v>
      </c>
    </row>
    <row r="1703" spans="1:10" ht="19.25" hidden="1" customHeight="1" x14ac:dyDescent="0.3">
      <c r="A1703" s="8">
        <v>2501025</v>
      </c>
      <c r="B1703" s="6" t="s">
        <v>80</v>
      </c>
      <c r="C1703" s="1" t="s">
        <v>9</v>
      </c>
      <c r="D1703" s="1" t="s">
        <v>9</v>
      </c>
      <c r="E1703" s="1" t="s">
        <v>9</v>
      </c>
      <c r="F1703" s="6"/>
      <c r="G1703" s="6"/>
      <c r="H1703" s="11"/>
      <c r="I170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03" t="str">
        <f>IF(Table1[[#This Row],[Nationality]]="Nigeria",Table1[[#This Row],[EMJM Scholarship]],"Not Applicable")</f>
        <v>Not Applicable</v>
      </c>
    </row>
    <row r="1704" spans="1:10" ht="19.25" hidden="1" customHeight="1" x14ac:dyDescent="0.3">
      <c r="A1704" s="8">
        <v>2501101</v>
      </c>
      <c r="B1704" s="6" t="s">
        <v>80</v>
      </c>
      <c r="C1704" s="1" t="s">
        <v>9</v>
      </c>
      <c r="D1704" s="1" t="s">
        <v>9</v>
      </c>
      <c r="E1704" s="1" t="s">
        <v>9</v>
      </c>
      <c r="F1704" s="6"/>
      <c r="G1704" s="6"/>
      <c r="H1704" s="11"/>
      <c r="I170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04" t="str">
        <f>IF(Table1[[#This Row],[Nationality]]="Nigeria",Table1[[#This Row],[EMJM Scholarship]],"Not Applicable")</f>
        <v>Not Applicable</v>
      </c>
    </row>
    <row r="1705" spans="1:10" ht="19.25" hidden="1" customHeight="1" x14ac:dyDescent="0.3">
      <c r="A1705" s="8">
        <v>2501177</v>
      </c>
      <c r="B1705" s="6" t="s">
        <v>80</v>
      </c>
      <c r="C1705" s="1" t="s">
        <v>9</v>
      </c>
      <c r="D1705" s="1" t="s">
        <v>9</v>
      </c>
      <c r="E1705" s="1" t="s">
        <v>9</v>
      </c>
      <c r="F1705" s="6"/>
      <c r="G1705" s="6"/>
      <c r="H1705" s="11"/>
      <c r="I170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05" t="str">
        <f>IF(Table1[[#This Row],[Nationality]]="Nigeria",Table1[[#This Row],[EMJM Scholarship]],"Not Applicable")</f>
        <v>Not Applicable</v>
      </c>
    </row>
    <row r="1706" spans="1:10" ht="19.25" hidden="1" customHeight="1" x14ac:dyDescent="0.3">
      <c r="A1706" s="8">
        <v>2501180</v>
      </c>
      <c r="B1706" s="6" t="s">
        <v>80</v>
      </c>
      <c r="C1706" s="1" t="s">
        <v>9</v>
      </c>
      <c r="D1706" s="1" t="s">
        <v>9</v>
      </c>
      <c r="E1706" s="1" t="s">
        <v>9</v>
      </c>
      <c r="F1706" s="6"/>
      <c r="G1706" s="6"/>
      <c r="H1706" s="11"/>
      <c r="I170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06" t="str">
        <f>IF(Table1[[#This Row],[Nationality]]="Nigeria",Table1[[#This Row],[EMJM Scholarship]],"Not Applicable")</f>
        <v>Not Applicable</v>
      </c>
    </row>
    <row r="1707" spans="1:10" ht="19.25" hidden="1" customHeight="1" x14ac:dyDescent="0.3">
      <c r="A1707" s="8">
        <v>2501393</v>
      </c>
      <c r="B1707" s="6" t="s">
        <v>80</v>
      </c>
      <c r="C1707" s="1" t="s">
        <v>9</v>
      </c>
      <c r="D1707" s="1" t="s">
        <v>9</v>
      </c>
      <c r="E1707" s="1" t="s">
        <v>9</v>
      </c>
      <c r="F1707" s="6"/>
      <c r="G1707" s="6"/>
      <c r="H1707" s="11"/>
      <c r="I170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07" t="str">
        <f>IF(Table1[[#This Row],[Nationality]]="Nigeria",Table1[[#This Row],[EMJM Scholarship]],"Not Applicable")</f>
        <v>Not Applicable</v>
      </c>
    </row>
    <row r="1708" spans="1:10" ht="19.25" hidden="1" customHeight="1" x14ac:dyDescent="0.3">
      <c r="A1708" s="8">
        <v>2501453</v>
      </c>
      <c r="B1708" s="6" t="s">
        <v>80</v>
      </c>
      <c r="C1708" s="1" t="s">
        <v>9</v>
      </c>
      <c r="D1708" s="1" t="s">
        <v>9</v>
      </c>
      <c r="E1708" s="1" t="s">
        <v>9</v>
      </c>
      <c r="F1708" s="6"/>
      <c r="G1708" s="6"/>
      <c r="H1708" s="11"/>
      <c r="I170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08" t="str">
        <f>IF(Table1[[#This Row],[Nationality]]="Nigeria",Table1[[#This Row],[EMJM Scholarship]],"Not Applicable")</f>
        <v>Not Applicable</v>
      </c>
    </row>
    <row r="1709" spans="1:10" ht="19.25" hidden="1" customHeight="1" x14ac:dyDescent="0.3">
      <c r="A1709" s="8">
        <v>2501537</v>
      </c>
      <c r="B1709" s="6" t="s">
        <v>80</v>
      </c>
      <c r="C1709" s="1" t="s">
        <v>9</v>
      </c>
      <c r="D1709" s="1" t="s">
        <v>9</v>
      </c>
      <c r="E1709" s="1" t="s">
        <v>9</v>
      </c>
      <c r="F1709" s="6"/>
      <c r="G1709" s="6"/>
      <c r="H1709" s="11"/>
      <c r="I170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09" t="str">
        <f>IF(Table1[[#This Row],[Nationality]]="Nigeria",Table1[[#This Row],[EMJM Scholarship]],"Not Applicable")</f>
        <v>Not Applicable</v>
      </c>
    </row>
    <row r="1710" spans="1:10" ht="19.25" hidden="1" customHeight="1" x14ac:dyDescent="0.3">
      <c r="A1710" s="8">
        <v>2501568</v>
      </c>
      <c r="B1710" s="6" t="s">
        <v>80</v>
      </c>
      <c r="C1710" s="1" t="s">
        <v>9</v>
      </c>
      <c r="D1710" s="1" t="s">
        <v>9</v>
      </c>
      <c r="E1710" s="1" t="s">
        <v>9</v>
      </c>
      <c r="F1710" s="6"/>
      <c r="G1710" s="6"/>
      <c r="H1710" s="11"/>
      <c r="I171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10" t="str">
        <f>IF(Table1[[#This Row],[Nationality]]="Nigeria",Table1[[#This Row],[EMJM Scholarship]],"Not Applicable")</f>
        <v>Not Applicable</v>
      </c>
    </row>
    <row r="1711" spans="1:10" ht="19.25" hidden="1" customHeight="1" x14ac:dyDescent="0.3">
      <c r="A1711" s="8">
        <v>2501691</v>
      </c>
      <c r="B1711" s="6" t="s">
        <v>80</v>
      </c>
      <c r="C1711" s="1" t="s">
        <v>9</v>
      </c>
      <c r="D1711" s="1" t="s">
        <v>9</v>
      </c>
      <c r="E1711" s="1" t="s">
        <v>9</v>
      </c>
      <c r="F1711" s="6"/>
      <c r="G1711" s="6"/>
      <c r="H1711" s="11"/>
      <c r="I171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11" t="str">
        <f>IF(Table1[[#This Row],[Nationality]]="Nigeria",Table1[[#This Row],[EMJM Scholarship]],"Not Applicable")</f>
        <v>Not Applicable</v>
      </c>
    </row>
    <row r="1712" spans="1:10" ht="19.25" hidden="1" customHeight="1" x14ac:dyDescent="0.3">
      <c r="A1712" s="8">
        <v>2501965</v>
      </c>
      <c r="B1712" s="6" t="s">
        <v>80</v>
      </c>
      <c r="C1712" s="1" t="s">
        <v>9</v>
      </c>
      <c r="D1712" s="1" t="s">
        <v>9</v>
      </c>
      <c r="E1712" s="1" t="s">
        <v>9</v>
      </c>
      <c r="F1712" s="6"/>
      <c r="G1712" s="6"/>
      <c r="H1712" s="11"/>
      <c r="I171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12" t="str">
        <f>IF(Table1[[#This Row],[Nationality]]="Nigeria",Table1[[#This Row],[EMJM Scholarship]],"Not Applicable")</f>
        <v>Not Applicable</v>
      </c>
    </row>
    <row r="1713" spans="1:10" ht="19.25" hidden="1" customHeight="1" x14ac:dyDescent="0.3">
      <c r="A1713" s="8">
        <v>2502120</v>
      </c>
      <c r="B1713" s="6" t="s">
        <v>80</v>
      </c>
      <c r="C1713" s="1" t="s">
        <v>9</v>
      </c>
      <c r="D1713" s="1" t="s">
        <v>9</v>
      </c>
      <c r="E1713" s="1" t="s">
        <v>9</v>
      </c>
      <c r="F1713" s="6"/>
      <c r="G1713" s="6"/>
      <c r="H1713" s="11"/>
      <c r="I171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13" t="str">
        <f>IF(Table1[[#This Row],[Nationality]]="Nigeria",Table1[[#This Row],[EMJM Scholarship]],"Not Applicable")</f>
        <v>Not Applicable</v>
      </c>
    </row>
    <row r="1714" spans="1:10" ht="19.25" hidden="1" customHeight="1" x14ac:dyDescent="0.3">
      <c r="A1714" s="8">
        <v>2502178</v>
      </c>
      <c r="B1714" s="6" t="s">
        <v>80</v>
      </c>
      <c r="C1714" s="1" t="s">
        <v>9</v>
      </c>
      <c r="D1714" s="1" t="s">
        <v>9</v>
      </c>
      <c r="E1714" s="1" t="s">
        <v>9</v>
      </c>
      <c r="F1714" s="6"/>
      <c r="G1714" s="6"/>
      <c r="H1714" s="11"/>
      <c r="I171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14" t="str">
        <f>IF(Table1[[#This Row],[Nationality]]="Nigeria",Table1[[#This Row],[EMJM Scholarship]],"Not Applicable")</f>
        <v>Not Applicable</v>
      </c>
    </row>
    <row r="1715" spans="1:10" ht="19.25" hidden="1" customHeight="1" x14ac:dyDescent="0.3">
      <c r="A1715" s="8">
        <v>2502186</v>
      </c>
      <c r="B1715" s="6" t="s">
        <v>80</v>
      </c>
      <c r="C1715" s="1" t="s">
        <v>9</v>
      </c>
      <c r="D1715" s="1" t="s">
        <v>9</v>
      </c>
      <c r="E1715" s="1" t="s">
        <v>9</v>
      </c>
      <c r="F1715" s="6"/>
      <c r="G1715" s="6"/>
      <c r="H1715" s="11"/>
      <c r="I171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15" t="str">
        <f>IF(Table1[[#This Row],[Nationality]]="Nigeria",Table1[[#This Row],[EMJM Scholarship]],"Not Applicable")</f>
        <v>Not Applicable</v>
      </c>
    </row>
    <row r="1716" spans="1:10" ht="19.25" hidden="1" customHeight="1" x14ac:dyDescent="0.3">
      <c r="A1716" s="8">
        <v>2502266</v>
      </c>
      <c r="B1716" s="6" t="s">
        <v>80</v>
      </c>
      <c r="C1716" s="1" t="s">
        <v>9</v>
      </c>
      <c r="D1716" s="1" t="s">
        <v>9</v>
      </c>
      <c r="E1716" s="1" t="s">
        <v>9</v>
      </c>
      <c r="F1716" s="6"/>
      <c r="G1716" s="6"/>
      <c r="H1716" s="11"/>
      <c r="I171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16" t="str">
        <f>IF(Table1[[#This Row],[Nationality]]="Nigeria",Table1[[#This Row],[EMJM Scholarship]],"Not Applicable")</f>
        <v>Not Applicable</v>
      </c>
    </row>
    <row r="1717" spans="1:10" ht="19.25" hidden="1" customHeight="1" x14ac:dyDescent="0.3">
      <c r="A1717" s="8">
        <v>2502282</v>
      </c>
      <c r="B1717" s="6" t="s">
        <v>80</v>
      </c>
      <c r="C1717" s="1" t="s">
        <v>9</v>
      </c>
      <c r="D1717" s="1" t="s">
        <v>9</v>
      </c>
      <c r="E1717" s="1" t="s">
        <v>9</v>
      </c>
      <c r="F1717" s="6"/>
      <c r="G1717" s="6"/>
      <c r="H1717" s="11"/>
      <c r="I171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17" t="str">
        <f>IF(Table1[[#This Row],[Nationality]]="Nigeria",Table1[[#This Row],[EMJM Scholarship]],"Not Applicable")</f>
        <v>Not Applicable</v>
      </c>
    </row>
    <row r="1718" spans="1:10" ht="19.25" hidden="1" customHeight="1" x14ac:dyDescent="0.3">
      <c r="A1718" s="8">
        <v>2502300</v>
      </c>
      <c r="B1718" s="6" t="s">
        <v>80</v>
      </c>
      <c r="C1718" s="1" t="s">
        <v>9</v>
      </c>
      <c r="D1718" s="1" t="s">
        <v>9</v>
      </c>
      <c r="E1718" s="1" t="s">
        <v>9</v>
      </c>
      <c r="F1718" s="6"/>
      <c r="G1718" s="6"/>
      <c r="H1718" s="11"/>
      <c r="I171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18" t="str">
        <f>IF(Table1[[#This Row],[Nationality]]="Nigeria",Table1[[#This Row],[EMJM Scholarship]],"Not Applicable")</f>
        <v>Not Applicable</v>
      </c>
    </row>
    <row r="1719" spans="1:10" ht="19.25" hidden="1" customHeight="1" x14ac:dyDescent="0.3">
      <c r="A1719" s="8">
        <v>2502390</v>
      </c>
      <c r="B1719" s="6" t="s">
        <v>80</v>
      </c>
      <c r="C1719" s="1" t="s">
        <v>9</v>
      </c>
      <c r="D1719" s="1" t="s">
        <v>9</v>
      </c>
      <c r="E1719" s="1" t="s">
        <v>9</v>
      </c>
      <c r="F1719" s="6"/>
      <c r="G1719" s="6"/>
      <c r="H1719" s="11"/>
      <c r="I171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19" t="str">
        <f>IF(Table1[[#This Row],[Nationality]]="Nigeria",Table1[[#This Row],[EMJM Scholarship]],"Not Applicable")</f>
        <v>Not Applicable</v>
      </c>
    </row>
    <row r="1720" spans="1:10" ht="19.25" hidden="1" customHeight="1" x14ac:dyDescent="0.3">
      <c r="A1720" s="8">
        <v>2502453</v>
      </c>
      <c r="B1720" s="6" t="s">
        <v>80</v>
      </c>
      <c r="C1720" s="1" t="s">
        <v>9</v>
      </c>
      <c r="D1720" s="1" t="s">
        <v>9</v>
      </c>
      <c r="E1720" s="1" t="s">
        <v>9</v>
      </c>
      <c r="F1720" s="6"/>
      <c r="G1720" s="6"/>
      <c r="H1720" s="11"/>
      <c r="I172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20" t="str">
        <f>IF(Table1[[#This Row],[Nationality]]="Nigeria",Table1[[#This Row],[EMJM Scholarship]],"Not Applicable")</f>
        <v>Not Applicable</v>
      </c>
    </row>
    <row r="1721" spans="1:10" ht="19.25" hidden="1" customHeight="1" x14ac:dyDescent="0.3">
      <c r="A1721" s="8">
        <v>2502534</v>
      </c>
      <c r="B1721" s="6" t="s">
        <v>80</v>
      </c>
      <c r="C1721" s="1" t="s">
        <v>9</v>
      </c>
      <c r="D1721" s="1" t="s">
        <v>9</v>
      </c>
      <c r="E1721" s="1" t="s">
        <v>9</v>
      </c>
      <c r="F1721" s="6"/>
      <c r="G1721" s="6"/>
      <c r="H1721" s="11"/>
      <c r="I172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21" t="str">
        <f>IF(Table1[[#This Row],[Nationality]]="Nigeria",Table1[[#This Row],[EMJM Scholarship]],"Not Applicable")</f>
        <v>Not Applicable</v>
      </c>
    </row>
    <row r="1722" spans="1:10" ht="19.25" hidden="1" customHeight="1" x14ac:dyDescent="0.3">
      <c r="A1722" s="8">
        <v>2502570</v>
      </c>
      <c r="B1722" s="6" t="s">
        <v>80</v>
      </c>
      <c r="C1722" s="1" t="s">
        <v>9</v>
      </c>
      <c r="D1722" s="1" t="s">
        <v>9</v>
      </c>
      <c r="E1722" s="1" t="s">
        <v>9</v>
      </c>
      <c r="F1722" s="6"/>
      <c r="G1722" s="6"/>
      <c r="H1722" s="11"/>
      <c r="I172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22" t="str">
        <f>IF(Table1[[#This Row],[Nationality]]="Nigeria",Table1[[#This Row],[EMJM Scholarship]],"Not Applicable")</f>
        <v>Not Applicable</v>
      </c>
    </row>
    <row r="1723" spans="1:10" ht="19.25" hidden="1" customHeight="1" x14ac:dyDescent="0.3">
      <c r="A1723" s="8">
        <v>2502576</v>
      </c>
      <c r="B1723" s="6" t="s">
        <v>80</v>
      </c>
      <c r="C1723" s="1" t="s">
        <v>9</v>
      </c>
      <c r="D1723" s="1" t="s">
        <v>9</v>
      </c>
      <c r="E1723" s="1" t="s">
        <v>9</v>
      </c>
      <c r="F1723" s="6"/>
      <c r="G1723" s="6"/>
      <c r="H1723" s="11"/>
      <c r="I172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23" t="str">
        <f>IF(Table1[[#This Row],[Nationality]]="Nigeria",Table1[[#This Row],[EMJM Scholarship]],"Not Applicable")</f>
        <v>Not Applicable</v>
      </c>
    </row>
    <row r="1724" spans="1:10" ht="19.25" hidden="1" customHeight="1" x14ac:dyDescent="0.3">
      <c r="A1724" s="8">
        <v>2502598</v>
      </c>
      <c r="B1724" s="6" t="s">
        <v>80</v>
      </c>
      <c r="C1724" s="1" t="s">
        <v>9</v>
      </c>
      <c r="D1724" s="1" t="s">
        <v>9</v>
      </c>
      <c r="E1724" s="1" t="s">
        <v>9</v>
      </c>
      <c r="F1724" s="6"/>
      <c r="G1724" s="6"/>
      <c r="H1724" s="11"/>
      <c r="I172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24" t="str">
        <f>IF(Table1[[#This Row],[Nationality]]="Nigeria",Table1[[#This Row],[EMJM Scholarship]],"Not Applicable")</f>
        <v>Not Applicable</v>
      </c>
    </row>
    <row r="1725" spans="1:10" ht="19.25" hidden="1" customHeight="1" x14ac:dyDescent="0.3">
      <c r="A1725" s="8">
        <v>2502600</v>
      </c>
      <c r="B1725" s="6" t="s">
        <v>80</v>
      </c>
      <c r="C1725" s="1" t="s">
        <v>9</v>
      </c>
      <c r="D1725" s="1" t="s">
        <v>9</v>
      </c>
      <c r="E1725" s="1" t="s">
        <v>9</v>
      </c>
      <c r="F1725" s="6"/>
      <c r="G1725" s="6"/>
      <c r="H1725" s="11"/>
      <c r="I172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25" t="str">
        <f>IF(Table1[[#This Row],[Nationality]]="Nigeria",Table1[[#This Row],[EMJM Scholarship]],"Not Applicable")</f>
        <v>Not Applicable</v>
      </c>
    </row>
    <row r="1726" spans="1:10" ht="19.25" hidden="1" customHeight="1" x14ac:dyDescent="0.3">
      <c r="A1726" s="8">
        <v>2502608</v>
      </c>
      <c r="B1726" s="6" t="s">
        <v>80</v>
      </c>
      <c r="C1726" s="1" t="s">
        <v>9</v>
      </c>
      <c r="D1726" s="1" t="s">
        <v>9</v>
      </c>
      <c r="E1726" s="1" t="s">
        <v>9</v>
      </c>
      <c r="F1726" s="6"/>
      <c r="G1726" s="6"/>
      <c r="H1726" s="11"/>
      <c r="I172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26" t="str">
        <f>IF(Table1[[#This Row],[Nationality]]="Nigeria",Table1[[#This Row],[EMJM Scholarship]],"Not Applicable")</f>
        <v>Not Applicable</v>
      </c>
    </row>
    <row r="1727" spans="1:10" ht="19.25" hidden="1" customHeight="1" x14ac:dyDescent="0.3">
      <c r="A1727" s="8">
        <v>2502615</v>
      </c>
      <c r="B1727" s="6" t="s">
        <v>80</v>
      </c>
      <c r="C1727" s="1" t="s">
        <v>9</v>
      </c>
      <c r="D1727" s="1" t="s">
        <v>9</v>
      </c>
      <c r="E1727" s="1" t="s">
        <v>9</v>
      </c>
      <c r="F1727" s="6"/>
      <c r="G1727" s="6"/>
      <c r="H1727" s="11"/>
      <c r="I172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27" t="str">
        <f>IF(Table1[[#This Row],[Nationality]]="Nigeria",Table1[[#This Row],[EMJM Scholarship]],"Not Applicable")</f>
        <v>Not Applicable</v>
      </c>
    </row>
    <row r="1728" spans="1:10" ht="19.25" hidden="1" customHeight="1" x14ac:dyDescent="0.3">
      <c r="A1728" s="8">
        <v>2502619</v>
      </c>
      <c r="B1728" s="6" t="s">
        <v>80</v>
      </c>
      <c r="C1728" s="1" t="s">
        <v>9</v>
      </c>
      <c r="D1728" s="1" t="s">
        <v>9</v>
      </c>
      <c r="E1728" s="1" t="s">
        <v>9</v>
      </c>
      <c r="F1728" s="6"/>
      <c r="G1728" s="6"/>
      <c r="H1728" s="11"/>
      <c r="I172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28" t="str">
        <f>IF(Table1[[#This Row],[Nationality]]="Nigeria",Table1[[#This Row],[EMJM Scholarship]],"Not Applicable")</f>
        <v>Not Applicable</v>
      </c>
    </row>
    <row r="1729" spans="1:10" ht="19.25" hidden="1" customHeight="1" x14ac:dyDescent="0.3">
      <c r="A1729" s="8">
        <v>2502649</v>
      </c>
      <c r="B1729" s="6" t="s">
        <v>80</v>
      </c>
      <c r="C1729" s="1" t="s">
        <v>9</v>
      </c>
      <c r="D1729" s="1" t="s">
        <v>9</v>
      </c>
      <c r="E1729" s="1" t="s">
        <v>9</v>
      </c>
      <c r="F1729" s="6"/>
      <c r="G1729" s="6"/>
      <c r="H1729" s="11"/>
      <c r="I172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29" t="str">
        <f>IF(Table1[[#This Row],[Nationality]]="Nigeria",Table1[[#This Row],[EMJM Scholarship]],"Not Applicable")</f>
        <v>Not Applicable</v>
      </c>
    </row>
    <row r="1730" spans="1:10" ht="19.25" hidden="1" customHeight="1" x14ac:dyDescent="0.3">
      <c r="A1730" s="8">
        <v>2502684</v>
      </c>
      <c r="B1730" s="6" t="s">
        <v>80</v>
      </c>
      <c r="C1730" s="1" t="s">
        <v>9</v>
      </c>
      <c r="D1730" s="1" t="s">
        <v>9</v>
      </c>
      <c r="E1730" s="1" t="s">
        <v>9</v>
      </c>
      <c r="F1730" s="6"/>
      <c r="G1730" s="6"/>
      <c r="H1730" s="11"/>
      <c r="I173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30" t="str">
        <f>IF(Table1[[#This Row],[Nationality]]="Nigeria",Table1[[#This Row],[EMJM Scholarship]],"Not Applicable")</f>
        <v>Not Applicable</v>
      </c>
    </row>
    <row r="1731" spans="1:10" ht="19.25" hidden="1" customHeight="1" x14ac:dyDescent="0.3">
      <c r="A1731" s="8">
        <v>2502757</v>
      </c>
      <c r="B1731" s="6" t="s">
        <v>80</v>
      </c>
      <c r="C1731" s="1" t="s">
        <v>9</v>
      </c>
      <c r="D1731" s="1" t="s">
        <v>9</v>
      </c>
      <c r="E1731" s="1" t="s">
        <v>9</v>
      </c>
      <c r="F1731" s="6"/>
      <c r="G1731" s="6"/>
      <c r="H1731" s="11"/>
      <c r="I173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31" t="str">
        <f>IF(Table1[[#This Row],[Nationality]]="Nigeria",Table1[[#This Row],[EMJM Scholarship]],"Not Applicable")</f>
        <v>Not Applicable</v>
      </c>
    </row>
    <row r="1732" spans="1:10" ht="19.25" hidden="1" customHeight="1" x14ac:dyDescent="0.3">
      <c r="A1732" s="8">
        <v>2502769</v>
      </c>
      <c r="B1732" s="6" t="s">
        <v>80</v>
      </c>
      <c r="C1732" s="1" t="s">
        <v>9</v>
      </c>
      <c r="D1732" s="1" t="s">
        <v>9</v>
      </c>
      <c r="E1732" s="1" t="s">
        <v>9</v>
      </c>
      <c r="F1732" s="6"/>
      <c r="G1732" s="6"/>
      <c r="H1732" s="11"/>
      <c r="I173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32" t="str">
        <f>IF(Table1[[#This Row],[Nationality]]="Nigeria",Table1[[#This Row],[EMJM Scholarship]],"Not Applicable")</f>
        <v>Not Applicable</v>
      </c>
    </row>
    <row r="1733" spans="1:10" ht="19.25" hidden="1" customHeight="1" x14ac:dyDescent="0.3">
      <c r="A1733" s="8">
        <v>2502777</v>
      </c>
      <c r="B1733" s="6" t="s">
        <v>80</v>
      </c>
      <c r="C1733" s="1" t="s">
        <v>9</v>
      </c>
      <c r="D1733" s="1" t="s">
        <v>9</v>
      </c>
      <c r="E1733" s="1" t="s">
        <v>9</v>
      </c>
      <c r="F1733" s="6"/>
      <c r="G1733" s="6"/>
      <c r="H1733" s="11"/>
      <c r="I173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33" t="str">
        <f>IF(Table1[[#This Row],[Nationality]]="Nigeria",Table1[[#This Row],[EMJM Scholarship]],"Not Applicable")</f>
        <v>Not Applicable</v>
      </c>
    </row>
    <row r="1734" spans="1:10" ht="19.25" hidden="1" customHeight="1" x14ac:dyDescent="0.3">
      <c r="A1734" s="8">
        <v>2502985</v>
      </c>
      <c r="B1734" s="6" t="s">
        <v>80</v>
      </c>
      <c r="C1734" s="1" t="s">
        <v>9</v>
      </c>
      <c r="D1734" s="1" t="s">
        <v>9</v>
      </c>
      <c r="E1734" s="1" t="s">
        <v>9</v>
      </c>
      <c r="F1734" s="6"/>
      <c r="G1734" s="6"/>
      <c r="H1734" s="11"/>
      <c r="I173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34" t="str">
        <f>IF(Table1[[#This Row],[Nationality]]="Nigeria",Table1[[#This Row],[EMJM Scholarship]],"Not Applicable")</f>
        <v>Not Applicable</v>
      </c>
    </row>
    <row r="1735" spans="1:10" ht="19.25" hidden="1" customHeight="1" x14ac:dyDescent="0.3">
      <c r="A1735" s="8">
        <v>2503097</v>
      </c>
      <c r="B1735" s="6" t="s">
        <v>80</v>
      </c>
      <c r="C1735" s="1" t="s">
        <v>9</v>
      </c>
      <c r="D1735" s="1" t="s">
        <v>9</v>
      </c>
      <c r="E1735" s="1" t="s">
        <v>9</v>
      </c>
      <c r="F1735" s="6"/>
      <c r="G1735" s="6"/>
      <c r="H1735" s="11"/>
      <c r="I173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35" t="str">
        <f>IF(Table1[[#This Row],[Nationality]]="Nigeria",Table1[[#This Row],[EMJM Scholarship]],"Not Applicable")</f>
        <v>Not Applicable</v>
      </c>
    </row>
    <row r="1736" spans="1:10" ht="19.25" hidden="1" customHeight="1" x14ac:dyDescent="0.3">
      <c r="A1736" s="8">
        <v>2503174</v>
      </c>
      <c r="B1736" s="6" t="s">
        <v>80</v>
      </c>
      <c r="C1736" s="1" t="s">
        <v>9</v>
      </c>
      <c r="D1736" s="1" t="s">
        <v>9</v>
      </c>
      <c r="E1736" s="1" t="s">
        <v>9</v>
      </c>
      <c r="F1736" s="6"/>
      <c r="G1736" s="6"/>
      <c r="H1736" s="11"/>
      <c r="I173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36" t="str">
        <f>IF(Table1[[#This Row],[Nationality]]="Nigeria",Table1[[#This Row],[EMJM Scholarship]],"Not Applicable")</f>
        <v>Not Applicable</v>
      </c>
    </row>
    <row r="1737" spans="1:10" ht="19.25" hidden="1" customHeight="1" x14ac:dyDescent="0.3">
      <c r="A1737" s="8">
        <v>2503175</v>
      </c>
      <c r="B1737" s="6" t="s">
        <v>80</v>
      </c>
      <c r="C1737" s="1" t="s">
        <v>9</v>
      </c>
      <c r="D1737" s="1" t="s">
        <v>9</v>
      </c>
      <c r="E1737" s="1" t="s">
        <v>9</v>
      </c>
      <c r="F1737" s="6"/>
      <c r="G1737" s="6"/>
      <c r="H1737" s="11"/>
      <c r="I173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37" t="str">
        <f>IF(Table1[[#This Row],[Nationality]]="Nigeria",Table1[[#This Row],[EMJM Scholarship]],"Not Applicable")</f>
        <v>Not Applicable</v>
      </c>
    </row>
    <row r="1738" spans="1:10" ht="19.25" hidden="1" customHeight="1" x14ac:dyDescent="0.3">
      <c r="A1738" s="8">
        <v>2503191</v>
      </c>
      <c r="B1738" s="6" t="s">
        <v>80</v>
      </c>
      <c r="C1738" s="1" t="s">
        <v>9</v>
      </c>
      <c r="D1738" s="1" t="s">
        <v>9</v>
      </c>
      <c r="E1738" s="1" t="s">
        <v>9</v>
      </c>
      <c r="F1738" s="6"/>
      <c r="G1738" s="6"/>
      <c r="H1738" s="11"/>
      <c r="I173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38" t="str">
        <f>IF(Table1[[#This Row],[Nationality]]="Nigeria",Table1[[#This Row],[EMJM Scholarship]],"Not Applicable")</f>
        <v>Not Applicable</v>
      </c>
    </row>
    <row r="1739" spans="1:10" ht="19.25" hidden="1" customHeight="1" x14ac:dyDescent="0.3">
      <c r="A1739" s="8">
        <v>2503217</v>
      </c>
      <c r="B1739" s="6" t="s">
        <v>80</v>
      </c>
      <c r="C1739" s="1" t="s">
        <v>9</v>
      </c>
      <c r="D1739" s="1" t="s">
        <v>9</v>
      </c>
      <c r="E1739" s="1" t="s">
        <v>9</v>
      </c>
      <c r="F1739" s="6"/>
      <c r="G1739" s="6"/>
      <c r="H1739" s="11"/>
      <c r="I173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39" t="str">
        <f>IF(Table1[[#This Row],[Nationality]]="Nigeria",Table1[[#This Row],[EMJM Scholarship]],"Not Applicable")</f>
        <v>Not Applicable</v>
      </c>
    </row>
    <row r="1740" spans="1:10" ht="19.25" hidden="1" customHeight="1" x14ac:dyDescent="0.3">
      <c r="A1740" s="8">
        <v>2503261</v>
      </c>
      <c r="B1740" s="6" t="s">
        <v>80</v>
      </c>
      <c r="C1740" s="1" t="s">
        <v>9</v>
      </c>
      <c r="D1740" s="1" t="s">
        <v>9</v>
      </c>
      <c r="E1740" s="1" t="s">
        <v>9</v>
      </c>
      <c r="F1740" s="6"/>
      <c r="G1740" s="6"/>
      <c r="H1740" s="11"/>
      <c r="I174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40" t="str">
        <f>IF(Table1[[#This Row],[Nationality]]="Nigeria",Table1[[#This Row],[EMJM Scholarship]],"Not Applicable")</f>
        <v>Not Applicable</v>
      </c>
    </row>
    <row r="1741" spans="1:10" ht="19.25" hidden="1" customHeight="1" x14ac:dyDescent="0.3">
      <c r="A1741" s="8">
        <v>2503384</v>
      </c>
      <c r="B1741" s="6" t="s">
        <v>80</v>
      </c>
      <c r="C1741" s="1" t="s">
        <v>9</v>
      </c>
      <c r="D1741" s="1" t="s">
        <v>9</v>
      </c>
      <c r="E1741" s="1" t="s">
        <v>9</v>
      </c>
      <c r="F1741" s="6"/>
      <c r="G1741" s="6"/>
      <c r="H1741" s="11"/>
      <c r="I174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41" t="str">
        <f>IF(Table1[[#This Row],[Nationality]]="Nigeria",Table1[[#This Row],[EMJM Scholarship]],"Not Applicable")</f>
        <v>Not Applicable</v>
      </c>
    </row>
    <row r="1742" spans="1:10" ht="19.25" hidden="1" customHeight="1" x14ac:dyDescent="0.3">
      <c r="A1742" s="8">
        <v>2503400</v>
      </c>
      <c r="B1742" s="6" t="s">
        <v>80</v>
      </c>
      <c r="C1742" s="1" t="s">
        <v>9</v>
      </c>
      <c r="D1742" s="1" t="s">
        <v>9</v>
      </c>
      <c r="E1742" s="1" t="s">
        <v>9</v>
      </c>
      <c r="F1742" s="6"/>
      <c r="G1742" s="6"/>
      <c r="H1742" s="11"/>
      <c r="I174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42" t="str">
        <f>IF(Table1[[#This Row],[Nationality]]="Nigeria",Table1[[#This Row],[EMJM Scholarship]],"Not Applicable")</f>
        <v>Not Applicable</v>
      </c>
    </row>
    <row r="1743" spans="1:10" ht="19.25" hidden="1" customHeight="1" x14ac:dyDescent="0.3">
      <c r="A1743" s="8">
        <v>2503470</v>
      </c>
      <c r="B1743" s="6" t="s">
        <v>80</v>
      </c>
      <c r="C1743" s="1" t="s">
        <v>9</v>
      </c>
      <c r="D1743" s="1" t="s">
        <v>9</v>
      </c>
      <c r="E1743" s="1" t="s">
        <v>9</v>
      </c>
      <c r="F1743" s="6"/>
      <c r="G1743" s="6"/>
      <c r="H1743" s="11"/>
      <c r="I174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43" t="str">
        <f>IF(Table1[[#This Row],[Nationality]]="Nigeria",Table1[[#This Row],[EMJM Scholarship]],"Not Applicable")</f>
        <v>Not Applicable</v>
      </c>
    </row>
    <row r="1744" spans="1:10" ht="19.25" hidden="1" customHeight="1" x14ac:dyDescent="0.3">
      <c r="A1744" s="8">
        <v>2503502</v>
      </c>
      <c r="B1744" s="6" t="s">
        <v>80</v>
      </c>
      <c r="C1744" s="1" t="s">
        <v>9</v>
      </c>
      <c r="D1744" s="1" t="s">
        <v>9</v>
      </c>
      <c r="E1744" s="1" t="s">
        <v>9</v>
      </c>
      <c r="F1744" s="6"/>
      <c r="G1744" s="6"/>
      <c r="H1744" s="11"/>
      <c r="I174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44" t="str">
        <f>IF(Table1[[#This Row],[Nationality]]="Nigeria",Table1[[#This Row],[EMJM Scholarship]],"Not Applicable")</f>
        <v>Not Applicable</v>
      </c>
    </row>
    <row r="1745" spans="1:10" ht="19.25" hidden="1" customHeight="1" x14ac:dyDescent="0.3">
      <c r="A1745" s="8">
        <v>2503537</v>
      </c>
      <c r="B1745" s="6" t="s">
        <v>80</v>
      </c>
      <c r="C1745" s="1" t="s">
        <v>9</v>
      </c>
      <c r="D1745" s="1" t="s">
        <v>9</v>
      </c>
      <c r="E1745" s="1" t="s">
        <v>9</v>
      </c>
      <c r="F1745" s="6"/>
      <c r="G1745" s="6"/>
      <c r="H1745" s="11"/>
      <c r="I174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45" t="str">
        <f>IF(Table1[[#This Row],[Nationality]]="Nigeria",Table1[[#This Row],[EMJM Scholarship]],"Not Applicable")</f>
        <v>Not Applicable</v>
      </c>
    </row>
    <row r="1746" spans="1:10" ht="19.25" hidden="1" customHeight="1" x14ac:dyDescent="0.3">
      <c r="A1746" s="8">
        <v>2503542</v>
      </c>
      <c r="B1746" s="6" t="s">
        <v>80</v>
      </c>
      <c r="C1746" s="1" t="s">
        <v>9</v>
      </c>
      <c r="D1746" s="1" t="s">
        <v>9</v>
      </c>
      <c r="E1746" s="1" t="s">
        <v>9</v>
      </c>
      <c r="F1746" s="6"/>
      <c r="G1746" s="6"/>
      <c r="H1746" s="11"/>
      <c r="I174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46" t="str">
        <f>IF(Table1[[#This Row],[Nationality]]="Nigeria",Table1[[#This Row],[EMJM Scholarship]],"Not Applicable")</f>
        <v>Not Applicable</v>
      </c>
    </row>
    <row r="1747" spans="1:10" ht="19.25" hidden="1" customHeight="1" x14ac:dyDescent="0.3">
      <c r="A1747" s="8">
        <v>2503662</v>
      </c>
      <c r="B1747" s="6" t="s">
        <v>80</v>
      </c>
      <c r="C1747" s="1" t="s">
        <v>9</v>
      </c>
      <c r="D1747" s="1" t="s">
        <v>9</v>
      </c>
      <c r="E1747" s="1" t="s">
        <v>9</v>
      </c>
      <c r="F1747" s="6"/>
      <c r="G1747" s="6"/>
      <c r="H1747" s="11"/>
      <c r="I174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47" t="str">
        <f>IF(Table1[[#This Row],[Nationality]]="Nigeria",Table1[[#This Row],[EMJM Scholarship]],"Not Applicable")</f>
        <v>Not Applicable</v>
      </c>
    </row>
    <row r="1748" spans="1:10" ht="19.25" hidden="1" customHeight="1" x14ac:dyDescent="0.3">
      <c r="A1748" s="8">
        <v>2503746</v>
      </c>
      <c r="B1748" s="6" t="s">
        <v>80</v>
      </c>
      <c r="C1748" s="1" t="s">
        <v>9</v>
      </c>
      <c r="D1748" s="1" t="s">
        <v>9</v>
      </c>
      <c r="E1748" s="1" t="s">
        <v>9</v>
      </c>
      <c r="F1748" s="6"/>
      <c r="G1748" s="6"/>
      <c r="H1748" s="11"/>
      <c r="I174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48" t="str">
        <f>IF(Table1[[#This Row],[Nationality]]="Nigeria",Table1[[#This Row],[EMJM Scholarship]],"Not Applicable")</f>
        <v>Not Applicable</v>
      </c>
    </row>
    <row r="1749" spans="1:10" ht="19.25" hidden="1" customHeight="1" x14ac:dyDescent="0.3">
      <c r="A1749" s="8">
        <v>2503892</v>
      </c>
      <c r="B1749" s="6" t="s">
        <v>80</v>
      </c>
      <c r="C1749" s="1" t="s">
        <v>9</v>
      </c>
      <c r="D1749" s="1" t="s">
        <v>9</v>
      </c>
      <c r="E1749" s="1" t="s">
        <v>9</v>
      </c>
      <c r="F1749" s="6"/>
      <c r="G1749" s="6"/>
      <c r="H1749" s="11"/>
      <c r="I174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49" t="str">
        <f>IF(Table1[[#This Row],[Nationality]]="Nigeria",Table1[[#This Row],[EMJM Scholarship]],"Not Applicable")</f>
        <v>Not Applicable</v>
      </c>
    </row>
    <row r="1750" spans="1:10" ht="19.25" hidden="1" customHeight="1" x14ac:dyDescent="0.3">
      <c r="A1750" s="8">
        <v>2503895</v>
      </c>
      <c r="B1750" s="6" t="s">
        <v>80</v>
      </c>
      <c r="C1750" s="1" t="s">
        <v>9</v>
      </c>
      <c r="D1750" s="1" t="s">
        <v>9</v>
      </c>
      <c r="E1750" s="1" t="s">
        <v>9</v>
      </c>
      <c r="F1750" s="6"/>
      <c r="G1750" s="6"/>
      <c r="H1750" s="11"/>
      <c r="I175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50" t="str">
        <f>IF(Table1[[#This Row],[Nationality]]="Nigeria",Table1[[#This Row],[EMJM Scholarship]],"Not Applicable")</f>
        <v>Not Applicable</v>
      </c>
    </row>
    <row r="1751" spans="1:10" ht="19.25" hidden="1" customHeight="1" x14ac:dyDescent="0.3">
      <c r="A1751" s="8">
        <v>2504010</v>
      </c>
      <c r="B1751" s="6" t="s">
        <v>80</v>
      </c>
      <c r="C1751" s="1" t="s">
        <v>9</v>
      </c>
      <c r="D1751" s="1" t="s">
        <v>9</v>
      </c>
      <c r="E1751" s="1" t="s">
        <v>9</v>
      </c>
      <c r="F1751" s="6"/>
      <c r="G1751" s="6"/>
      <c r="H1751" s="11"/>
      <c r="I175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51" t="str">
        <f>IF(Table1[[#This Row],[Nationality]]="Nigeria",Table1[[#This Row],[EMJM Scholarship]],"Not Applicable")</f>
        <v>Not Applicable</v>
      </c>
    </row>
    <row r="1752" spans="1:10" ht="19.25" hidden="1" customHeight="1" x14ac:dyDescent="0.3">
      <c r="A1752" s="8">
        <v>2504101</v>
      </c>
      <c r="B1752" s="6" t="s">
        <v>80</v>
      </c>
      <c r="C1752" s="1" t="s">
        <v>9</v>
      </c>
      <c r="D1752" s="1" t="s">
        <v>9</v>
      </c>
      <c r="E1752" s="1" t="s">
        <v>9</v>
      </c>
      <c r="F1752" s="6"/>
      <c r="G1752" s="6"/>
      <c r="H1752" s="11"/>
      <c r="I175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52" t="str">
        <f>IF(Table1[[#This Row],[Nationality]]="Nigeria",Table1[[#This Row],[EMJM Scholarship]],"Not Applicable")</f>
        <v>Not Applicable</v>
      </c>
    </row>
    <row r="1753" spans="1:10" ht="19.25" hidden="1" customHeight="1" x14ac:dyDescent="0.3">
      <c r="A1753" s="8">
        <v>2504183</v>
      </c>
      <c r="B1753" s="6" t="s">
        <v>80</v>
      </c>
      <c r="C1753" s="1" t="s">
        <v>9</v>
      </c>
      <c r="D1753" s="1" t="s">
        <v>9</v>
      </c>
      <c r="E1753" s="1" t="s">
        <v>9</v>
      </c>
      <c r="F1753" s="6"/>
      <c r="G1753" s="6"/>
      <c r="H1753" s="11"/>
      <c r="I175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53" t="str">
        <f>IF(Table1[[#This Row],[Nationality]]="Nigeria",Table1[[#This Row],[EMJM Scholarship]],"Not Applicable")</f>
        <v>Not Applicable</v>
      </c>
    </row>
    <row r="1754" spans="1:10" ht="19.25" hidden="1" customHeight="1" x14ac:dyDescent="0.3">
      <c r="A1754" s="8">
        <v>2504210</v>
      </c>
      <c r="B1754" s="6" t="s">
        <v>80</v>
      </c>
      <c r="C1754" s="1" t="s">
        <v>9</v>
      </c>
      <c r="D1754" s="1" t="s">
        <v>9</v>
      </c>
      <c r="E1754" s="1" t="s">
        <v>9</v>
      </c>
      <c r="F1754" s="6"/>
      <c r="G1754" s="6"/>
      <c r="H1754" s="11"/>
      <c r="I175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54" t="str">
        <f>IF(Table1[[#This Row],[Nationality]]="Nigeria",Table1[[#This Row],[EMJM Scholarship]],"Not Applicable")</f>
        <v>Not Applicable</v>
      </c>
    </row>
    <row r="1755" spans="1:10" ht="19.25" hidden="1" customHeight="1" x14ac:dyDescent="0.3">
      <c r="A1755" s="8">
        <v>2504218</v>
      </c>
      <c r="B1755" s="6" t="s">
        <v>80</v>
      </c>
      <c r="C1755" s="1" t="s">
        <v>9</v>
      </c>
      <c r="D1755" s="1" t="s">
        <v>9</v>
      </c>
      <c r="E1755" s="1" t="s">
        <v>9</v>
      </c>
      <c r="F1755" s="6"/>
      <c r="G1755" s="6"/>
      <c r="H1755" s="11"/>
      <c r="I175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55" t="str">
        <f>IF(Table1[[#This Row],[Nationality]]="Nigeria",Table1[[#This Row],[EMJM Scholarship]],"Not Applicable")</f>
        <v>Not Applicable</v>
      </c>
    </row>
    <row r="1756" spans="1:10" ht="19.25" hidden="1" customHeight="1" x14ac:dyDescent="0.3">
      <c r="A1756" s="8">
        <v>2504222</v>
      </c>
      <c r="B1756" s="6" t="s">
        <v>80</v>
      </c>
      <c r="C1756" s="1" t="s">
        <v>9</v>
      </c>
      <c r="D1756" s="1" t="s">
        <v>9</v>
      </c>
      <c r="E1756" s="1" t="s">
        <v>9</v>
      </c>
      <c r="F1756" s="6"/>
      <c r="G1756" s="6"/>
      <c r="H1756" s="11"/>
      <c r="I175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56" t="str">
        <f>IF(Table1[[#This Row],[Nationality]]="Nigeria",Table1[[#This Row],[EMJM Scholarship]],"Not Applicable")</f>
        <v>Not Applicable</v>
      </c>
    </row>
    <row r="1757" spans="1:10" ht="19.25" hidden="1" customHeight="1" x14ac:dyDescent="0.3">
      <c r="A1757" s="8">
        <v>2504227</v>
      </c>
      <c r="B1757" s="6" t="s">
        <v>80</v>
      </c>
      <c r="C1757" s="1" t="s">
        <v>9</v>
      </c>
      <c r="D1757" s="1" t="s">
        <v>9</v>
      </c>
      <c r="E1757" s="1" t="s">
        <v>9</v>
      </c>
      <c r="F1757" s="6"/>
      <c r="G1757" s="6"/>
      <c r="H1757" s="11"/>
      <c r="I175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57" t="str">
        <f>IF(Table1[[#This Row],[Nationality]]="Nigeria",Table1[[#This Row],[EMJM Scholarship]],"Not Applicable")</f>
        <v>Not Applicable</v>
      </c>
    </row>
    <row r="1758" spans="1:10" ht="19.25" hidden="1" customHeight="1" x14ac:dyDescent="0.3">
      <c r="A1758" s="8">
        <v>2504237</v>
      </c>
      <c r="B1758" s="6" t="s">
        <v>80</v>
      </c>
      <c r="C1758" s="1" t="s">
        <v>9</v>
      </c>
      <c r="D1758" s="1" t="s">
        <v>9</v>
      </c>
      <c r="E1758" s="1" t="s">
        <v>9</v>
      </c>
      <c r="F1758" s="6"/>
      <c r="G1758" s="6"/>
      <c r="H1758" s="11"/>
      <c r="I175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58" t="str">
        <f>IF(Table1[[#This Row],[Nationality]]="Nigeria",Table1[[#This Row],[EMJM Scholarship]],"Not Applicable")</f>
        <v>Not Applicable</v>
      </c>
    </row>
    <row r="1759" spans="1:10" ht="19.25" hidden="1" customHeight="1" x14ac:dyDescent="0.3">
      <c r="A1759" s="8">
        <v>2504247</v>
      </c>
      <c r="B1759" s="6" t="s">
        <v>80</v>
      </c>
      <c r="C1759" s="1" t="s">
        <v>9</v>
      </c>
      <c r="D1759" s="1" t="s">
        <v>9</v>
      </c>
      <c r="E1759" s="1" t="s">
        <v>9</v>
      </c>
      <c r="F1759" s="6"/>
      <c r="G1759" s="6"/>
      <c r="H1759" s="11"/>
      <c r="I175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59" t="str">
        <f>IF(Table1[[#This Row],[Nationality]]="Nigeria",Table1[[#This Row],[EMJM Scholarship]],"Not Applicable")</f>
        <v>Not Applicable</v>
      </c>
    </row>
    <row r="1760" spans="1:10" ht="19.25" hidden="1" customHeight="1" x14ac:dyDescent="0.3">
      <c r="A1760" s="8">
        <v>2504270</v>
      </c>
      <c r="B1760" s="6" t="s">
        <v>80</v>
      </c>
      <c r="C1760" s="1" t="s">
        <v>9</v>
      </c>
      <c r="D1760" s="1" t="s">
        <v>9</v>
      </c>
      <c r="E1760" s="1" t="s">
        <v>9</v>
      </c>
      <c r="F1760" s="6"/>
      <c r="G1760" s="6"/>
      <c r="H1760" s="11"/>
      <c r="I176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60" t="str">
        <f>IF(Table1[[#This Row],[Nationality]]="Nigeria",Table1[[#This Row],[EMJM Scholarship]],"Not Applicable")</f>
        <v>Not Applicable</v>
      </c>
    </row>
    <row r="1761" spans="1:10" ht="19.25" hidden="1" customHeight="1" x14ac:dyDescent="0.3">
      <c r="A1761" s="8">
        <v>2504292</v>
      </c>
      <c r="B1761" s="6" t="s">
        <v>80</v>
      </c>
      <c r="C1761" s="1" t="s">
        <v>9</v>
      </c>
      <c r="D1761" s="1" t="s">
        <v>9</v>
      </c>
      <c r="E1761" s="1" t="s">
        <v>9</v>
      </c>
      <c r="F1761" s="6"/>
      <c r="G1761" s="6"/>
      <c r="H1761" s="11"/>
      <c r="I176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61" t="str">
        <f>IF(Table1[[#This Row],[Nationality]]="Nigeria",Table1[[#This Row],[EMJM Scholarship]],"Not Applicable")</f>
        <v>Not Applicable</v>
      </c>
    </row>
    <row r="1762" spans="1:10" ht="19.25" hidden="1" customHeight="1" x14ac:dyDescent="0.3">
      <c r="A1762" s="8">
        <v>2504303</v>
      </c>
      <c r="B1762" s="6" t="s">
        <v>80</v>
      </c>
      <c r="C1762" s="1" t="s">
        <v>9</v>
      </c>
      <c r="D1762" s="1" t="s">
        <v>9</v>
      </c>
      <c r="E1762" s="1" t="s">
        <v>9</v>
      </c>
      <c r="F1762" s="6"/>
      <c r="G1762" s="6"/>
      <c r="H1762" s="11"/>
      <c r="I176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62" t="str">
        <f>IF(Table1[[#This Row],[Nationality]]="Nigeria",Table1[[#This Row],[EMJM Scholarship]],"Not Applicable")</f>
        <v>Not Applicable</v>
      </c>
    </row>
    <row r="1763" spans="1:10" ht="19.25" hidden="1" customHeight="1" x14ac:dyDescent="0.3">
      <c r="A1763" s="8">
        <v>2504328</v>
      </c>
      <c r="B1763" s="6" t="s">
        <v>80</v>
      </c>
      <c r="C1763" s="1" t="s">
        <v>9</v>
      </c>
      <c r="D1763" s="1" t="s">
        <v>9</v>
      </c>
      <c r="E1763" s="1" t="s">
        <v>9</v>
      </c>
      <c r="F1763" s="6"/>
      <c r="G1763" s="6"/>
      <c r="H1763" s="11"/>
      <c r="I176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63" t="str">
        <f>IF(Table1[[#This Row],[Nationality]]="Nigeria",Table1[[#This Row],[EMJM Scholarship]],"Not Applicable")</f>
        <v>Not Applicable</v>
      </c>
    </row>
    <row r="1764" spans="1:10" ht="19.25" hidden="1" customHeight="1" x14ac:dyDescent="0.3">
      <c r="A1764" s="8">
        <v>2504358</v>
      </c>
      <c r="B1764" s="6" t="s">
        <v>80</v>
      </c>
      <c r="C1764" s="1" t="s">
        <v>9</v>
      </c>
      <c r="D1764" s="1" t="s">
        <v>9</v>
      </c>
      <c r="E1764" s="1" t="s">
        <v>9</v>
      </c>
      <c r="F1764" s="6"/>
      <c r="G1764" s="6"/>
      <c r="H1764" s="11"/>
      <c r="I176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64" t="str">
        <f>IF(Table1[[#This Row],[Nationality]]="Nigeria",Table1[[#This Row],[EMJM Scholarship]],"Not Applicable")</f>
        <v>Not Applicable</v>
      </c>
    </row>
    <row r="1765" spans="1:10" ht="19.25" hidden="1" customHeight="1" x14ac:dyDescent="0.3">
      <c r="A1765" s="8">
        <v>2504402</v>
      </c>
      <c r="B1765" s="6" t="s">
        <v>80</v>
      </c>
      <c r="C1765" s="1" t="s">
        <v>9</v>
      </c>
      <c r="D1765" s="1" t="s">
        <v>9</v>
      </c>
      <c r="E1765" s="1" t="s">
        <v>9</v>
      </c>
      <c r="F1765" s="6"/>
      <c r="G1765" s="6"/>
      <c r="H1765" s="11"/>
      <c r="I176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65" t="str">
        <f>IF(Table1[[#This Row],[Nationality]]="Nigeria",Table1[[#This Row],[EMJM Scholarship]],"Not Applicable")</f>
        <v>Not Applicable</v>
      </c>
    </row>
    <row r="1766" spans="1:10" ht="19.25" hidden="1" customHeight="1" x14ac:dyDescent="0.3">
      <c r="A1766" s="8">
        <v>2504512</v>
      </c>
      <c r="B1766" s="6" t="s">
        <v>80</v>
      </c>
      <c r="C1766" s="1" t="s">
        <v>9</v>
      </c>
      <c r="D1766" s="1" t="s">
        <v>9</v>
      </c>
      <c r="E1766" s="1" t="s">
        <v>9</v>
      </c>
      <c r="F1766" s="6"/>
      <c r="G1766" s="6"/>
      <c r="H1766" s="11"/>
      <c r="I176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66" t="str">
        <f>IF(Table1[[#This Row],[Nationality]]="Nigeria",Table1[[#This Row],[EMJM Scholarship]],"Not Applicable")</f>
        <v>Not Applicable</v>
      </c>
    </row>
    <row r="1767" spans="1:10" ht="19.25" hidden="1" customHeight="1" x14ac:dyDescent="0.3">
      <c r="A1767" s="8">
        <v>2504557</v>
      </c>
      <c r="B1767" s="6" t="s">
        <v>80</v>
      </c>
      <c r="C1767" s="1" t="s">
        <v>9</v>
      </c>
      <c r="D1767" s="1" t="s">
        <v>9</v>
      </c>
      <c r="E1767" s="1" t="s">
        <v>9</v>
      </c>
      <c r="F1767" s="6"/>
      <c r="G1767" s="6"/>
      <c r="H1767" s="11"/>
      <c r="I176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67" t="str">
        <f>IF(Table1[[#This Row],[Nationality]]="Nigeria",Table1[[#This Row],[EMJM Scholarship]],"Not Applicable")</f>
        <v>Not Applicable</v>
      </c>
    </row>
    <row r="1768" spans="1:10" ht="19.25" hidden="1" customHeight="1" x14ac:dyDescent="0.3">
      <c r="A1768" s="8">
        <v>2504572</v>
      </c>
      <c r="B1768" s="6" t="s">
        <v>80</v>
      </c>
      <c r="C1768" s="1" t="s">
        <v>9</v>
      </c>
      <c r="D1768" s="1" t="s">
        <v>9</v>
      </c>
      <c r="E1768" s="1" t="s">
        <v>9</v>
      </c>
      <c r="F1768" s="6"/>
      <c r="G1768" s="6"/>
      <c r="H1768" s="11"/>
      <c r="I176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68" t="str">
        <f>IF(Table1[[#This Row],[Nationality]]="Nigeria",Table1[[#This Row],[EMJM Scholarship]],"Not Applicable")</f>
        <v>Not Applicable</v>
      </c>
    </row>
    <row r="1769" spans="1:10" ht="19.25" hidden="1" customHeight="1" x14ac:dyDescent="0.3">
      <c r="A1769" s="8">
        <v>2504575</v>
      </c>
      <c r="B1769" s="6" t="s">
        <v>80</v>
      </c>
      <c r="C1769" s="1" t="s">
        <v>9</v>
      </c>
      <c r="D1769" s="1" t="s">
        <v>9</v>
      </c>
      <c r="E1769" s="1" t="s">
        <v>9</v>
      </c>
      <c r="F1769" s="6"/>
      <c r="G1769" s="6"/>
      <c r="H1769" s="11"/>
      <c r="I176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69" t="str">
        <f>IF(Table1[[#This Row],[Nationality]]="Nigeria",Table1[[#This Row],[EMJM Scholarship]],"Not Applicable")</f>
        <v>Not Applicable</v>
      </c>
    </row>
    <row r="1770" spans="1:10" ht="19.25" hidden="1" customHeight="1" x14ac:dyDescent="0.3">
      <c r="A1770" s="8">
        <v>2504656</v>
      </c>
      <c r="B1770" s="6" t="s">
        <v>80</v>
      </c>
      <c r="C1770" s="1" t="s">
        <v>9</v>
      </c>
      <c r="D1770" s="1" t="s">
        <v>9</v>
      </c>
      <c r="E1770" s="1" t="s">
        <v>9</v>
      </c>
      <c r="F1770" s="6"/>
      <c r="G1770" s="6"/>
      <c r="H1770" s="11"/>
      <c r="I177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70" t="str">
        <f>IF(Table1[[#This Row],[Nationality]]="Nigeria",Table1[[#This Row],[EMJM Scholarship]],"Not Applicable")</f>
        <v>Not Applicable</v>
      </c>
    </row>
    <row r="1771" spans="1:10" ht="19.25" hidden="1" customHeight="1" x14ac:dyDescent="0.3">
      <c r="A1771" s="8">
        <v>2504708</v>
      </c>
      <c r="B1771" s="6" t="s">
        <v>80</v>
      </c>
      <c r="C1771" s="1" t="s">
        <v>9</v>
      </c>
      <c r="D1771" s="1" t="s">
        <v>9</v>
      </c>
      <c r="E1771" s="1" t="s">
        <v>9</v>
      </c>
      <c r="F1771" s="6"/>
      <c r="G1771" s="6"/>
      <c r="H1771" s="11"/>
      <c r="I177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71" t="str">
        <f>IF(Table1[[#This Row],[Nationality]]="Nigeria",Table1[[#This Row],[EMJM Scholarship]],"Not Applicable")</f>
        <v>Not Applicable</v>
      </c>
    </row>
    <row r="1772" spans="1:10" ht="19.25" hidden="1" customHeight="1" x14ac:dyDescent="0.3">
      <c r="A1772" s="8">
        <v>2504789</v>
      </c>
      <c r="B1772" s="6" t="s">
        <v>80</v>
      </c>
      <c r="C1772" s="1" t="s">
        <v>9</v>
      </c>
      <c r="D1772" s="1" t="s">
        <v>9</v>
      </c>
      <c r="E1772" s="1" t="s">
        <v>9</v>
      </c>
      <c r="F1772" s="6"/>
      <c r="G1772" s="6"/>
      <c r="H1772" s="11"/>
      <c r="I177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72" t="str">
        <f>IF(Table1[[#This Row],[Nationality]]="Nigeria",Table1[[#This Row],[EMJM Scholarship]],"Not Applicable")</f>
        <v>Not Applicable</v>
      </c>
    </row>
    <row r="1773" spans="1:10" ht="19.25" hidden="1" customHeight="1" x14ac:dyDescent="0.3">
      <c r="A1773" s="8">
        <v>2504853</v>
      </c>
      <c r="B1773" s="6" t="s">
        <v>80</v>
      </c>
      <c r="C1773" s="1" t="s">
        <v>9</v>
      </c>
      <c r="D1773" s="1" t="s">
        <v>9</v>
      </c>
      <c r="E1773" s="1" t="s">
        <v>9</v>
      </c>
      <c r="F1773" s="6"/>
      <c r="G1773" s="6"/>
      <c r="H1773" s="11"/>
      <c r="I177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73" t="str">
        <f>IF(Table1[[#This Row],[Nationality]]="Nigeria",Table1[[#This Row],[EMJM Scholarship]],"Not Applicable")</f>
        <v>Not Applicable</v>
      </c>
    </row>
    <row r="1774" spans="1:10" ht="19.25" hidden="1" customHeight="1" x14ac:dyDescent="0.3">
      <c r="A1774" s="8">
        <v>2504929</v>
      </c>
      <c r="B1774" s="6" t="s">
        <v>80</v>
      </c>
      <c r="C1774" s="1" t="s">
        <v>9</v>
      </c>
      <c r="D1774" s="1" t="s">
        <v>9</v>
      </c>
      <c r="E1774" s="1" t="s">
        <v>9</v>
      </c>
      <c r="F1774" s="6"/>
      <c r="G1774" s="6"/>
      <c r="H1774" s="11"/>
      <c r="I177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74" t="str">
        <f>IF(Table1[[#This Row],[Nationality]]="Nigeria",Table1[[#This Row],[EMJM Scholarship]],"Not Applicable")</f>
        <v>Not Applicable</v>
      </c>
    </row>
    <row r="1775" spans="1:10" ht="19.25" hidden="1" customHeight="1" x14ac:dyDescent="0.3">
      <c r="A1775" s="8">
        <v>2504974</v>
      </c>
      <c r="B1775" s="6" t="s">
        <v>80</v>
      </c>
      <c r="C1775" s="1" t="s">
        <v>9</v>
      </c>
      <c r="D1775" s="1" t="s">
        <v>9</v>
      </c>
      <c r="E1775" s="1" t="s">
        <v>9</v>
      </c>
      <c r="F1775" s="6"/>
      <c r="G1775" s="6"/>
      <c r="H1775" s="11"/>
      <c r="I177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75" t="str">
        <f>IF(Table1[[#This Row],[Nationality]]="Nigeria",Table1[[#This Row],[EMJM Scholarship]],"Not Applicable")</f>
        <v>Not Applicable</v>
      </c>
    </row>
    <row r="1776" spans="1:10" ht="19.25" hidden="1" customHeight="1" x14ac:dyDescent="0.3">
      <c r="A1776" s="8">
        <v>2505201</v>
      </c>
      <c r="B1776" s="6" t="s">
        <v>80</v>
      </c>
      <c r="C1776" s="1" t="s">
        <v>9</v>
      </c>
      <c r="D1776" s="1" t="s">
        <v>9</v>
      </c>
      <c r="E1776" s="1" t="s">
        <v>9</v>
      </c>
      <c r="F1776" s="6"/>
      <c r="G1776" s="6"/>
      <c r="H1776" s="11"/>
      <c r="I177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76" t="str">
        <f>IF(Table1[[#This Row],[Nationality]]="Nigeria",Table1[[#This Row],[EMJM Scholarship]],"Not Applicable")</f>
        <v>Not Applicable</v>
      </c>
    </row>
    <row r="1777" spans="1:10" ht="19.25" hidden="1" customHeight="1" x14ac:dyDescent="0.3">
      <c r="A1777" s="8">
        <v>2505240</v>
      </c>
      <c r="B1777" s="6" t="s">
        <v>80</v>
      </c>
      <c r="C1777" s="1" t="s">
        <v>9</v>
      </c>
      <c r="D1777" s="1" t="s">
        <v>9</v>
      </c>
      <c r="E1777" s="1" t="s">
        <v>9</v>
      </c>
      <c r="F1777" s="6"/>
      <c r="G1777" s="6"/>
      <c r="H1777" s="11"/>
      <c r="I177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77" t="str">
        <f>IF(Table1[[#This Row],[Nationality]]="Nigeria",Table1[[#This Row],[EMJM Scholarship]],"Not Applicable")</f>
        <v>Not Applicable</v>
      </c>
    </row>
    <row r="1778" spans="1:10" ht="19.25" hidden="1" customHeight="1" x14ac:dyDescent="0.3">
      <c r="A1778" s="8">
        <v>2505388</v>
      </c>
      <c r="B1778" s="6" t="s">
        <v>80</v>
      </c>
      <c r="C1778" s="1" t="s">
        <v>9</v>
      </c>
      <c r="D1778" s="1" t="s">
        <v>9</v>
      </c>
      <c r="E1778" s="1" t="s">
        <v>9</v>
      </c>
      <c r="F1778" s="6"/>
      <c r="G1778" s="6"/>
      <c r="H1778" s="11"/>
      <c r="I177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78" t="str">
        <f>IF(Table1[[#This Row],[Nationality]]="Nigeria",Table1[[#This Row],[EMJM Scholarship]],"Not Applicable")</f>
        <v>Not Applicable</v>
      </c>
    </row>
    <row r="1779" spans="1:10" ht="19.25" hidden="1" customHeight="1" x14ac:dyDescent="0.3">
      <c r="A1779" s="8">
        <v>2505394</v>
      </c>
      <c r="B1779" s="6" t="s">
        <v>80</v>
      </c>
      <c r="C1779" s="1" t="s">
        <v>9</v>
      </c>
      <c r="D1779" s="1" t="s">
        <v>9</v>
      </c>
      <c r="E1779" s="1" t="s">
        <v>9</v>
      </c>
      <c r="F1779" s="6"/>
      <c r="G1779" s="6"/>
      <c r="H1779" s="11"/>
      <c r="I177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79" t="str">
        <f>IF(Table1[[#This Row],[Nationality]]="Nigeria",Table1[[#This Row],[EMJM Scholarship]],"Not Applicable")</f>
        <v>Not Applicable</v>
      </c>
    </row>
    <row r="1780" spans="1:10" ht="19.25" hidden="1" customHeight="1" x14ac:dyDescent="0.3">
      <c r="A1780" s="8">
        <v>2505418</v>
      </c>
      <c r="B1780" s="6" t="s">
        <v>80</v>
      </c>
      <c r="C1780" s="1" t="s">
        <v>9</v>
      </c>
      <c r="D1780" s="1" t="s">
        <v>9</v>
      </c>
      <c r="E1780" s="1" t="s">
        <v>9</v>
      </c>
      <c r="F1780" s="6"/>
      <c r="G1780" s="6"/>
      <c r="H1780" s="11"/>
      <c r="I178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80" t="str">
        <f>IF(Table1[[#This Row],[Nationality]]="Nigeria",Table1[[#This Row],[EMJM Scholarship]],"Not Applicable")</f>
        <v>Not Applicable</v>
      </c>
    </row>
    <row r="1781" spans="1:10" ht="19.25" hidden="1" customHeight="1" x14ac:dyDescent="0.3">
      <c r="A1781" s="8">
        <v>2505532</v>
      </c>
      <c r="B1781" s="6" t="s">
        <v>80</v>
      </c>
      <c r="C1781" s="1" t="s">
        <v>9</v>
      </c>
      <c r="D1781" s="1" t="s">
        <v>9</v>
      </c>
      <c r="E1781" s="1" t="s">
        <v>9</v>
      </c>
      <c r="F1781" s="6"/>
      <c r="G1781" s="6"/>
      <c r="H1781" s="11"/>
      <c r="I178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81" t="str">
        <f>IF(Table1[[#This Row],[Nationality]]="Nigeria",Table1[[#This Row],[EMJM Scholarship]],"Not Applicable")</f>
        <v>Not Applicable</v>
      </c>
    </row>
    <row r="1782" spans="1:10" ht="19.25" hidden="1" customHeight="1" x14ac:dyDescent="0.3">
      <c r="A1782" s="8">
        <v>2505583</v>
      </c>
      <c r="B1782" s="6" t="s">
        <v>80</v>
      </c>
      <c r="C1782" s="1" t="s">
        <v>9</v>
      </c>
      <c r="D1782" s="1" t="s">
        <v>9</v>
      </c>
      <c r="E1782" s="1" t="s">
        <v>9</v>
      </c>
      <c r="F1782" s="6"/>
      <c r="G1782" s="6"/>
      <c r="H1782" s="11"/>
      <c r="I178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82" t="str">
        <f>IF(Table1[[#This Row],[Nationality]]="Nigeria",Table1[[#This Row],[EMJM Scholarship]],"Not Applicable")</f>
        <v>Not Applicable</v>
      </c>
    </row>
    <row r="1783" spans="1:10" ht="19.25" hidden="1" customHeight="1" x14ac:dyDescent="0.3">
      <c r="A1783" s="8">
        <v>2505621</v>
      </c>
      <c r="B1783" s="6" t="s">
        <v>80</v>
      </c>
      <c r="C1783" s="1" t="s">
        <v>9</v>
      </c>
      <c r="D1783" s="1" t="s">
        <v>9</v>
      </c>
      <c r="E1783" s="1" t="s">
        <v>9</v>
      </c>
      <c r="F1783" s="6"/>
      <c r="G1783" s="6"/>
      <c r="H1783" s="11"/>
      <c r="I178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83" t="str">
        <f>IF(Table1[[#This Row],[Nationality]]="Nigeria",Table1[[#This Row],[EMJM Scholarship]],"Not Applicable")</f>
        <v>Not Applicable</v>
      </c>
    </row>
    <row r="1784" spans="1:10" ht="19.25" hidden="1" customHeight="1" x14ac:dyDescent="0.3">
      <c r="A1784" s="8">
        <v>2505656</v>
      </c>
      <c r="B1784" s="6" t="s">
        <v>80</v>
      </c>
      <c r="C1784" s="1" t="s">
        <v>9</v>
      </c>
      <c r="D1784" s="1" t="s">
        <v>9</v>
      </c>
      <c r="E1784" s="1" t="s">
        <v>9</v>
      </c>
      <c r="F1784" s="6"/>
      <c r="G1784" s="6"/>
      <c r="H1784" s="11"/>
      <c r="I178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84" t="str">
        <f>IF(Table1[[#This Row],[Nationality]]="Nigeria",Table1[[#This Row],[EMJM Scholarship]],"Not Applicable")</f>
        <v>Not Applicable</v>
      </c>
    </row>
    <row r="1785" spans="1:10" ht="19.25" hidden="1" customHeight="1" x14ac:dyDescent="0.3">
      <c r="A1785" s="8">
        <v>2505830</v>
      </c>
      <c r="B1785" s="6" t="s">
        <v>80</v>
      </c>
      <c r="C1785" s="1" t="s">
        <v>9</v>
      </c>
      <c r="D1785" s="1" t="s">
        <v>9</v>
      </c>
      <c r="E1785" s="1" t="s">
        <v>9</v>
      </c>
      <c r="F1785" s="6"/>
      <c r="G1785" s="6"/>
      <c r="H1785" s="11"/>
      <c r="I178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85" t="str">
        <f>IF(Table1[[#This Row],[Nationality]]="Nigeria",Table1[[#This Row],[EMJM Scholarship]],"Not Applicable")</f>
        <v>Not Applicable</v>
      </c>
    </row>
    <row r="1786" spans="1:10" ht="19.25" hidden="1" customHeight="1" x14ac:dyDescent="0.3">
      <c r="A1786" s="8">
        <v>2505831</v>
      </c>
      <c r="B1786" s="6" t="s">
        <v>80</v>
      </c>
      <c r="C1786" s="1" t="s">
        <v>9</v>
      </c>
      <c r="D1786" s="1" t="s">
        <v>9</v>
      </c>
      <c r="E1786" s="1" t="s">
        <v>9</v>
      </c>
      <c r="F1786" s="6"/>
      <c r="G1786" s="6"/>
      <c r="H1786" s="11"/>
      <c r="I178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86" t="str">
        <f>IF(Table1[[#This Row],[Nationality]]="Nigeria",Table1[[#This Row],[EMJM Scholarship]],"Not Applicable")</f>
        <v>Not Applicable</v>
      </c>
    </row>
    <row r="1787" spans="1:10" ht="19.25" hidden="1" customHeight="1" x14ac:dyDescent="0.3">
      <c r="A1787" s="8">
        <v>2505921</v>
      </c>
      <c r="B1787" s="6" t="s">
        <v>80</v>
      </c>
      <c r="C1787" s="1" t="s">
        <v>9</v>
      </c>
      <c r="D1787" s="1" t="s">
        <v>9</v>
      </c>
      <c r="E1787" s="1" t="s">
        <v>9</v>
      </c>
      <c r="F1787" s="6"/>
      <c r="G1787" s="6"/>
      <c r="H1787" s="11"/>
      <c r="I178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87" t="str">
        <f>IF(Table1[[#This Row],[Nationality]]="Nigeria",Table1[[#This Row],[EMJM Scholarship]],"Not Applicable")</f>
        <v>Not Applicable</v>
      </c>
    </row>
    <row r="1788" spans="1:10" ht="19.25" hidden="1" customHeight="1" x14ac:dyDescent="0.3">
      <c r="A1788" s="8">
        <v>2505938</v>
      </c>
      <c r="B1788" s="6" t="s">
        <v>80</v>
      </c>
      <c r="C1788" s="1" t="s">
        <v>9</v>
      </c>
      <c r="D1788" s="1" t="s">
        <v>9</v>
      </c>
      <c r="E1788" s="1" t="s">
        <v>9</v>
      </c>
      <c r="F1788" s="6"/>
      <c r="G1788" s="6"/>
      <c r="H1788" s="11"/>
      <c r="I178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88" t="str">
        <f>IF(Table1[[#This Row],[Nationality]]="Nigeria",Table1[[#This Row],[EMJM Scholarship]],"Not Applicable")</f>
        <v>Not Applicable</v>
      </c>
    </row>
    <row r="1789" spans="1:10" ht="19.25" hidden="1" customHeight="1" x14ac:dyDescent="0.3">
      <c r="A1789" s="8">
        <v>2506251</v>
      </c>
      <c r="B1789" s="6" t="s">
        <v>80</v>
      </c>
      <c r="C1789" s="1" t="s">
        <v>9</v>
      </c>
      <c r="D1789" s="1" t="s">
        <v>9</v>
      </c>
      <c r="E1789" s="1" t="s">
        <v>9</v>
      </c>
      <c r="F1789" s="6"/>
      <c r="G1789" s="6"/>
      <c r="H1789" s="11"/>
      <c r="I178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89" t="str">
        <f>IF(Table1[[#This Row],[Nationality]]="Nigeria",Table1[[#This Row],[EMJM Scholarship]],"Not Applicable")</f>
        <v>Not Applicable</v>
      </c>
    </row>
    <row r="1790" spans="1:10" ht="19.25" hidden="1" customHeight="1" x14ac:dyDescent="0.3">
      <c r="A1790" s="8">
        <v>2506307</v>
      </c>
      <c r="B1790" s="6" t="s">
        <v>80</v>
      </c>
      <c r="C1790" s="1" t="s">
        <v>9</v>
      </c>
      <c r="D1790" s="1" t="s">
        <v>9</v>
      </c>
      <c r="E1790" s="1" t="s">
        <v>9</v>
      </c>
      <c r="F1790" s="6"/>
      <c r="G1790" s="6"/>
      <c r="H1790" s="11"/>
      <c r="I179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90" t="str">
        <f>IF(Table1[[#This Row],[Nationality]]="Nigeria",Table1[[#This Row],[EMJM Scholarship]],"Not Applicable")</f>
        <v>Not Applicable</v>
      </c>
    </row>
    <row r="1791" spans="1:10" ht="19.25" hidden="1" customHeight="1" x14ac:dyDescent="0.3">
      <c r="A1791" s="8">
        <v>2506461</v>
      </c>
      <c r="B1791" s="6" t="s">
        <v>80</v>
      </c>
      <c r="C1791" s="1" t="s">
        <v>9</v>
      </c>
      <c r="D1791" s="1" t="s">
        <v>9</v>
      </c>
      <c r="E1791" s="1" t="s">
        <v>9</v>
      </c>
      <c r="F1791" s="6"/>
      <c r="G1791" s="6"/>
      <c r="H1791" s="11"/>
      <c r="I179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91" t="str">
        <f>IF(Table1[[#This Row],[Nationality]]="Nigeria",Table1[[#This Row],[EMJM Scholarship]],"Not Applicable")</f>
        <v>Not Applicable</v>
      </c>
    </row>
    <row r="1792" spans="1:10" ht="19.25" hidden="1" customHeight="1" x14ac:dyDescent="0.3">
      <c r="A1792" s="8">
        <v>2506561</v>
      </c>
      <c r="B1792" s="6" t="s">
        <v>80</v>
      </c>
      <c r="C1792" s="1" t="s">
        <v>9</v>
      </c>
      <c r="D1792" s="1" t="s">
        <v>9</v>
      </c>
      <c r="E1792" s="1" t="s">
        <v>9</v>
      </c>
      <c r="F1792" s="6"/>
      <c r="G1792" s="6"/>
      <c r="H1792" s="11"/>
      <c r="I179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92" t="str">
        <f>IF(Table1[[#This Row],[Nationality]]="Nigeria",Table1[[#This Row],[EMJM Scholarship]],"Not Applicable")</f>
        <v>Not Applicable</v>
      </c>
    </row>
    <row r="1793" spans="1:10" ht="19.25" hidden="1" customHeight="1" x14ac:dyDescent="0.3">
      <c r="A1793" s="8">
        <v>2506673</v>
      </c>
      <c r="B1793" s="6" t="s">
        <v>80</v>
      </c>
      <c r="C1793" s="1" t="s">
        <v>9</v>
      </c>
      <c r="D1793" s="1" t="s">
        <v>9</v>
      </c>
      <c r="E1793" s="1" t="s">
        <v>9</v>
      </c>
      <c r="F1793" s="6"/>
      <c r="G1793" s="6"/>
      <c r="H1793" s="11"/>
      <c r="I179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93" t="str">
        <f>IF(Table1[[#This Row],[Nationality]]="Nigeria",Table1[[#This Row],[EMJM Scholarship]],"Not Applicable")</f>
        <v>Not Applicable</v>
      </c>
    </row>
    <row r="1794" spans="1:10" ht="19.25" hidden="1" customHeight="1" x14ac:dyDescent="0.3">
      <c r="A1794" s="8">
        <v>2506737</v>
      </c>
      <c r="B1794" s="6" t="s">
        <v>80</v>
      </c>
      <c r="C1794" s="1" t="s">
        <v>9</v>
      </c>
      <c r="D1794" s="1" t="s">
        <v>9</v>
      </c>
      <c r="E1794" s="1" t="s">
        <v>9</v>
      </c>
      <c r="F1794" s="6"/>
      <c r="G1794" s="6"/>
      <c r="H1794" s="11"/>
      <c r="I179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94" t="str">
        <f>IF(Table1[[#This Row],[Nationality]]="Nigeria",Table1[[#This Row],[EMJM Scholarship]],"Not Applicable")</f>
        <v>Not Applicable</v>
      </c>
    </row>
    <row r="1795" spans="1:10" ht="19.25" hidden="1" customHeight="1" x14ac:dyDescent="0.3">
      <c r="A1795" s="8">
        <v>2506842</v>
      </c>
      <c r="B1795" s="6" t="s">
        <v>80</v>
      </c>
      <c r="C1795" s="1" t="s">
        <v>9</v>
      </c>
      <c r="D1795" s="1" t="s">
        <v>9</v>
      </c>
      <c r="E1795" s="1" t="s">
        <v>9</v>
      </c>
      <c r="F1795" s="6"/>
      <c r="G1795" s="6"/>
      <c r="H1795" s="11"/>
      <c r="I179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95" t="str">
        <f>IF(Table1[[#This Row],[Nationality]]="Nigeria",Table1[[#This Row],[EMJM Scholarship]],"Not Applicable")</f>
        <v>Not Applicable</v>
      </c>
    </row>
    <row r="1796" spans="1:10" ht="19.25" hidden="1" customHeight="1" x14ac:dyDescent="0.3">
      <c r="A1796" s="8">
        <v>2506876</v>
      </c>
      <c r="B1796" s="6" t="s">
        <v>80</v>
      </c>
      <c r="C1796" s="1" t="s">
        <v>9</v>
      </c>
      <c r="D1796" s="1" t="s">
        <v>9</v>
      </c>
      <c r="E1796" s="1" t="s">
        <v>9</v>
      </c>
      <c r="F1796" s="6"/>
      <c r="G1796" s="6"/>
      <c r="H1796" s="11"/>
      <c r="I179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96" t="str">
        <f>IF(Table1[[#This Row],[Nationality]]="Nigeria",Table1[[#This Row],[EMJM Scholarship]],"Not Applicable")</f>
        <v>Not Applicable</v>
      </c>
    </row>
    <row r="1797" spans="1:10" ht="19.25" hidden="1" customHeight="1" x14ac:dyDescent="0.3">
      <c r="A1797" s="8">
        <v>2506881</v>
      </c>
      <c r="B1797" s="6" t="s">
        <v>80</v>
      </c>
      <c r="C1797" s="1" t="s">
        <v>9</v>
      </c>
      <c r="D1797" s="1" t="s">
        <v>9</v>
      </c>
      <c r="E1797" s="1" t="s">
        <v>9</v>
      </c>
      <c r="F1797" s="6"/>
      <c r="G1797" s="6"/>
      <c r="H1797" s="11"/>
      <c r="I179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97" t="str">
        <f>IF(Table1[[#This Row],[Nationality]]="Nigeria",Table1[[#This Row],[EMJM Scholarship]],"Not Applicable")</f>
        <v>Not Applicable</v>
      </c>
    </row>
    <row r="1798" spans="1:10" ht="19.25" hidden="1" customHeight="1" x14ac:dyDescent="0.3">
      <c r="A1798" s="8">
        <v>2506883</v>
      </c>
      <c r="B1798" s="6" t="s">
        <v>80</v>
      </c>
      <c r="C1798" s="1" t="s">
        <v>9</v>
      </c>
      <c r="D1798" s="1" t="s">
        <v>9</v>
      </c>
      <c r="E1798" s="1" t="s">
        <v>9</v>
      </c>
      <c r="F1798" s="6"/>
      <c r="G1798" s="6"/>
      <c r="H1798" s="11"/>
      <c r="I179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98" t="str">
        <f>IF(Table1[[#This Row],[Nationality]]="Nigeria",Table1[[#This Row],[EMJM Scholarship]],"Not Applicable")</f>
        <v>Not Applicable</v>
      </c>
    </row>
    <row r="1799" spans="1:10" ht="19.25" hidden="1" customHeight="1" x14ac:dyDescent="0.3">
      <c r="A1799" s="8">
        <v>2506953</v>
      </c>
      <c r="B1799" s="6" t="s">
        <v>80</v>
      </c>
      <c r="C1799" s="1" t="s">
        <v>9</v>
      </c>
      <c r="D1799" s="1" t="s">
        <v>9</v>
      </c>
      <c r="E1799" s="1" t="s">
        <v>9</v>
      </c>
      <c r="F1799" s="6"/>
      <c r="G1799" s="6"/>
      <c r="H1799" s="11"/>
      <c r="I179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799" t="str">
        <f>IF(Table1[[#This Row],[Nationality]]="Nigeria",Table1[[#This Row],[EMJM Scholarship]],"Not Applicable")</f>
        <v>Not Applicable</v>
      </c>
    </row>
    <row r="1800" spans="1:10" ht="19.25" hidden="1" customHeight="1" x14ac:dyDescent="0.3">
      <c r="A1800" s="8">
        <v>2506968</v>
      </c>
      <c r="B1800" s="6" t="s">
        <v>80</v>
      </c>
      <c r="C1800" s="1" t="s">
        <v>9</v>
      </c>
      <c r="D1800" s="1" t="s">
        <v>9</v>
      </c>
      <c r="E1800" s="1" t="s">
        <v>9</v>
      </c>
      <c r="F1800" s="6"/>
      <c r="G1800" s="6"/>
      <c r="H1800" s="11"/>
      <c r="I180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00" t="str">
        <f>IF(Table1[[#This Row],[Nationality]]="Nigeria",Table1[[#This Row],[EMJM Scholarship]],"Not Applicable")</f>
        <v>Not Applicable</v>
      </c>
    </row>
    <row r="1801" spans="1:10" ht="19.25" hidden="1" customHeight="1" x14ac:dyDescent="0.3">
      <c r="A1801" s="8">
        <v>2506973</v>
      </c>
      <c r="B1801" s="6" t="s">
        <v>80</v>
      </c>
      <c r="C1801" s="1" t="s">
        <v>9</v>
      </c>
      <c r="D1801" s="1" t="s">
        <v>9</v>
      </c>
      <c r="E1801" s="1" t="s">
        <v>9</v>
      </c>
      <c r="F1801" s="6"/>
      <c r="G1801" s="6"/>
      <c r="H1801" s="11"/>
      <c r="I180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01" t="str">
        <f>IF(Table1[[#This Row],[Nationality]]="Nigeria",Table1[[#This Row],[EMJM Scholarship]],"Not Applicable")</f>
        <v>Not Applicable</v>
      </c>
    </row>
    <row r="1802" spans="1:10" ht="19.25" hidden="1" customHeight="1" x14ac:dyDescent="0.3">
      <c r="A1802" s="8">
        <v>2507023</v>
      </c>
      <c r="B1802" s="6" t="s">
        <v>80</v>
      </c>
      <c r="C1802" s="1" t="s">
        <v>9</v>
      </c>
      <c r="D1802" s="1" t="s">
        <v>9</v>
      </c>
      <c r="E1802" s="1" t="s">
        <v>9</v>
      </c>
      <c r="F1802" s="6"/>
      <c r="G1802" s="6"/>
      <c r="H1802" s="11"/>
      <c r="I180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02" t="str">
        <f>IF(Table1[[#This Row],[Nationality]]="Nigeria",Table1[[#This Row],[EMJM Scholarship]],"Not Applicable")</f>
        <v>Not Applicable</v>
      </c>
    </row>
    <row r="1803" spans="1:10" ht="19.25" hidden="1" customHeight="1" x14ac:dyDescent="0.3">
      <c r="A1803" s="8">
        <v>2507101</v>
      </c>
      <c r="B1803" s="6" t="s">
        <v>80</v>
      </c>
      <c r="C1803" s="1" t="s">
        <v>9</v>
      </c>
      <c r="D1803" s="1" t="s">
        <v>9</v>
      </c>
      <c r="E1803" s="1" t="s">
        <v>9</v>
      </c>
      <c r="F1803" s="6"/>
      <c r="G1803" s="6"/>
      <c r="H1803" s="11"/>
      <c r="I180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03" t="str">
        <f>IF(Table1[[#This Row],[Nationality]]="Nigeria",Table1[[#This Row],[EMJM Scholarship]],"Not Applicable")</f>
        <v>Not Applicable</v>
      </c>
    </row>
    <row r="1804" spans="1:10" ht="19.25" hidden="1" customHeight="1" x14ac:dyDescent="0.3">
      <c r="A1804" s="8">
        <v>2507104</v>
      </c>
      <c r="B1804" s="6" t="s">
        <v>80</v>
      </c>
      <c r="C1804" s="1" t="s">
        <v>9</v>
      </c>
      <c r="D1804" s="1" t="s">
        <v>9</v>
      </c>
      <c r="E1804" s="1" t="s">
        <v>9</v>
      </c>
      <c r="F1804" s="6"/>
      <c r="G1804" s="6"/>
      <c r="H1804" s="11"/>
      <c r="I180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04" t="str">
        <f>IF(Table1[[#This Row],[Nationality]]="Nigeria",Table1[[#This Row],[EMJM Scholarship]],"Not Applicable")</f>
        <v>Not Applicable</v>
      </c>
    </row>
    <row r="1805" spans="1:10" ht="19.25" hidden="1" customHeight="1" x14ac:dyDescent="0.3">
      <c r="A1805" s="8">
        <v>2507128</v>
      </c>
      <c r="B1805" s="6" t="s">
        <v>80</v>
      </c>
      <c r="C1805" s="1" t="s">
        <v>9</v>
      </c>
      <c r="D1805" s="1" t="s">
        <v>9</v>
      </c>
      <c r="E1805" s="1" t="s">
        <v>9</v>
      </c>
      <c r="F1805" s="6"/>
      <c r="G1805" s="6"/>
      <c r="H1805" s="11"/>
      <c r="I180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05" t="str">
        <f>IF(Table1[[#This Row],[Nationality]]="Nigeria",Table1[[#This Row],[EMJM Scholarship]],"Not Applicable")</f>
        <v>Not Applicable</v>
      </c>
    </row>
    <row r="1806" spans="1:10" ht="19.25" hidden="1" customHeight="1" x14ac:dyDescent="0.3">
      <c r="A1806" s="8">
        <v>2507157</v>
      </c>
      <c r="B1806" s="6" t="s">
        <v>80</v>
      </c>
      <c r="C1806" s="1" t="s">
        <v>9</v>
      </c>
      <c r="D1806" s="1" t="s">
        <v>9</v>
      </c>
      <c r="E1806" s="1" t="s">
        <v>9</v>
      </c>
      <c r="F1806" s="6"/>
      <c r="G1806" s="6"/>
      <c r="H1806" s="11"/>
      <c r="I180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06" t="str">
        <f>IF(Table1[[#This Row],[Nationality]]="Nigeria",Table1[[#This Row],[EMJM Scholarship]],"Not Applicable")</f>
        <v>Not Applicable</v>
      </c>
    </row>
    <row r="1807" spans="1:10" ht="19.25" hidden="1" customHeight="1" x14ac:dyDescent="0.3">
      <c r="A1807" s="8">
        <v>2507189</v>
      </c>
      <c r="B1807" s="6" t="s">
        <v>80</v>
      </c>
      <c r="C1807" s="1" t="s">
        <v>9</v>
      </c>
      <c r="D1807" s="1" t="s">
        <v>9</v>
      </c>
      <c r="E1807" s="1" t="s">
        <v>9</v>
      </c>
      <c r="F1807" s="6"/>
      <c r="G1807" s="6"/>
      <c r="H1807" s="11"/>
      <c r="I180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07" t="str">
        <f>IF(Table1[[#This Row],[Nationality]]="Nigeria",Table1[[#This Row],[EMJM Scholarship]],"Not Applicable")</f>
        <v>Not Applicable</v>
      </c>
    </row>
    <row r="1808" spans="1:10" ht="19.25" hidden="1" customHeight="1" x14ac:dyDescent="0.3">
      <c r="A1808" s="8">
        <v>2507263</v>
      </c>
      <c r="B1808" s="6" t="s">
        <v>80</v>
      </c>
      <c r="C1808" s="1" t="s">
        <v>9</v>
      </c>
      <c r="D1808" s="1" t="s">
        <v>9</v>
      </c>
      <c r="E1808" s="1" t="s">
        <v>9</v>
      </c>
      <c r="F1808" s="6"/>
      <c r="G1808" s="6"/>
      <c r="H1808" s="11"/>
      <c r="I180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08" t="str">
        <f>IF(Table1[[#This Row],[Nationality]]="Nigeria",Table1[[#This Row],[EMJM Scholarship]],"Not Applicable")</f>
        <v>Not Applicable</v>
      </c>
    </row>
    <row r="1809" spans="1:10" ht="19.25" hidden="1" customHeight="1" x14ac:dyDescent="0.3">
      <c r="A1809" s="8">
        <v>2507339</v>
      </c>
      <c r="B1809" s="6" t="s">
        <v>80</v>
      </c>
      <c r="C1809" s="1" t="s">
        <v>9</v>
      </c>
      <c r="D1809" s="1" t="s">
        <v>9</v>
      </c>
      <c r="E1809" s="1" t="s">
        <v>9</v>
      </c>
      <c r="F1809" s="6"/>
      <c r="G1809" s="6"/>
      <c r="H1809" s="11"/>
      <c r="I180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09" t="str">
        <f>IF(Table1[[#This Row],[Nationality]]="Nigeria",Table1[[#This Row],[EMJM Scholarship]],"Not Applicable")</f>
        <v>Not Applicable</v>
      </c>
    </row>
    <row r="1810" spans="1:10" ht="19.25" hidden="1" customHeight="1" x14ac:dyDescent="0.3">
      <c r="A1810" s="8">
        <v>2507362</v>
      </c>
      <c r="B1810" s="6" t="s">
        <v>80</v>
      </c>
      <c r="C1810" s="1" t="s">
        <v>9</v>
      </c>
      <c r="D1810" s="1" t="s">
        <v>9</v>
      </c>
      <c r="E1810" s="1" t="s">
        <v>9</v>
      </c>
      <c r="F1810" s="6"/>
      <c r="G1810" s="6"/>
      <c r="H1810" s="11"/>
      <c r="I181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10" t="str">
        <f>IF(Table1[[#This Row],[Nationality]]="Nigeria",Table1[[#This Row],[EMJM Scholarship]],"Not Applicable")</f>
        <v>Not Applicable</v>
      </c>
    </row>
    <row r="1811" spans="1:10" ht="19.25" hidden="1" customHeight="1" x14ac:dyDescent="0.3">
      <c r="A1811" s="8">
        <v>2507436</v>
      </c>
      <c r="B1811" s="6" t="s">
        <v>80</v>
      </c>
      <c r="C1811" s="1" t="s">
        <v>9</v>
      </c>
      <c r="D1811" s="1" t="s">
        <v>9</v>
      </c>
      <c r="E1811" s="1" t="s">
        <v>9</v>
      </c>
      <c r="F1811" s="6"/>
      <c r="G1811" s="6"/>
      <c r="H1811" s="11"/>
      <c r="I181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11" t="str">
        <f>IF(Table1[[#This Row],[Nationality]]="Nigeria",Table1[[#This Row],[EMJM Scholarship]],"Not Applicable")</f>
        <v>Not Applicable</v>
      </c>
    </row>
    <row r="1812" spans="1:10" ht="19.25" hidden="1" customHeight="1" x14ac:dyDescent="0.3">
      <c r="A1812" s="8">
        <v>2507458</v>
      </c>
      <c r="B1812" s="6" t="s">
        <v>80</v>
      </c>
      <c r="C1812" s="1" t="s">
        <v>9</v>
      </c>
      <c r="D1812" s="1" t="s">
        <v>9</v>
      </c>
      <c r="E1812" s="1" t="s">
        <v>9</v>
      </c>
      <c r="F1812" s="6"/>
      <c r="G1812" s="6"/>
      <c r="H1812" s="11"/>
      <c r="I181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12" t="str">
        <f>IF(Table1[[#This Row],[Nationality]]="Nigeria",Table1[[#This Row],[EMJM Scholarship]],"Not Applicable")</f>
        <v>Not Applicable</v>
      </c>
    </row>
    <row r="1813" spans="1:10" ht="19.25" hidden="1" customHeight="1" x14ac:dyDescent="0.3">
      <c r="A1813" s="8">
        <v>2507460</v>
      </c>
      <c r="B1813" s="6" t="s">
        <v>80</v>
      </c>
      <c r="C1813" s="1" t="s">
        <v>9</v>
      </c>
      <c r="D1813" s="1" t="s">
        <v>9</v>
      </c>
      <c r="E1813" s="1" t="s">
        <v>9</v>
      </c>
      <c r="F1813" s="6"/>
      <c r="G1813" s="6"/>
      <c r="H1813" s="11"/>
      <c r="I181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13" t="str">
        <f>IF(Table1[[#This Row],[Nationality]]="Nigeria",Table1[[#This Row],[EMJM Scholarship]],"Not Applicable")</f>
        <v>Not Applicable</v>
      </c>
    </row>
    <row r="1814" spans="1:10" ht="19.25" hidden="1" customHeight="1" x14ac:dyDescent="0.3">
      <c r="A1814" s="8">
        <v>2507489</v>
      </c>
      <c r="B1814" s="6" t="s">
        <v>80</v>
      </c>
      <c r="C1814" s="1" t="s">
        <v>9</v>
      </c>
      <c r="D1814" s="1" t="s">
        <v>9</v>
      </c>
      <c r="E1814" s="1" t="s">
        <v>9</v>
      </c>
      <c r="F1814" s="6"/>
      <c r="G1814" s="6"/>
      <c r="H1814" s="11"/>
      <c r="I181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14" t="str">
        <f>IF(Table1[[#This Row],[Nationality]]="Nigeria",Table1[[#This Row],[EMJM Scholarship]],"Not Applicable")</f>
        <v>Not Applicable</v>
      </c>
    </row>
    <row r="1815" spans="1:10" ht="19.25" hidden="1" customHeight="1" x14ac:dyDescent="0.3">
      <c r="A1815" s="8">
        <v>2507591</v>
      </c>
      <c r="B1815" s="6" t="s">
        <v>80</v>
      </c>
      <c r="C1815" s="1" t="s">
        <v>9</v>
      </c>
      <c r="D1815" s="1" t="s">
        <v>9</v>
      </c>
      <c r="E1815" s="1" t="s">
        <v>9</v>
      </c>
      <c r="F1815" s="6"/>
      <c r="G1815" s="6"/>
      <c r="H1815" s="11"/>
      <c r="I181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15" t="str">
        <f>IF(Table1[[#This Row],[Nationality]]="Nigeria",Table1[[#This Row],[EMJM Scholarship]],"Not Applicable")</f>
        <v>Not Applicable</v>
      </c>
    </row>
    <row r="1816" spans="1:10" ht="19.25" hidden="1" customHeight="1" x14ac:dyDescent="0.3">
      <c r="A1816" s="8">
        <v>2507596</v>
      </c>
      <c r="B1816" s="6" t="s">
        <v>80</v>
      </c>
      <c r="C1816" s="1" t="s">
        <v>9</v>
      </c>
      <c r="D1816" s="1" t="s">
        <v>9</v>
      </c>
      <c r="E1816" s="1" t="s">
        <v>9</v>
      </c>
      <c r="F1816" s="6"/>
      <c r="G1816" s="6"/>
      <c r="H1816" s="11"/>
      <c r="I181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16" t="str">
        <f>IF(Table1[[#This Row],[Nationality]]="Nigeria",Table1[[#This Row],[EMJM Scholarship]],"Not Applicable")</f>
        <v>Not Applicable</v>
      </c>
    </row>
    <row r="1817" spans="1:10" ht="19.25" hidden="1" customHeight="1" x14ac:dyDescent="0.3">
      <c r="A1817" s="8">
        <v>2507615</v>
      </c>
      <c r="B1817" s="6" t="s">
        <v>80</v>
      </c>
      <c r="C1817" s="1" t="s">
        <v>9</v>
      </c>
      <c r="D1817" s="1" t="s">
        <v>9</v>
      </c>
      <c r="E1817" s="1" t="s">
        <v>9</v>
      </c>
      <c r="F1817" s="6"/>
      <c r="G1817" s="6"/>
      <c r="H1817" s="11"/>
      <c r="I181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17" t="str">
        <f>IF(Table1[[#This Row],[Nationality]]="Nigeria",Table1[[#This Row],[EMJM Scholarship]],"Not Applicable")</f>
        <v>Not Applicable</v>
      </c>
    </row>
    <row r="1818" spans="1:10" ht="19.25" hidden="1" customHeight="1" x14ac:dyDescent="0.3">
      <c r="A1818" s="8">
        <v>2507632</v>
      </c>
      <c r="B1818" s="6" t="s">
        <v>80</v>
      </c>
      <c r="C1818" s="1" t="s">
        <v>9</v>
      </c>
      <c r="D1818" s="1" t="s">
        <v>9</v>
      </c>
      <c r="E1818" s="1" t="s">
        <v>9</v>
      </c>
      <c r="F1818" s="6"/>
      <c r="G1818" s="6"/>
      <c r="H1818" s="11"/>
      <c r="I181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18" t="str">
        <f>IF(Table1[[#This Row],[Nationality]]="Nigeria",Table1[[#This Row],[EMJM Scholarship]],"Not Applicable")</f>
        <v>Not Applicable</v>
      </c>
    </row>
    <row r="1819" spans="1:10" ht="19.25" hidden="1" customHeight="1" x14ac:dyDescent="0.3">
      <c r="A1819" s="8">
        <v>2507642</v>
      </c>
      <c r="B1819" s="6" t="s">
        <v>80</v>
      </c>
      <c r="C1819" s="1" t="s">
        <v>9</v>
      </c>
      <c r="D1819" s="1" t="s">
        <v>9</v>
      </c>
      <c r="E1819" s="1" t="s">
        <v>9</v>
      </c>
      <c r="F1819" s="6"/>
      <c r="G1819" s="6"/>
      <c r="H1819" s="11"/>
      <c r="I181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19" t="str">
        <f>IF(Table1[[#This Row],[Nationality]]="Nigeria",Table1[[#This Row],[EMJM Scholarship]],"Not Applicable")</f>
        <v>Not Applicable</v>
      </c>
    </row>
    <row r="1820" spans="1:10" ht="19.25" hidden="1" customHeight="1" x14ac:dyDescent="0.3">
      <c r="A1820" s="8">
        <v>2507647</v>
      </c>
      <c r="B1820" s="6" t="s">
        <v>80</v>
      </c>
      <c r="C1820" s="1" t="s">
        <v>9</v>
      </c>
      <c r="D1820" s="1" t="s">
        <v>9</v>
      </c>
      <c r="E1820" s="1" t="s">
        <v>9</v>
      </c>
      <c r="F1820" s="6"/>
      <c r="G1820" s="6"/>
      <c r="H1820" s="11"/>
      <c r="I182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20" t="str">
        <f>IF(Table1[[#This Row],[Nationality]]="Nigeria",Table1[[#This Row],[EMJM Scholarship]],"Not Applicable")</f>
        <v>Not Applicable</v>
      </c>
    </row>
    <row r="1821" spans="1:10" ht="19.25" hidden="1" customHeight="1" x14ac:dyDescent="0.3">
      <c r="A1821" s="8">
        <v>2507662</v>
      </c>
      <c r="B1821" s="6" t="s">
        <v>80</v>
      </c>
      <c r="C1821" s="1" t="s">
        <v>9</v>
      </c>
      <c r="D1821" s="1" t="s">
        <v>9</v>
      </c>
      <c r="E1821" s="1" t="s">
        <v>9</v>
      </c>
      <c r="F1821" s="6"/>
      <c r="G1821" s="6"/>
      <c r="H1821" s="11"/>
      <c r="I182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21" t="str">
        <f>IF(Table1[[#This Row],[Nationality]]="Nigeria",Table1[[#This Row],[EMJM Scholarship]],"Not Applicable")</f>
        <v>Not Applicable</v>
      </c>
    </row>
    <row r="1822" spans="1:10" ht="19.25" hidden="1" customHeight="1" x14ac:dyDescent="0.3">
      <c r="A1822" s="8">
        <v>2507663</v>
      </c>
      <c r="B1822" s="6" t="s">
        <v>80</v>
      </c>
      <c r="C1822" s="1" t="s">
        <v>9</v>
      </c>
      <c r="D1822" s="1" t="s">
        <v>9</v>
      </c>
      <c r="E1822" s="1" t="s">
        <v>9</v>
      </c>
      <c r="F1822" s="6"/>
      <c r="G1822" s="6"/>
      <c r="H1822" s="11"/>
      <c r="I182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22" t="str">
        <f>IF(Table1[[#This Row],[Nationality]]="Nigeria",Table1[[#This Row],[EMJM Scholarship]],"Not Applicable")</f>
        <v>Not Applicable</v>
      </c>
    </row>
    <row r="1823" spans="1:10" ht="19.25" hidden="1" customHeight="1" x14ac:dyDescent="0.3">
      <c r="A1823" s="8">
        <v>2507665</v>
      </c>
      <c r="B1823" s="6" t="s">
        <v>80</v>
      </c>
      <c r="C1823" s="1" t="s">
        <v>9</v>
      </c>
      <c r="D1823" s="1" t="s">
        <v>9</v>
      </c>
      <c r="E1823" s="1" t="s">
        <v>9</v>
      </c>
      <c r="F1823" s="6"/>
      <c r="G1823" s="6"/>
      <c r="H1823" s="11"/>
      <c r="I182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23" t="str">
        <f>IF(Table1[[#This Row],[Nationality]]="Nigeria",Table1[[#This Row],[EMJM Scholarship]],"Not Applicable")</f>
        <v>Not Applicable</v>
      </c>
    </row>
    <row r="1824" spans="1:10" ht="19.25" hidden="1" customHeight="1" x14ac:dyDescent="0.3">
      <c r="A1824" s="8">
        <v>2507667</v>
      </c>
      <c r="B1824" s="6" t="s">
        <v>80</v>
      </c>
      <c r="C1824" s="1" t="s">
        <v>9</v>
      </c>
      <c r="D1824" s="1" t="s">
        <v>9</v>
      </c>
      <c r="E1824" s="1" t="s">
        <v>9</v>
      </c>
      <c r="F1824" s="6"/>
      <c r="G1824" s="6"/>
      <c r="H1824" s="11"/>
      <c r="I182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24" t="str">
        <f>IF(Table1[[#This Row],[Nationality]]="Nigeria",Table1[[#This Row],[EMJM Scholarship]],"Not Applicable")</f>
        <v>Not Applicable</v>
      </c>
    </row>
    <row r="1825" spans="1:10" ht="19.25" hidden="1" customHeight="1" x14ac:dyDescent="0.3">
      <c r="A1825" s="8">
        <v>2507704</v>
      </c>
      <c r="B1825" s="6" t="s">
        <v>80</v>
      </c>
      <c r="C1825" s="1" t="s">
        <v>9</v>
      </c>
      <c r="D1825" s="1" t="s">
        <v>9</v>
      </c>
      <c r="E1825" s="1" t="s">
        <v>9</v>
      </c>
      <c r="F1825" s="6"/>
      <c r="G1825" s="6"/>
      <c r="H1825" s="11"/>
      <c r="I182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25" t="str">
        <f>IF(Table1[[#This Row],[Nationality]]="Nigeria",Table1[[#This Row],[EMJM Scholarship]],"Not Applicable")</f>
        <v>Not Applicable</v>
      </c>
    </row>
    <row r="1826" spans="1:10" ht="19.25" hidden="1" customHeight="1" x14ac:dyDescent="0.3">
      <c r="A1826" s="8">
        <v>2507724</v>
      </c>
      <c r="B1826" s="6" t="s">
        <v>80</v>
      </c>
      <c r="C1826" s="1" t="s">
        <v>9</v>
      </c>
      <c r="D1826" s="1" t="s">
        <v>9</v>
      </c>
      <c r="E1826" s="1" t="s">
        <v>9</v>
      </c>
      <c r="F1826" s="6"/>
      <c r="G1826" s="6"/>
      <c r="H1826" s="11"/>
      <c r="I182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26" t="str">
        <f>IF(Table1[[#This Row],[Nationality]]="Nigeria",Table1[[#This Row],[EMJM Scholarship]],"Not Applicable")</f>
        <v>Not Applicable</v>
      </c>
    </row>
    <row r="1827" spans="1:10" ht="19.25" hidden="1" customHeight="1" x14ac:dyDescent="0.3">
      <c r="A1827" s="8">
        <v>2507800</v>
      </c>
      <c r="B1827" s="6" t="s">
        <v>80</v>
      </c>
      <c r="C1827" s="1" t="s">
        <v>9</v>
      </c>
      <c r="D1827" s="1" t="s">
        <v>9</v>
      </c>
      <c r="E1827" s="1" t="s">
        <v>9</v>
      </c>
      <c r="F1827" s="6"/>
      <c r="G1827" s="6"/>
      <c r="H1827" s="11"/>
      <c r="I182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27" t="str">
        <f>IF(Table1[[#This Row],[Nationality]]="Nigeria",Table1[[#This Row],[EMJM Scholarship]],"Not Applicable")</f>
        <v>Not Applicable</v>
      </c>
    </row>
    <row r="1828" spans="1:10" ht="19.25" hidden="1" customHeight="1" x14ac:dyDescent="0.3">
      <c r="A1828" s="8">
        <v>2507883</v>
      </c>
      <c r="B1828" s="6" t="s">
        <v>80</v>
      </c>
      <c r="C1828" s="1" t="s">
        <v>9</v>
      </c>
      <c r="D1828" s="1" t="s">
        <v>9</v>
      </c>
      <c r="E1828" s="1" t="s">
        <v>9</v>
      </c>
      <c r="F1828" s="6"/>
      <c r="G1828" s="6"/>
      <c r="H1828" s="11"/>
      <c r="I182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28" t="str">
        <f>IF(Table1[[#This Row],[Nationality]]="Nigeria",Table1[[#This Row],[EMJM Scholarship]],"Not Applicable")</f>
        <v>Not Applicable</v>
      </c>
    </row>
    <row r="1829" spans="1:10" ht="19.25" hidden="1" customHeight="1" x14ac:dyDescent="0.3">
      <c r="A1829" s="8">
        <v>2507890</v>
      </c>
      <c r="B1829" s="6" t="s">
        <v>80</v>
      </c>
      <c r="C1829" s="1" t="s">
        <v>9</v>
      </c>
      <c r="D1829" s="1" t="s">
        <v>9</v>
      </c>
      <c r="E1829" s="1" t="s">
        <v>9</v>
      </c>
      <c r="F1829" s="6"/>
      <c r="G1829" s="6"/>
      <c r="H1829" s="11"/>
      <c r="I182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29" t="str">
        <f>IF(Table1[[#This Row],[Nationality]]="Nigeria",Table1[[#This Row],[EMJM Scholarship]],"Not Applicable")</f>
        <v>Not Applicable</v>
      </c>
    </row>
    <row r="1830" spans="1:10" ht="19.25" hidden="1" customHeight="1" x14ac:dyDescent="0.3">
      <c r="A1830" s="8">
        <v>2507895</v>
      </c>
      <c r="B1830" s="6" t="s">
        <v>80</v>
      </c>
      <c r="C1830" s="1" t="s">
        <v>9</v>
      </c>
      <c r="D1830" s="1" t="s">
        <v>9</v>
      </c>
      <c r="E1830" s="1" t="s">
        <v>9</v>
      </c>
      <c r="F1830" s="6"/>
      <c r="G1830" s="6"/>
      <c r="H1830" s="11"/>
      <c r="I183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30" t="str">
        <f>IF(Table1[[#This Row],[Nationality]]="Nigeria",Table1[[#This Row],[EMJM Scholarship]],"Not Applicable")</f>
        <v>Not Applicable</v>
      </c>
    </row>
    <row r="1831" spans="1:10" ht="19.25" hidden="1" customHeight="1" x14ac:dyDescent="0.3">
      <c r="A1831" s="8">
        <v>2507898</v>
      </c>
      <c r="B1831" s="6" t="s">
        <v>80</v>
      </c>
      <c r="C1831" s="1" t="s">
        <v>9</v>
      </c>
      <c r="D1831" s="1" t="s">
        <v>9</v>
      </c>
      <c r="E1831" s="1" t="s">
        <v>9</v>
      </c>
      <c r="F1831" s="6"/>
      <c r="G1831" s="6"/>
      <c r="H1831" s="11"/>
      <c r="I183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31" t="str">
        <f>IF(Table1[[#This Row],[Nationality]]="Nigeria",Table1[[#This Row],[EMJM Scholarship]],"Not Applicable")</f>
        <v>Not Applicable</v>
      </c>
    </row>
    <row r="1832" spans="1:10" ht="19.25" hidden="1" customHeight="1" x14ac:dyDescent="0.3">
      <c r="A1832" s="8">
        <v>2507901</v>
      </c>
      <c r="B1832" s="6" t="s">
        <v>80</v>
      </c>
      <c r="C1832" s="1" t="s">
        <v>9</v>
      </c>
      <c r="D1832" s="1" t="s">
        <v>9</v>
      </c>
      <c r="E1832" s="1" t="s">
        <v>9</v>
      </c>
      <c r="F1832" s="6"/>
      <c r="G1832" s="6"/>
      <c r="H1832" s="11"/>
      <c r="I183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32" t="str">
        <f>IF(Table1[[#This Row],[Nationality]]="Nigeria",Table1[[#This Row],[EMJM Scholarship]],"Not Applicable")</f>
        <v>Not Applicable</v>
      </c>
    </row>
    <row r="1833" spans="1:10" ht="19.25" hidden="1" customHeight="1" x14ac:dyDescent="0.3">
      <c r="A1833" s="8">
        <v>2507913</v>
      </c>
      <c r="B1833" s="6" t="s">
        <v>80</v>
      </c>
      <c r="C1833" s="1" t="s">
        <v>9</v>
      </c>
      <c r="D1833" s="1" t="s">
        <v>9</v>
      </c>
      <c r="E1833" s="1" t="s">
        <v>9</v>
      </c>
      <c r="F1833" s="6"/>
      <c r="G1833" s="6"/>
      <c r="H1833" s="11"/>
      <c r="I183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33" t="str">
        <f>IF(Table1[[#This Row],[Nationality]]="Nigeria",Table1[[#This Row],[EMJM Scholarship]],"Not Applicable")</f>
        <v>Not Applicable</v>
      </c>
    </row>
    <row r="1834" spans="1:10" ht="19.25" hidden="1" customHeight="1" x14ac:dyDescent="0.3">
      <c r="A1834" s="8">
        <v>2507972</v>
      </c>
      <c r="B1834" s="6" t="s">
        <v>80</v>
      </c>
      <c r="C1834" s="1" t="s">
        <v>9</v>
      </c>
      <c r="D1834" s="1" t="s">
        <v>9</v>
      </c>
      <c r="E1834" s="1" t="s">
        <v>9</v>
      </c>
      <c r="F1834" s="6"/>
      <c r="G1834" s="6"/>
      <c r="H1834" s="11"/>
      <c r="I183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34" t="str">
        <f>IF(Table1[[#This Row],[Nationality]]="Nigeria",Table1[[#This Row],[EMJM Scholarship]],"Not Applicable")</f>
        <v>Not Applicable</v>
      </c>
    </row>
    <row r="1835" spans="1:10" ht="19.25" hidden="1" customHeight="1" x14ac:dyDescent="0.3">
      <c r="A1835" s="8">
        <v>2507988</v>
      </c>
      <c r="B1835" s="6" t="s">
        <v>80</v>
      </c>
      <c r="C1835" s="1" t="s">
        <v>9</v>
      </c>
      <c r="D1835" s="1" t="s">
        <v>9</v>
      </c>
      <c r="E1835" s="1" t="s">
        <v>9</v>
      </c>
      <c r="F1835" s="6"/>
      <c r="G1835" s="6"/>
      <c r="H1835" s="11"/>
      <c r="I183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35" t="str">
        <f>IF(Table1[[#This Row],[Nationality]]="Nigeria",Table1[[#This Row],[EMJM Scholarship]],"Not Applicable")</f>
        <v>Not Applicable</v>
      </c>
    </row>
    <row r="1836" spans="1:10" ht="19.25" hidden="1" customHeight="1" x14ac:dyDescent="0.3">
      <c r="A1836" s="8">
        <v>2507997</v>
      </c>
      <c r="B1836" s="6" t="s">
        <v>80</v>
      </c>
      <c r="C1836" s="1" t="s">
        <v>9</v>
      </c>
      <c r="D1836" s="1" t="s">
        <v>9</v>
      </c>
      <c r="E1836" s="1" t="s">
        <v>9</v>
      </c>
      <c r="F1836" s="6"/>
      <c r="G1836" s="6"/>
      <c r="H1836" s="11"/>
      <c r="I183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36" t="str">
        <f>IF(Table1[[#This Row],[Nationality]]="Nigeria",Table1[[#This Row],[EMJM Scholarship]],"Not Applicable")</f>
        <v>Not Applicable</v>
      </c>
    </row>
    <row r="1837" spans="1:10" ht="19.25" hidden="1" customHeight="1" x14ac:dyDescent="0.3">
      <c r="A1837" s="8">
        <v>2508002</v>
      </c>
      <c r="B1837" s="6" t="s">
        <v>80</v>
      </c>
      <c r="C1837" s="1" t="s">
        <v>9</v>
      </c>
      <c r="D1837" s="1" t="s">
        <v>9</v>
      </c>
      <c r="E1837" s="1" t="s">
        <v>9</v>
      </c>
      <c r="F1837" s="6"/>
      <c r="G1837" s="6"/>
      <c r="H1837" s="11"/>
      <c r="I183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37" t="str">
        <f>IF(Table1[[#This Row],[Nationality]]="Nigeria",Table1[[#This Row],[EMJM Scholarship]],"Not Applicable")</f>
        <v>Not Applicable</v>
      </c>
    </row>
    <row r="1838" spans="1:10" ht="19.25" hidden="1" customHeight="1" x14ac:dyDescent="0.3">
      <c r="A1838" s="8">
        <v>2508004</v>
      </c>
      <c r="B1838" s="6" t="s">
        <v>80</v>
      </c>
      <c r="C1838" s="1" t="s">
        <v>9</v>
      </c>
      <c r="D1838" s="1" t="s">
        <v>9</v>
      </c>
      <c r="E1838" s="1" t="s">
        <v>9</v>
      </c>
      <c r="F1838" s="6"/>
      <c r="G1838" s="6"/>
      <c r="H1838" s="11"/>
      <c r="I183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38" t="str">
        <f>IF(Table1[[#This Row],[Nationality]]="Nigeria",Table1[[#This Row],[EMJM Scholarship]],"Not Applicable")</f>
        <v>Not Applicable</v>
      </c>
    </row>
    <row r="1839" spans="1:10" ht="19.25" hidden="1" customHeight="1" x14ac:dyDescent="0.3">
      <c r="A1839" s="8">
        <v>2508062</v>
      </c>
      <c r="B1839" s="6" t="s">
        <v>80</v>
      </c>
      <c r="C1839" s="1" t="s">
        <v>9</v>
      </c>
      <c r="D1839" s="1" t="s">
        <v>9</v>
      </c>
      <c r="E1839" s="1" t="s">
        <v>9</v>
      </c>
      <c r="F1839" s="6"/>
      <c r="G1839" s="6"/>
      <c r="H1839" s="11"/>
      <c r="I183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39" t="str">
        <f>IF(Table1[[#This Row],[Nationality]]="Nigeria",Table1[[#This Row],[EMJM Scholarship]],"Not Applicable")</f>
        <v>Not Applicable</v>
      </c>
    </row>
    <row r="1840" spans="1:10" ht="19.25" hidden="1" customHeight="1" x14ac:dyDescent="0.3">
      <c r="A1840" s="8">
        <v>2508126</v>
      </c>
      <c r="B1840" s="6" t="s">
        <v>80</v>
      </c>
      <c r="C1840" s="1" t="s">
        <v>9</v>
      </c>
      <c r="D1840" s="1" t="s">
        <v>9</v>
      </c>
      <c r="E1840" s="1" t="s">
        <v>9</v>
      </c>
      <c r="F1840" s="6"/>
      <c r="G1840" s="6"/>
      <c r="H1840" s="11"/>
      <c r="I184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40" t="str">
        <f>IF(Table1[[#This Row],[Nationality]]="Nigeria",Table1[[#This Row],[EMJM Scholarship]],"Not Applicable")</f>
        <v>Not Applicable</v>
      </c>
    </row>
    <row r="1841" spans="1:10" ht="19.25" hidden="1" customHeight="1" x14ac:dyDescent="0.3">
      <c r="A1841" s="8">
        <v>2508156</v>
      </c>
      <c r="B1841" s="6" t="s">
        <v>80</v>
      </c>
      <c r="C1841" s="1" t="s">
        <v>9</v>
      </c>
      <c r="D1841" s="1" t="s">
        <v>9</v>
      </c>
      <c r="E1841" s="1" t="s">
        <v>9</v>
      </c>
      <c r="F1841" s="6"/>
      <c r="G1841" s="6"/>
      <c r="H1841" s="11"/>
      <c r="I184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41" t="str">
        <f>IF(Table1[[#This Row],[Nationality]]="Nigeria",Table1[[#This Row],[EMJM Scholarship]],"Not Applicable")</f>
        <v>Not Applicable</v>
      </c>
    </row>
    <row r="1842" spans="1:10" ht="19.25" hidden="1" customHeight="1" x14ac:dyDescent="0.3">
      <c r="A1842" s="8">
        <v>2508163</v>
      </c>
      <c r="B1842" s="6" t="s">
        <v>80</v>
      </c>
      <c r="C1842" s="1" t="s">
        <v>9</v>
      </c>
      <c r="D1842" s="1" t="s">
        <v>9</v>
      </c>
      <c r="E1842" s="1" t="s">
        <v>9</v>
      </c>
      <c r="F1842" s="6"/>
      <c r="G1842" s="6"/>
      <c r="H1842" s="11"/>
      <c r="I184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42" t="str">
        <f>IF(Table1[[#This Row],[Nationality]]="Nigeria",Table1[[#This Row],[EMJM Scholarship]],"Not Applicable")</f>
        <v>Not Applicable</v>
      </c>
    </row>
    <row r="1843" spans="1:10" ht="19.25" hidden="1" customHeight="1" x14ac:dyDescent="0.3">
      <c r="A1843" s="8">
        <v>2508238</v>
      </c>
      <c r="B1843" s="6" t="s">
        <v>80</v>
      </c>
      <c r="C1843" s="1" t="s">
        <v>9</v>
      </c>
      <c r="D1843" s="1" t="s">
        <v>9</v>
      </c>
      <c r="E1843" s="1" t="s">
        <v>9</v>
      </c>
      <c r="F1843" s="6"/>
      <c r="G1843" s="6"/>
      <c r="H1843" s="11"/>
      <c r="I184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43" t="str">
        <f>IF(Table1[[#This Row],[Nationality]]="Nigeria",Table1[[#This Row],[EMJM Scholarship]],"Not Applicable")</f>
        <v>Not Applicable</v>
      </c>
    </row>
    <row r="1844" spans="1:10" ht="19.25" hidden="1" customHeight="1" x14ac:dyDescent="0.3">
      <c r="A1844" s="8">
        <v>2508239</v>
      </c>
      <c r="B1844" s="6" t="s">
        <v>80</v>
      </c>
      <c r="C1844" s="1" t="s">
        <v>9</v>
      </c>
      <c r="D1844" s="1" t="s">
        <v>9</v>
      </c>
      <c r="E1844" s="1" t="s">
        <v>9</v>
      </c>
      <c r="F1844" s="6"/>
      <c r="G1844" s="6"/>
      <c r="H1844" s="11"/>
      <c r="I184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44" t="str">
        <f>IF(Table1[[#This Row],[Nationality]]="Nigeria",Table1[[#This Row],[EMJM Scholarship]],"Not Applicable")</f>
        <v>Not Applicable</v>
      </c>
    </row>
    <row r="1845" spans="1:10" ht="19.25" hidden="1" customHeight="1" x14ac:dyDescent="0.3">
      <c r="A1845" s="8">
        <v>2508308</v>
      </c>
      <c r="B1845" s="6" t="s">
        <v>80</v>
      </c>
      <c r="C1845" s="1" t="s">
        <v>9</v>
      </c>
      <c r="D1845" s="1" t="s">
        <v>9</v>
      </c>
      <c r="E1845" s="1" t="s">
        <v>9</v>
      </c>
      <c r="F1845" s="6"/>
      <c r="G1845" s="6"/>
      <c r="H1845" s="11"/>
      <c r="I184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45" t="str">
        <f>IF(Table1[[#This Row],[Nationality]]="Nigeria",Table1[[#This Row],[EMJM Scholarship]],"Not Applicable")</f>
        <v>Not Applicable</v>
      </c>
    </row>
    <row r="1846" spans="1:10" ht="19.25" hidden="1" customHeight="1" x14ac:dyDescent="0.3">
      <c r="A1846" s="8">
        <v>2508392</v>
      </c>
      <c r="B1846" s="6" t="s">
        <v>80</v>
      </c>
      <c r="C1846" s="1" t="s">
        <v>9</v>
      </c>
      <c r="D1846" s="1" t="s">
        <v>9</v>
      </c>
      <c r="E1846" s="1" t="s">
        <v>9</v>
      </c>
      <c r="F1846" s="6"/>
      <c r="G1846" s="6"/>
      <c r="H1846" s="11"/>
      <c r="I184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46" t="str">
        <f>IF(Table1[[#This Row],[Nationality]]="Nigeria",Table1[[#This Row],[EMJM Scholarship]],"Not Applicable")</f>
        <v>Not Applicable</v>
      </c>
    </row>
    <row r="1847" spans="1:10" ht="19.25" hidden="1" customHeight="1" x14ac:dyDescent="0.3">
      <c r="A1847" s="8">
        <v>2508408</v>
      </c>
      <c r="B1847" s="6" t="s">
        <v>80</v>
      </c>
      <c r="C1847" s="1" t="s">
        <v>9</v>
      </c>
      <c r="D1847" s="1" t="s">
        <v>9</v>
      </c>
      <c r="E1847" s="1" t="s">
        <v>9</v>
      </c>
      <c r="F1847" s="6"/>
      <c r="G1847" s="6"/>
      <c r="H1847" s="11"/>
      <c r="I184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47" t="str">
        <f>IF(Table1[[#This Row],[Nationality]]="Nigeria",Table1[[#This Row],[EMJM Scholarship]],"Not Applicable")</f>
        <v>Not Applicable</v>
      </c>
    </row>
    <row r="1848" spans="1:10" ht="19.25" hidden="1" customHeight="1" x14ac:dyDescent="0.3">
      <c r="A1848" s="8">
        <v>2508578</v>
      </c>
      <c r="B1848" s="6" t="s">
        <v>80</v>
      </c>
      <c r="C1848" s="1" t="s">
        <v>9</v>
      </c>
      <c r="D1848" s="1" t="s">
        <v>9</v>
      </c>
      <c r="E1848" s="1" t="s">
        <v>9</v>
      </c>
      <c r="F1848" s="6"/>
      <c r="G1848" s="6"/>
      <c r="H1848" s="11"/>
      <c r="I184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48" t="str">
        <f>IF(Table1[[#This Row],[Nationality]]="Nigeria",Table1[[#This Row],[EMJM Scholarship]],"Not Applicable")</f>
        <v>Not Applicable</v>
      </c>
    </row>
    <row r="1849" spans="1:10" ht="19.25" hidden="1" customHeight="1" x14ac:dyDescent="0.3">
      <c r="A1849" s="8">
        <v>2508586</v>
      </c>
      <c r="B1849" s="6" t="s">
        <v>80</v>
      </c>
      <c r="C1849" s="1" t="s">
        <v>9</v>
      </c>
      <c r="D1849" s="1" t="s">
        <v>9</v>
      </c>
      <c r="E1849" s="1" t="s">
        <v>9</v>
      </c>
      <c r="F1849" s="6"/>
      <c r="G1849" s="6"/>
      <c r="H1849" s="11"/>
      <c r="I184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49" t="str">
        <f>IF(Table1[[#This Row],[Nationality]]="Nigeria",Table1[[#This Row],[EMJM Scholarship]],"Not Applicable")</f>
        <v>Not Applicable</v>
      </c>
    </row>
    <row r="1850" spans="1:10" ht="19.25" hidden="1" customHeight="1" x14ac:dyDescent="0.3">
      <c r="A1850" s="8">
        <v>2508588</v>
      </c>
      <c r="B1850" s="6" t="s">
        <v>80</v>
      </c>
      <c r="C1850" s="1" t="s">
        <v>9</v>
      </c>
      <c r="D1850" s="1" t="s">
        <v>9</v>
      </c>
      <c r="E1850" s="1" t="s">
        <v>9</v>
      </c>
      <c r="F1850" s="6"/>
      <c r="G1850" s="6"/>
      <c r="H1850" s="11"/>
      <c r="I185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50" t="str">
        <f>IF(Table1[[#This Row],[Nationality]]="Nigeria",Table1[[#This Row],[EMJM Scholarship]],"Not Applicable")</f>
        <v>Not Applicable</v>
      </c>
    </row>
    <row r="1851" spans="1:10" ht="19.25" hidden="1" customHeight="1" x14ac:dyDescent="0.3">
      <c r="A1851" s="8">
        <v>2508671</v>
      </c>
      <c r="B1851" s="6" t="s">
        <v>80</v>
      </c>
      <c r="C1851" s="1" t="s">
        <v>9</v>
      </c>
      <c r="D1851" s="1" t="s">
        <v>9</v>
      </c>
      <c r="E1851" s="1" t="s">
        <v>9</v>
      </c>
      <c r="F1851" s="6"/>
      <c r="G1851" s="6"/>
      <c r="H1851" s="11"/>
      <c r="I185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51" t="str">
        <f>IF(Table1[[#This Row],[Nationality]]="Nigeria",Table1[[#This Row],[EMJM Scholarship]],"Not Applicable")</f>
        <v>Not Applicable</v>
      </c>
    </row>
    <row r="1852" spans="1:10" ht="19.25" hidden="1" customHeight="1" x14ac:dyDescent="0.3">
      <c r="A1852" s="8">
        <v>2508681</v>
      </c>
      <c r="B1852" s="6" t="s">
        <v>80</v>
      </c>
      <c r="C1852" s="1" t="s">
        <v>9</v>
      </c>
      <c r="D1852" s="1" t="s">
        <v>9</v>
      </c>
      <c r="E1852" s="1" t="s">
        <v>9</v>
      </c>
      <c r="F1852" s="6"/>
      <c r="G1852" s="6"/>
      <c r="H1852" s="11"/>
      <c r="I185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52" t="str">
        <f>IF(Table1[[#This Row],[Nationality]]="Nigeria",Table1[[#This Row],[EMJM Scholarship]],"Not Applicable")</f>
        <v>Not Applicable</v>
      </c>
    </row>
    <row r="1853" spans="1:10" ht="19.25" hidden="1" customHeight="1" x14ac:dyDescent="0.3">
      <c r="A1853" s="8">
        <v>2508693</v>
      </c>
      <c r="B1853" s="6" t="s">
        <v>80</v>
      </c>
      <c r="C1853" s="1" t="s">
        <v>9</v>
      </c>
      <c r="D1853" s="1" t="s">
        <v>9</v>
      </c>
      <c r="E1853" s="1" t="s">
        <v>9</v>
      </c>
      <c r="F1853" s="6"/>
      <c r="G1853" s="6"/>
      <c r="H1853" s="11"/>
      <c r="I185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53" t="str">
        <f>IF(Table1[[#This Row],[Nationality]]="Nigeria",Table1[[#This Row],[EMJM Scholarship]],"Not Applicable")</f>
        <v>Not Applicable</v>
      </c>
    </row>
    <row r="1854" spans="1:10" ht="19.25" hidden="1" customHeight="1" x14ac:dyDescent="0.3">
      <c r="A1854" s="8">
        <v>2508694</v>
      </c>
      <c r="B1854" s="6" t="s">
        <v>80</v>
      </c>
      <c r="C1854" s="1" t="s">
        <v>9</v>
      </c>
      <c r="D1854" s="1" t="s">
        <v>9</v>
      </c>
      <c r="E1854" s="1" t="s">
        <v>9</v>
      </c>
      <c r="F1854" s="6"/>
      <c r="G1854" s="6"/>
      <c r="H1854" s="11"/>
      <c r="I185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54" t="str">
        <f>IF(Table1[[#This Row],[Nationality]]="Nigeria",Table1[[#This Row],[EMJM Scholarship]],"Not Applicable")</f>
        <v>Not Applicable</v>
      </c>
    </row>
    <row r="1855" spans="1:10" ht="19.25" hidden="1" customHeight="1" x14ac:dyDescent="0.3">
      <c r="A1855" s="8">
        <v>2508718</v>
      </c>
      <c r="B1855" s="6" t="s">
        <v>80</v>
      </c>
      <c r="C1855" s="1" t="s">
        <v>9</v>
      </c>
      <c r="D1855" s="1" t="s">
        <v>9</v>
      </c>
      <c r="E1855" s="1" t="s">
        <v>9</v>
      </c>
      <c r="F1855" s="6"/>
      <c r="G1855" s="6"/>
      <c r="H1855" s="11"/>
      <c r="I185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55" t="str">
        <f>IF(Table1[[#This Row],[Nationality]]="Nigeria",Table1[[#This Row],[EMJM Scholarship]],"Not Applicable")</f>
        <v>Not Applicable</v>
      </c>
    </row>
    <row r="1856" spans="1:10" ht="19.25" hidden="1" customHeight="1" x14ac:dyDescent="0.3">
      <c r="A1856" s="8">
        <v>2508760</v>
      </c>
      <c r="B1856" s="6" t="s">
        <v>80</v>
      </c>
      <c r="C1856" s="1" t="s">
        <v>9</v>
      </c>
      <c r="D1856" s="1" t="s">
        <v>9</v>
      </c>
      <c r="E1856" s="1" t="s">
        <v>9</v>
      </c>
      <c r="F1856" s="6"/>
      <c r="G1856" s="6"/>
      <c r="H1856" s="11"/>
      <c r="I185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56" t="str">
        <f>IF(Table1[[#This Row],[Nationality]]="Nigeria",Table1[[#This Row],[EMJM Scholarship]],"Not Applicable")</f>
        <v>Not Applicable</v>
      </c>
    </row>
    <row r="1857" spans="1:10" ht="19.25" hidden="1" customHeight="1" x14ac:dyDescent="0.3">
      <c r="A1857" s="8">
        <v>2508963</v>
      </c>
      <c r="B1857" s="6" t="s">
        <v>80</v>
      </c>
      <c r="C1857" s="1" t="s">
        <v>9</v>
      </c>
      <c r="D1857" s="1" t="s">
        <v>9</v>
      </c>
      <c r="E1857" s="1" t="s">
        <v>9</v>
      </c>
      <c r="F1857" s="6"/>
      <c r="G1857" s="6"/>
      <c r="H1857" s="11"/>
      <c r="I185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57" t="str">
        <f>IF(Table1[[#This Row],[Nationality]]="Nigeria",Table1[[#This Row],[EMJM Scholarship]],"Not Applicable")</f>
        <v>Not Applicable</v>
      </c>
    </row>
    <row r="1858" spans="1:10" ht="19.25" hidden="1" customHeight="1" x14ac:dyDescent="0.3">
      <c r="A1858" s="8">
        <v>2509015</v>
      </c>
      <c r="B1858" s="6" t="s">
        <v>80</v>
      </c>
      <c r="C1858" s="1" t="s">
        <v>9</v>
      </c>
      <c r="D1858" s="1" t="s">
        <v>9</v>
      </c>
      <c r="E1858" s="1" t="s">
        <v>9</v>
      </c>
      <c r="F1858" s="6"/>
      <c r="G1858" s="6"/>
      <c r="H1858" s="11"/>
      <c r="I185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58" t="str">
        <f>IF(Table1[[#This Row],[Nationality]]="Nigeria",Table1[[#This Row],[EMJM Scholarship]],"Not Applicable")</f>
        <v>Not Applicable</v>
      </c>
    </row>
    <row r="1859" spans="1:10" ht="19.25" hidden="1" customHeight="1" x14ac:dyDescent="0.3">
      <c r="A1859" s="8">
        <v>2509074</v>
      </c>
      <c r="B1859" s="6" t="s">
        <v>80</v>
      </c>
      <c r="C1859" s="1" t="s">
        <v>9</v>
      </c>
      <c r="D1859" s="1" t="s">
        <v>9</v>
      </c>
      <c r="E1859" s="1" t="s">
        <v>9</v>
      </c>
      <c r="F1859" s="6"/>
      <c r="G1859" s="6"/>
      <c r="H1859" s="11"/>
      <c r="I185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59" t="str">
        <f>IF(Table1[[#This Row],[Nationality]]="Nigeria",Table1[[#This Row],[EMJM Scholarship]],"Not Applicable")</f>
        <v>Not Applicable</v>
      </c>
    </row>
    <row r="1860" spans="1:10" ht="19.25" hidden="1" customHeight="1" x14ac:dyDescent="0.3">
      <c r="A1860" s="8">
        <v>2509244</v>
      </c>
      <c r="B1860" s="6" t="s">
        <v>80</v>
      </c>
      <c r="C1860" s="1" t="s">
        <v>9</v>
      </c>
      <c r="D1860" s="1" t="s">
        <v>9</v>
      </c>
      <c r="E1860" s="1" t="s">
        <v>9</v>
      </c>
      <c r="F1860" s="6"/>
      <c r="G1860" s="6"/>
      <c r="H1860" s="11"/>
      <c r="I186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60" t="str">
        <f>IF(Table1[[#This Row],[Nationality]]="Nigeria",Table1[[#This Row],[EMJM Scholarship]],"Not Applicable")</f>
        <v>Not Applicable</v>
      </c>
    </row>
    <row r="1861" spans="1:10" ht="19.25" hidden="1" customHeight="1" x14ac:dyDescent="0.3">
      <c r="A1861" s="8">
        <v>2509403</v>
      </c>
      <c r="B1861" s="6" t="s">
        <v>80</v>
      </c>
      <c r="C1861" s="1" t="s">
        <v>9</v>
      </c>
      <c r="D1861" s="1" t="s">
        <v>9</v>
      </c>
      <c r="E1861" s="1" t="s">
        <v>9</v>
      </c>
      <c r="F1861" s="6"/>
      <c r="G1861" s="6"/>
      <c r="H1861" s="11"/>
      <c r="I186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61" t="str">
        <f>IF(Table1[[#This Row],[Nationality]]="Nigeria",Table1[[#This Row],[EMJM Scholarship]],"Not Applicable")</f>
        <v>Not Applicable</v>
      </c>
    </row>
    <row r="1862" spans="1:10" ht="19.25" hidden="1" customHeight="1" x14ac:dyDescent="0.3">
      <c r="A1862" s="8">
        <v>2509435</v>
      </c>
      <c r="B1862" s="6" t="s">
        <v>80</v>
      </c>
      <c r="C1862" s="1" t="s">
        <v>9</v>
      </c>
      <c r="D1862" s="1" t="s">
        <v>9</v>
      </c>
      <c r="E1862" s="1" t="s">
        <v>9</v>
      </c>
      <c r="F1862" s="6"/>
      <c r="G1862" s="6"/>
      <c r="H1862" s="11"/>
      <c r="I186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62" t="str">
        <f>IF(Table1[[#This Row],[Nationality]]="Nigeria",Table1[[#This Row],[EMJM Scholarship]],"Not Applicable")</f>
        <v>Not Applicable</v>
      </c>
    </row>
    <row r="1863" spans="1:10" ht="19.25" hidden="1" customHeight="1" x14ac:dyDescent="0.3">
      <c r="A1863" s="8">
        <v>2509449</v>
      </c>
      <c r="B1863" s="6" t="s">
        <v>80</v>
      </c>
      <c r="C1863" s="1" t="s">
        <v>9</v>
      </c>
      <c r="D1863" s="1" t="s">
        <v>9</v>
      </c>
      <c r="E1863" s="1" t="s">
        <v>9</v>
      </c>
      <c r="F1863" s="6"/>
      <c r="G1863" s="6"/>
      <c r="H1863" s="11"/>
      <c r="I186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63" t="str">
        <f>IF(Table1[[#This Row],[Nationality]]="Nigeria",Table1[[#This Row],[EMJM Scholarship]],"Not Applicable")</f>
        <v>Not Applicable</v>
      </c>
    </row>
    <row r="1864" spans="1:10" ht="19.25" hidden="1" customHeight="1" x14ac:dyDescent="0.3">
      <c r="A1864" s="8">
        <v>2509461</v>
      </c>
      <c r="B1864" s="6" t="s">
        <v>80</v>
      </c>
      <c r="C1864" s="1" t="s">
        <v>9</v>
      </c>
      <c r="D1864" s="1" t="s">
        <v>9</v>
      </c>
      <c r="E1864" s="1" t="s">
        <v>9</v>
      </c>
      <c r="F1864" s="6"/>
      <c r="G1864" s="6"/>
      <c r="H1864" s="11"/>
      <c r="I186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64" t="str">
        <f>IF(Table1[[#This Row],[Nationality]]="Nigeria",Table1[[#This Row],[EMJM Scholarship]],"Not Applicable")</f>
        <v>Not Applicable</v>
      </c>
    </row>
    <row r="1865" spans="1:10" ht="19.25" hidden="1" customHeight="1" x14ac:dyDescent="0.3">
      <c r="A1865" s="8">
        <v>2509541</v>
      </c>
      <c r="B1865" s="6" t="s">
        <v>80</v>
      </c>
      <c r="C1865" s="1" t="s">
        <v>9</v>
      </c>
      <c r="D1865" s="1" t="s">
        <v>9</v>
      </c>
      <c r="E1865" s="1" t="s">
        <v>9</v>
      </c>
      <c r="F1865" s="6"/>
      <c r="G1865" s="6"/>
      <c r="H1865" s="11"/>
      <c r="I186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65" t="str">
        <f>IF(Table1[[#This Row],[Nationality]]="Nigeria",Table1[[#This Row],[EMJM Scholarship]],"Not Applicable")</f>
        <v>Not Applicable</v>
      </c>
    </row>
    <row r="1866" spans="1:10" ht="19.25" hidden="1" customHeight="1" x14ac:dyDescent="0.3">
      <c r="A1866" s="8">
        <v>2509671</v>
      </c>
      <c r="B1866" s="6" t="s">
        <v>80</v>
      </c>
      <c r="C1866" s="1" t="s">
        <v>9</v>
      </c>
      <c r="D1866" s="1" t="s">
        <v>9</v>
      </c>
      <c r="E1866" s="1" t="s">
        <v>9</v>
      </c>
      <c r="F1866" s="6"/>
      <c r="G1866" s="6"/>
      <c r="H1866" s="11"/>
      <c r="I186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66" t="str">
        <f>IF(Table1[[#This Row],[Nationality]]="Nigeria",Table1[[#This Row],[EMJM Scholarship]],"Not Applicable")</f>
        <v>Not Applicable</v>
      </c>
    </row>
    <row r="1867" spans="1:10" ht="19.25" hidden="1" customHeight="1" x14ac:dyDescent="0.3">
      <c r="A1867" s="8">
        <v>2509792</v>
      </c>
      <c r="B1867" s="6" t="s">
        <v>80</v>
      </c>
      <c r="C1867" s="1" t="s">
        <v>9</v>
      </c>
      <c r="D1867" s="1" t="s">
        <v>9</v>
      </c>
      <c r="E1867" s="1" t="s">
        <v>9</v>
      </c>
      <c r="F1867" s="6"/>
      <c r="G1867" s="6"/>
      <c r="H1867" s="11"/>
      <c r="I186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67" t="str">
        <f>IF(Table1[[#This Row],[Nationality]]="Nigeria",Table1[[#This Row],[EMJM Scholarship]],"Not Applicable")</f>
        <v>Not Applicable</v>
      </c>
    </row>
    <row r="1868" spans="1:10" ht="19.25" hidden="1" customHeight="1" x14ac:dyDescent="0.3">
      <c r="A1868" s="8">
        <v>2509860</v>
      </c>
      <c r="B1868" s="6" t="s">
        <v>80</v>
      </c>
      <c r="C1868" s="1" t="s">
        <v>9</v>
      </c>
      <c r="D1868" s="1" t="s">
        <v>9</v>
      </c>
      <c r="E1868" s="1" t="s">
        <v>9</v>
      </c>
      <c r="F1868" s="6"/>
      <c r="G1868" s="6"/>
      <c r="H1868" s="11"/>
      <c r="I186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68" t="str">
        <f>IF(Table1[[#This Row],[Nationality]]="Nigeria",Table1[[#This Row],[EMJM Scholarship]],"Not Applicable")</f>
        <v>Not Applicable</v>
      </c>
    </row>
    <row r="1869" spans="1:10" ht="19.25" hidden="1" customHeight="1" x14ac:dyDescent="0.3">
      <c r="A1869" s="8">
        <v>2509883</v>
      </c>
      <c r="B1869" s="6" t="s">
        <v>80</v>
      </c>
      <c r="C1869" s="1" t="s">
        <v>9</v>
      </c>
      <c r="D1869" s="1" t="s">
        <v>9</v>
      </c>
      <c r="E1869" s="1" t="s">
        <v>9</v>
      </c>
      <c r="F1869" s="6"/>
      <c r="G1869" s="6"/>
      <c r="H1869" s="11"/>
      <c r="I186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69" t="str">
        <f>IF(Table1[[#This Row],[Nationality]]="Nigeria",Table1[[#This Row],[EMJM Scholarship]],"Not Applicable")</f>
        <v>Not Applicable</v>
      </c>
    </row>
    <row r="1870" spans="1:10" ht="19.25" hidden="1" customHeight="1" x14ac:dyDescent="0.3">
      <c r="A1870" s="8">
        <v>2510005</v>
      </c>
      <c r="B1870" s="6" t="s">
        <v>80</v>
      </c>
      <c r="C1870" s="1" t="s">
        <v>9</v>
      </c>
      <c r="D1870" s="1" t="s">
        <v>9</v>
      </c>
      <c r="E1870" s="1" t="s">
        <v>9</v>
      </c>
      <c r="F1870" s="6"/>
      <c r="G1870" s="6"/>
      <c r="H1870" s="11"/>
      <c r="I187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70" t="str">
        <f>IF(Table1[[#This Row],[Nationality]]="Nigeria",Table1[[#This Row],[EMJM Scholarship]],"Not Applicable")</f>
        <v>Not Applicable</v>
      </c>
    </row>
    <row r="1871" spans="1:10" ht="19.25" hidden="1" customHeight="1" x14ac:dyDescent="0.3">
      <c r="A1871" s="8">
        <v>2510011</v>
      </c>
      <c r="B1871" s="6" t="s">
        <v>80</v>
      </c>
      <c r="C1871" s="1" t="s">
        <v>9</v>
      </c>
      <c r="D1871" s="1" t="s">
        <v>9</v>
      </c>
      <c r="E1871" s="1" t="s">
        <v>9</v>
      </c>
      <c r="F1871" s="6"/>
      <c r="G1871" s="6"/>
      <c r="H1871" s="11"/>
      <c r="I187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71" t="str">
        <f>IF(Table1[[#This Row],[Nationality]]="Nigeria",Table1[[#This Row],[EMJM Scholarship]],"Not Applicable")</f>
        <v>Not Applicable</v>
      </c>
    </row>
    <row r="1872" spans="1:10" ht="19.25" hidden="1" customHeight="1" x14ac:dyDescent="0.3">
      <c r="A1872" s="8">
        <v>2510053</v>
      </c>
      <c r="B1872" s="6" t="s">
        <v>80</v>
      </c>
      <c r="C1872" s="1" t="s">
        <v>9</v>
      </c>
      <c r="D1872" s="1" t="s">
        <v>9</v>
      </c>
      <c r="E1872" s="1" t="s">
        <v>9</v>
      </c>
      <c r="F1872" s="6"/>
      <c r="G1872" s="6"/>
      <c r="H1872" s="11"/>
      <c r="I187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72" t="str">
        <f>IF(Table1[[#This Row],[Nationality]]="Nigeria",Table1[[#This Row],[EMJM Scholarship]],"Not Applicable")</f>
        <v>Not Applicable</v>
      </c>
    </row>
    <row r="1873" spans="1:10" ht="19.25" hidden="1" customHeight="1" x14ac:dyDescent="0.3">
      <c r="A1873" s="8">
        <v>2510057</v>
      </c>
      <c r="B1873" s="6" t="s">
        <v>80</v>
      </c>
      <c r="C1873" s="1" t="s">
        <v>9</v>
      </c>
      <c r="D1873" s="1" t="s">
        <v>9</v>
      </c>
      <c r="E1873" s="1" t="s">
        <v>9</v>
      </c>
      <c r="F1873" s="6"/>
      <c r="G1873" s="6"/>
      <c r="H1873" s="11"/>
      <c r="I187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73" t="str">
        <f>IF(Table1[[#This Row],[Nationality]]="Nigeria",Table1[[#This Row],[EMJM Scholarship]],"Not Applicable")</f>
        <v>Not Applicable</v>
      </c>
    </row>
    <row r="1874" spans="1:10" ht="19.25" hidden="1" customHeight="1" x14ac:dyDescent="0.3">
      <c r="A1874" s="8">
        <v>2510058</v>
      </c>
      <c r="B1874" s="6" t="s">
        <v>80</v>
      </c>
      <c r="C1874" s="1" t="s">
        <v>9</v>
      </c>
      <c r="D1874" s="1" t="s">
        <v>9</v>
      </c>
      <c r="E1874" s="1" t="s">
        <v>9</v>
      </c>
      <c r="F1874" s="6"/>
      <c r="G1874" s="6"/>
      <c r="H1874" s="11"/>
      <c r="I187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74" t="str">
        <f>IF(Table1[[#This Row],[Nationality]]="Nigeria",Table1[[#This Row],[EMJM Scholarship]],"Not Applicable")</f>
        <v>Not Applicable</v>
      </c>
    </row>
    <row r="1875" spans="1:10" ht="19.25" hidden="1" customHeight="1" x14ac:dyDescent="0.3">
      <c r="A1875" s="8">
        <v>2510074</v>
      </c>
      <c r="B1875" s="6" t="s">
        <v>80</v>
      </c>
      <c r="C1875" s="1" t="s">
        <v>9</v>
      </c>
      <c r="D1875" s="1" t="s">
        <v>9</v>
      </c>
      <c r="E1875" s="1" t="s">
        <v>9</v>
      </c>
      <c r="F1875" s="6"/>
      <c r="G1875" s="6"/>
      <c r="H1875" s="11"/>
      <c r="I187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75" t="str">
        <f>IF(Table1[[#This Row],[Nationality]]="Nigeria",Table1[[#This Row],[EMJM Scholarship]],"Not Applicable")</f>
        <v>Not Applicable</v>
      </c>
    </row>
    <row r="1876" spans="1:10" ht="19.25" hidden="1" customHeight="1" x14ac:dyDescent="0.3">
      <c r="A1876" s="8">
        <v>2510105</v>
      </c>
      <c r="B1876" s="6" t="s">
        <v>80</v>
      </c>
      <c r="C1876" s="1" t="s">
        <v>9</v>
      </c>
      <c r="D1876" s="1" t="s">
        <v>9</v>
      </c>
      <c r="E1876" s="1" t="s">
        <v>9</v>
      </c>
      <c r="F1876" s="6"/>
      <c r="G1876" s="6"/>
      <c r="H1876" s="11"/>
      <c r="I187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76" t="str">
        <f>IF(Table1[[#This Row],[Nationality]]="Nigeria",Table1[[#This Row],[EMJM Scholarship]],"Not Applicable")</f>
        <v>Not Applicable</v>
      </c>
    </row>
    <row r="1877" spans="1:10" ht="19.25" hidden="1" customHeight="1" x14ac:dyDescent="0.3">
      <c r="A1877" s="8">
        <v>2510110</v>
      </c>
      <c r="B1877" s="6" t="s">
        <v>80</v>
      </c>
      <c r="C1877" s="1" t="s">
        <v>9</v>
      </c>
      <c r="D1877" s="1" t="s">
        <v>9</v>
      </c>
      <c r="E1877" s="1" t="s">
        <v>9</v>
      </c>
      <c r="F1877" s="6"/>
      <c r="G1877" s="6"/>
      <c r="H1877" s="11"/>
      <c r="I187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77" t="str">
        <f>IF(Table1[[#This Row],[Nationality]]="Nigeria",Table1[[#This Row],[EMJM Scholarship]],"Not Applicable")</f>
        <v>Not Applicable</v>
      </c>
    </row>
    <row r="1878" spans="1:10" ht="19.25" hidden="1" customHeight="1" x14ac:dyDescent="0.3">
      <c r="A1878" s="8">
        <v>2510124</v>
      </c>
      <c r="B1878" s="6" t="s">
        <v>80</v>
      </c>
      <c r="C1878" s="1" t="s">
        <v>9</v>
      </c>
      <c r="D1878" s="1" t="s">
        <v>9</v>
      </c>
      <c r="E1878" s="1" t="s">
        <v>9</v>
      </c>
      <c r="F1878" s="6"/>
      <c r="G1878" s="6"/>
      <c r="H1878" s="11"/>
      <c r="I187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78" t="str">
        <f>IF(Table1[[#This Row],[Nationality]]="Nigeria",Table1[[#This Row],[EMJM Scholarship]],"Not Applicable")</f>
        <v>Not Applicable</v>
      </c>
    </row>
    <row r="1879" spans="1:10" ht="19.25" hidden="1" customHeight="1" x14ac:dyDescent="0.3">
      <c r="A1879" s="8">
        <v>2510127</v>
      </c>
      <c r="B1879" s="6" t="s">
        <v>80</v>
      </c>
      <c r="C1879" s="1" t="s">
        <v>9</v>
      </c>
      <c r="D1879" s="1" t="s">
        <v>9</v>
      </c>
      <c r="E1879" s="1" t="s">
        <v>9</v>
      </c>
      <c r="F1879" s="6"/>
      <c r="G1879" s="6"/>
      <c r="H1879" s="11"/>
      <c r="I187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79" t="str">
        <f>IF(Table1[[#This Row],[Nationality]]="Nigeria",Table1[[#This Row],[EMJM Scholarship]],"Not Applicable")</f>
        <v>Not Applicable</v>
      </c>
    </row>
    <row r="1880" spans="1:10" ht="19.25" hidden="1" customHeight="1" x14ac:dyDescent="0.3">
      <c r="A1880" s="8">
        <v>2510146</v>
      </c>
      <c r="B1880" s="6" t="s">
        <v>80</v>
      </c>
      <c r="C1880" s="1" t="s">
        <v>9</v>
      </c>
      <c r="D1880" s="1" t="s">
        <v>9</v>
      </c>
      <c r="E1880" s="1" t="s">
        <v>9</v>
      </c>
      <c r="F1880" s="6"/>
      <c r="G1880" s="6"/>
      <c r="H1880" s="11"/>
      <c r="I188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80" t="str">
        <f>IF(Table1[[#This Row],[Nationality]]="Nigeria",Table1[[#This Row],[EMJM Scholarship]],"Not Applicable")</f>
        <v>Not Applicable</v>
      </c>
    </row>
    <row r="1881" spans="1:10" ht="19.25" hidden="1" customHeight="1" x14ac:dyDescent="0.3">
      <c r="A1881" s="8">
        <v>2510155</v>
      </c>
      <c r="B1881" s="6" t="s">
        <v>80</v>
      </c>
      <c r="C1881" s="1" t="s">
        <v>9</v>
      </c>
      <c r="D1881" s="1" t="s">
        <v>9</v>
      </c>
      <c r="E1881" s="1" t="s">
        <v>9</v>
      </c>
      <c r="F1881" s="6"/>
      <c r="G1881" s="6"/>
      <c r="H1881" s="11"/>
      <c r="I188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81" t="str">
        <f>IF(Table1[[#This Row],[Nationality]]="Nigeria",Table1[[#This Row],[EMJM Scholarship]],"Not Applicable")</f>
        <v>Not Applicable</v>
      </c>
    </row>
    <row r="1882" spans="1:10" ht="19.25" hidden="1" customHeight="1" x14ac:dyDescent="0.3">
      <c r="A1882" s="8">
        <v>2510165</v>
      </c>
      <c r="B1882" s="6" t="s">
        <v>80</v>
      </c>
      <c r="C1882" s="1" t="s">
        <v>9</v>
      </c>
      <c r="D1882" s="1" t="s">
        <v>9</v>
      </c>
      <c r="E1882" s="1" t="s">
        <v>9</v>
      </c>
      <c r="F1882" s="6"/>
      <c r="G1882" s="6"/>
      <c r="H1882" s="11"/>
      <c r="I188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82" t="str">
        <f>IF(Table1[[#This Row],[Nationality]]="Nigeria",Table1[[#This Row],[EMJM Scholarship]],"Not Applicable")</f>
        <v>Not Applicable</v>
      </c>
    </row>
    <row r="1883" spans="1:10" ht="19.25" hidden="1" customHeight="1" x14ac:dyDescent="0.3">
      <c r="A1883" s="8">
        <v>2510183</v>
      </c>
      <c r="B1883" s="6" t="s">
        <v>80</v>
      </c>
      <c r="C1883" s="1" t="s">
        <v>9</v>
      </c>
      <c r="D1883" s="1" t="s">
        <v>9</v>
      </c>
      <c r="E1883" s="1" t="s">
        <v>9</v>
      </c>
      <c r="F1883" s="6"/>
      <c r="G1883" s="6"/>
      <c r="H1883" s="11"/>
      <c r="I188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83" t="str">
        <f>IF(Table1[[#This Row],[Nationality]]="Nigeria",Table1[[#This Row],[EMJM Scholarship]],"Not Applicable")</f>
        <v>Not Applicable</v>
      </c>
    </row>
    <row r="1884" spans="1:10" ht="19.25" hidden="1" customHeight="1" x14ac:dyDescent="0.3">
      <c r="A1884" s="8">
        <v>2510210</v>
      </c>
      <c r="B1884" s="6" t="s">
        <v>80</v>
      </c>
      <c r="C1884" s="1" t="s">
        <v>9</v>
      </c>
      <c r="D1884" s="1" t="s">
        <v>9</v>
      </c>
      <c r="E1884" s="1" t="s">
        <v>9</v>
      </c>
      <c r="F1884" s="6"/>
      <c r="G1884" s="6"/>
      <c r="H1884" s="11"/>
      <c r="I188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84" t="str">
        <f>IF(Table1[[#This Row],[Nationality]]="Nigeria",Table1[[#This Row],[EMJM Scholarship]],"Not Applicable")</f>
        <v>Not Applicable</v>
      </c>
    </row>
    <row r="1885" spans="1:10" ht="19.25" hidden="1" customHeight="1" x14ac:dyDescent="0.3">
      <c r="A1885" s="8">
        <v>2510218</v>
      </c>
      <c r="B1885" s="6" t="s">
        <v>80</v>
      </c>
      <c r="C1885" s="1" t="s">
        <v>9</v>
      </c>
      <c r="D1885" s="1" t="s">
        <v>9</v>
      </c>
      <c r="E1885" s="1" t="s">
        <v>9</v>
      </c>
      <c r="F1885" s="6"/>
      <c r="G1885" s="6"/>
      <c r="H1885" s="11"/>
      <c r="I188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85" t="str">
        <f>IF(Table1[[#This Row],[Nationality]]="Nigeria",Table1[[#This Row],[EMJM Scholarship]],"Not Applicable")</f>
        <v>Not Applicable</v>
      </c>
    </row>
    <row r="1886" spans="1:10" ht="19.25" hidden="1" customHeight="1" x14ac:dyDescent="0.3">
      <c r="A1886" s="8">
        <v>2510245</v>
      </c>
      <c r="B1886" s="6" t="s">
        <v>80</v>
      </c>
      <c r="C1886" s="1" t="s">
        <v>9</v>
      </c>
      <c r="D1886" s="1" t="s">
        <v>9</v>
      </c>
      <c r="E1886" s="1" t="s">
        <v>9</v>
      </c>
      <c r="F1886" s="6"/>
      <c r="G1886" s="6"/>
      <c r="H1886" s="11"/>
      <c r="I188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86" t="str">
        <f>IF(Table1[[#This Row],[Nationality]]="Nigeria",Table1[[#This Row],[EMJM Scholarship]],"Not Applicable")</f>
        <v>Not Applicable</v>
      </c>
    </row>
    <row r="1887" spans="1:10" ht="19.25" hidden="1" customHeight="1" x14ac:dyDescent="0.3">
      <c r="A1887" s="8">
        <v>2510260</v>
      </c>
      <c r="B1887" s="6" t="s">
        <v>80</v>
      </c>
      <c r="C1887" s="1" t="s">
        <v>9</v>
      </c>
      <c r="D1887" s="1" t="s">
        <v>9</v>
      </c>
      <c r="E1887" s="1" t="s">
        <v>9</v>
      </c>
      <c r="F1887" s="6"/>
      <c r="G1887" s="6"/>
      <c r="H1887" s="11"/>
      <c r="I188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87" t="str">
        <f>IF(Table1[[#This Row],[Nationality]]="Nigeria",Table1[[#This Row],[EMJM Scholarship]],"Not Applicable")</f>
        <v>Not Applicable</v>
      </c>
    </row>
    <row r="1888" spans="1:10" ht="19.25" hidden="1" customHeight="1" x14ac:dyDescent="0.3">
      <c r="A1888" s="8">
        <v>2510352</v>
      </c>
      <c r="B1888" s="6" t="s">
        <v>80</v>
      </c>
      <c r="C1888" s="1" t="s">
        <v>9</v>
      </c>
      <c r="D1888" s="1" t="s">
        <v>9</v>
      </c>
      <c r="E1888" s="1" t="s">
        <v>9</v>
      </c>
      <c r="F1888" s="6"/>
      <c r="G1888" s="6"/>
      <c r="H1888" s="11"/>
      <c r="I188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88" t="str">
        <f>IF(Table1[[#This Row],[Nationality]]="Nigeria",Table1[[#This Row],[EMJM Scholarship]],"Not Applicable")</f>
        <v>Not Applicable</v>
      </c>
    </row>
    <row r="1889" spans="1:10" ht="19.25" hidden="1" customHeight="1" x14ac:dyDescent="0.3">
      <c r="A1889" s="8">
        <v>2510354</v>
      </c>
      <c r="B1889" s="6" t="s">
        <v>80</v>
      </c>
      <c r="C1889" s="1" t="s">
        <v>9</v>
      </c>
      <c r="D1889" s="1" t="s">
        <v>9</v>
      </c>
      <c r="E1889" s="1" t="s">
        <v>9</v>
      </c>
      <c r="F1889" s="6"/>
      <c r="G1889" s="6"/>
      <c r="H1889" s="11"/>
      <c r="I188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89" t="str">
        <f>IF(Table1[[#This Row],[Nationality]]="Nigeria",Table1[[#This Row],[EMJM Scholarship]],"Not Applicable")</f>
        <v>Not Applicable</v>
      </c>
    </row>
    <row r="1890" spans="1:10" ht="19.25" hidden="1" customHeight="1" x14ac:dyDescent="0.3">
      <c r="A1890" s="8">
        <v>2510371</v>
      </c>
      <c r="B1890" s="6" t="s">
        <v>80</v>
      </c>
      <c r="C1890" s="1" t="s">
        <v>9</v>
      </c>
      <c r="D1890" s="1" t="s">
        <v>9</v>
      </c>
      <c r="E1890" s="1" t="s">
        <v>9</v>
      </c>
      <c r="F1890" s="6"/>
      <c r="G1890" s="6"/>
      <c r="H1890" s="11"/>
      <c r="I189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90" t="str">
        <f>IF(Table1[[#This Row],[Nationality]]="Nigeria",Table1[[#This Row],[EMJM Scholarship]],"Not Applicable")</f>
        <v>Not Applicable</v>
      </c>
    </row>
    <row r="1891" spans="1:10" ht="19.25" hidden="1" customHeight="1" x14ac:dyDescent="0.3">
      <c r="A1891" s="8">
        <v>2510373</v>
      </c>
      <c r="B1891" s="6" t="s">
        <v>80</v>
      </c>
      <c r="C1891" s="1" t="s">
        <v>9</v>
      </c>
      <c r="D1891" s="1" t="s">
        <v>9</v>
      </c>
      <c r="E1891" s="1" t="s">
        <v>9</v>
      </c>
      <c r="F1891" s="6"/>
      <c r="G1891" s="6"/>
      <c r="H1891" s="11"/>
      <c r="I189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91" t="str">
        <f>IF(Table1[[#This Row],[Nationality]]="Nigeria",Table1[[#This Row],[EMJM Scholarship]],"Not Applicable")</f>
        <v>Not Applicable</v>
      </c>
    </row>
    <row r="1892" spans="1:10" ht="19.25" hidden="1" customHeight="1" x14ac:dyDescent="0.3">
      <c r="A1892" s="8">
        <v>2510381</v>
      </c>
      <c r="B1892" s="6" t="s">
        <v>80</v>
      </c>
      <c r="C1892" s="1" t="s">
        <v>9</v>
      </c>
      <c r="D1892" s="1" t="s">
        <v>9</v>
      </c>
      <c r="E1892" s="1" t="s">
        <v>9</v>
      </c>
      <c r="F1892" s="6"/>
      <c r="G1892" s="6"/>
      <c r="H1892" s="11"/>
      <c r="I189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92" t="str">
        <f>IF(Table1[[#This Row],[Nationality]]="Nigeria",Table1[[#This Row],[EMJM Scholarship]],"Not Applicable")</f>
        <v>Not Applicable</v>
      </c>
    </row>
    <row r="1893" spans="1:10" ht="19.25" hidden="1" customHeight="1" x14ac:dyDescent="0.3">
      <c r="A1893" s="8">
        <v>2510392</v>
      </c>
      <c r="B1893" s="6" t="s">
        <v>80</v>
      </c>
      <c r="C1893" s="1" t="s">
        <v>9</v>
      </c>
      <c r="D1893" s="1" t="s">
        <v>9</v>
      </c>
      <c r="E1893" s="1" t="s">
        <v>9</v>
      </c>
      <c r="F1893" s="6"/>
      <c r="G1893" s="6"/>
      <c r="H1893" s="11"/>
      <c r="I189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93" t="str">
        <f>IF(Table1[[#This Row],[Nationality]]="Nigeria",Table1[[#This Row],[EMJM Scholarship]],"Not Applicable")</f>
        <v>Not Applicable</v>
      </c>
    </row>
    <row r="1894" spans="1:10" ht="19.25" hidden="1" customHeight="1" x14ac:dyDescent="0.3">
      <c r="A1894" s="8">
        <v>2510394</v>
      </c>
      <c r="B1894" s="6" t="s">
        <v>80</v>
      </c>
      <c r="C1894" s="1" t="s">
        <v>9</v>
      </c>
      <c r="D1894" s="1" t="s">
        <v>9</v>
      </c>
      <c r="E1894" s="1" t="s">
        <v>9</v>
      </c>
      <c r="F1894" s="6"/>
      <c r="G1894" s="6"/>
      <c r="H1894" s="11"/>
      <c r="I189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94" t="str">
        <f>IF(Table1[[#This Row],[Nationality]]="Nigeria",Table1[[#This Row],[EMJM Scholarship]],"Not Applicable")</f>
        <v>Not Applicable</v>
      </c>
    </row>
    <row r="1895" spans="1:10" ht="19.25" hidden="1" customHeight="1" x14ac:dyDescent="0.3">
      <c r="A1895" s="8">
        <v>2510397</v>
      </c>
      <c r="B1895" s="6" t="s">
        <v>80</v>
      </c>
      <c r="C1895" s="1" t="s">
        <v>9</v>
      </c>
      <c r="D1895" s="1" t="s">
        <v>9</v>
      </c>
      <c r="E1895" s="1" t="s">
        <v>9</v>
      </c>
      <c r="F1895" s="6"/>
      <c r="G1895" s="6"/>
      <c r="H1895" s="11"/>
      <c r="I189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95" t="str">
        <f>IF(Table1[[#This Row],[Nationality]]="Nigeria",Table1[[#This Row],[EMJM Scholarship]],"Not Applicable")</f>
        <v>Not Applicable</v>
      </c>
    </row>
    <row r="1896" spans="1:10" ht="19.25" hidden="1" customHeight="1" x14ac:dyDescent="0.3">
      <c r="A1896" s="8">
        <v>2510400</v>
      </c>
      <c r="B1896" s="6" t="s">
        <v>80</v>
      </c>
      <c r="C1896" s="1" t="s">
        <v>9</v>
      </c>
      <c r="D1896" s="1" t="s">
        <v>9</v>
      </c>
      <c r="E1896" s="1" t="s">
        <v>9</v>
      </c>
      <c r="F1896" s="6"/>
      <c r="G1896" s="6"/>
      <c r="H1896" s="11"/>
      <c r="I189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96" t="str">
        <f>IF(Table1[[#This Row],[Nationality]]="Nigeria",Table1[[#This Row],[EMJM Scholarship]],"Not Applicable")</f>
        <v>Not Applicable</v>
      </c>
    </row>
    <row r="1897" spans="1:10" ht="19.25" hidden="1" customHeight="1" x14ac:dyDescent="0.3">
      <c r="A1897" s="8">
        <v>2510403</v>
      </c>
      <c r="B1897" s="6" t="s">
        <v>80</v>
      </c>
      <c r="C1897" s="1" t="s">
        <v>9</v>
      </c>
      <c r="D1897" s="1" t="s">
        <v>9</v>
      </c>
      <c r="E1897" s="1" t="s">
        <v>9</v>
      </c>
      <c r="F1897" s="6"/>
      <c r="G1897" s="6"/>
      <c r="H1897" s="11"/>
      <c r="I189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97" t="str">
        <f>IF(Table1[[#This Row],[Nationality]]="Nigeria",Table1[[#This Row],[EMJM Scholarship]],"Not Applicable")</f>
        <v>Not Applicable</v>
      </c>
    </row>
    <row r="1898" spans="1:10" ht="19.25" hidden="1" customHeight="1" x14ac:dyDescent="0.3">
      <c r="A1898" s="8">
        <v>2510407</v>
      </c>
      <c r="B1898" s="6" t="s">
        <v>80</v>
      </c>
      <c r="C1898" s="1" t="s">
        <v>9</v>
      </c>
      <c r="D1898" s="1" t="s">
        <v>9</v>
      </c>
      <c r="E1898" s="1" t="s">
        <v>9</v>
      </c>
      <c r="F1898" s="6"/>
      <c r="G1898" s="6"/>
      <c r="H1898" s="11"/>
      <c r="I189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98" t="str">
        <f>IF(Table1[[#This Row],[Nationality]]="Nigeria",Table1[[#This Row],[EMJM Scholarship]],"Not Applicable")</f>
        <v>Not Applicable</v>
      </c>
    </row>
    <row r="1899" spans="1:10" ht="19.25" hidden="1" customHeight="1" x14ac:dyDescent="0.3">
      <c r="A1899" s="8">
        <v>2510423</v>
      </c>
      <c r="B1899" s="6" t="s">
        <v>80</v>
      </c>
      <c r="C1899" s="1" t="s">
        <v>9</v>
      </c>
      <c r="D1899" s="1" t="s">
        <v>9</v>
      </c>
      <c r="E1899" s="1" t="s">
        <v>9</v>
      </c>
      <c r="F1899" s="6"/>
      <c r="G1899" s="6"/>
      <c r="H1899" s="11"/>
      <c r="I189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899" t="str">
        <f>IF(Table1[[#This Row],[Nationality]]="Nigeria",Table1[[#This Row],[EMJM Scholarship]],"Not Applicable")</f>
        <v>Not Applicable</v>
      </c>
    </row>
    <row r="1900" spans="1:10" ht="19.25" hidden="1" customHeight="1" x14ac:dyDescent="0.3">
      <c r="A1900" s="8">
        <v>2510474</v>
      </c>
      <c r="B1900" s="6" t="s">
        <v>80</v>
      </c>
      <c r="C1900" s="1" t="s">
        <v>9</v>
      </c>
      <c r="D1900" s="1" t="s">
        <v>9</v>
      </c>
      <c r="E1900" s="1" t="s">
        <v>9</v>
      </c>
      <c r="F1900" s="6"/>
      <c r="G1900" s="6"/>
      <c r="H1900" s="11"/>
      <c r="I190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00" t="str">
        <f>IF(Table1[[#This Row],[Nationality]]="Nigeria",Table1[[#This Row],[EMJM Scholarship]],"Not Applicable")</f>
        <v>Not Applicable</v>
      </c>
    </row>
    <row r="1901" spans="1:10" ht="19.25" hidden="1" customHeight="1" x14ac:dyDescent="0.3">
      <c r="A1901" s="8">
        <v>2510482</v>
      </c>
      <c r="B1901" s="6" t="s">
        <v>80</v>
      </c>
      <c r="C1901" s="1" t="s">
        <v>9</v>
      </c>
      <c r="D1901" s="1" t="s">
        <v>9</v>
      </c>
      <c r="E1901" s="1" t="s">
        <v>9</v>
      </c>
      <c r="F1901" s="6"/>
      <c r="G1901" s="6"/>
      <c r="H1901" s="11"/>
      <c r="I190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01" t="str">
        <f>IF(Table1[[#This Row],[Nationality]]="Nigeria",Table1[[#This Row],[EMJM Scholarship]],"Not Applicable")</f>
        <v>Not Applicable</v>
      </c>
    </row>
    <row r="1902" spans="1:10" ht="19.25" hidden="1" customHeight="1" x14ac:dyDescent="0.3">
      <c r="A1902" s="8">
        <v>2510610</v>
      </c>
      <c r="B1902" s="6" t="s">
        <v>80</v>
      </c>
      <c r="C1902" s="1" t="s">
        <v>9</v>
      </c>
      <c r="D1902" s="1" t="s">
        <v>9</v>
      </c>
      <c r="E1902" s="1" t="s">
        <v>9</v>
      </c>
      <c r="F1902" s="6"/>
      <c r="G1902" s="6"/>
      <c r="H1902" s="11"/>
      <c r="I190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02" t="str">
        <f>IF(Table1[[#This Row],[Nationality]]="Nigeria",Table1[[#This Row],[EMJM Scholarship]],"Not Applicable")</f>
        <v>Not Applicable</v>
      </c>
    </row>
    <row r="1903" spans="1:10" ht="19.25" hidden="1" customHeight="1" x14ac:dyDescent="0.3">
      <c r="A1903" s="8">
        <v>2510870</v>
      </c>
      <c r="B1903" s="6" t="s">
        <v>80</v>
      </c>
      <c r="C1903" s="1" t="s">
        <v>9</v>
      </c>
      <c r="D1903" s="1" t="s">
        <v>9</v>
      </c>
      <c r="E1903" s="1" t="s">
        <v>9</v>
      </c>
      <c r="F1903" s="6"/>
      <c r="G1903" s="6"/>
      <c r="H1903" s="11"/>
      <c r="I190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03" t="str">
        <f>IF(Table1[[#This Row],[Nationality]]="Nigeria",Table1[[#This Row],[EMJM Scholarship]],"Not Applicable")</f>
        <v>Not Applicable</v>
      </c>
    </row>
    <row r="1904" spans="1:10" ht="19.25" hidden="1" customHeight="1" x14ac:dyDescent="0.3">
      <c r="A1904" s="8">
        <v>2510934</v>
      </c>
      <c r="B1904" s="6" t="s">
        <v>80</v>
      </c>
      <c r="C1904" s="1" t="s">
        <v>9</v>
      </c>
      <c r="D1904" s="1" t="s">
        <v>9</v>
      </c>
      <c r="E1904" s="1" t="s">
        <v>9</v>
      </c>
      <c r="F1904" s="6"/>
      <c r="G1904" s="6"/>
      <c r="H1904" s="11"/>
      <c r="I190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04" t="str">
        <f>IF(Table1[[#This Row],[Nationality]]="Nigeria",Table1[[#This Row],[EMJM Scholarship]],"Not Applicable")</f>
        <v>Not Applicable</v>
      </c>
    </row>
    <row r="1905" spans="1:10" ht="19.25" hidden="1" customHeight="1" x14ac:dyDescent="0.3">
      <c r="A1905" s="8">
        <v>2510935</v>
      </c>
      <c r="B1905" s="6" t="s">
        <v>80</v>
      </c>
      <c r="C1905" s="1" t="s">
        <v>9</v>
      </c>
      <c r="D1905" s="1" t="s">
        <v>9</v>
      </c>
      <c r="E1905" s="1" t="s">
        <v>9</v>
      </c>
      <c r="F1905" s="6"/>
      <c r="G1905" s="6"/>
      <c r="H1905" s="11"/>
      <c r="I190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05" t="str">
        <f>IF(Table1[[#This Row],[Nationality]]="Nigeria",Table1[[#This Row],[EMJM Scholarship]],"Not Applicable")</f>
        <v>Not Applicable</v>
      </c>
    </row>
    <row r="1906" spans="1:10" ht="19.25" hidden="1" customHeight="1" x14ac:dyDescent="0.3">
      <c r="A1906" s="8">
        <v>2510937</v>
      </c>
      <c r="B1906" s="6" t="s">
        <v>80</v>
      </c>
      <c r="C1906" s="1" t="s">
        <v>9</v>
      </c>
      <c r="D1906" s="1" t="s">
        <v>9</v>
      </c>
      <c r="E1906" s="1" t="s">
        <v>9</v>
      </c>
      <c r="F1906" s="6"/>
      <c r="G1906" s="6"/>
      <c r="H1906" s="11"/>
      <c r="I190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06" t="str">
        <f>IF(Table1[[#This Row],[Nationality]]="Nigeria",Table1[[#This Row],[EMJM Scholarship]],"Not Applicable")</f>
        <v>Not Applicable</v>
      </c>
    </row>
    <row r="1907" spans="1:10" ht="19.25" hidden="1" customHeight="1" x14ac:dyDescent="0.3">
      <c r="A1907" s="8">
        <v>2510969</v>
      </c>
      <c r="B1907" s="6" t="s">
        <v>80</v>
      </c>
      <c r="C1907" s="1" t="s">
        <v>9</v>
      </c>
      <c r="D1907" s="1" t="s">
        <v>9</v>
      </c>
      <c r="E1907" s="1" t="s">
        <v>9</v>
      </c>
      <c r="F1907" s="6"/>
      <c r="G1907" s="6"/>
      <c r="H1907" s="11"/>
      <c r="I190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07" t="str">
        <f>IF(Table1[[#This Row],[Nationality]]="Nigeria",Table1[[#This Row],[EMJM Scholarship]],"Not Applicable")</f>
        <v>Not Applicable</v>
      </c>
    </row>
    <row r="1908" spans="1:10" ht="19.25" hidden="1" customHeight="1" x14ac:dyDescent="0.3">
      <c r="A1908" s="8">
        <v>2511009</v>
      </c>
      <c r="B1908" s="6" t="s">
        <v>80</v>
      </c>
      <c r="C1908" s="1" t="s">
        <v>9</v>
      </c>
      <c r="D1908" s="1" t="s">
        <v>9</v>
      </c>
      <c r="E1908" s="1" t="s">
        <v>9</v>
      </c>
      <c r="F1908" s="6"/>
      <c r="G1908" s="6"/>
      <c r="H1908" s="11"/>
      <c r="I190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08" t="str">
        <f>IF(Table1[[#This Row],[Nationality]]="Nigeria",Table1[[#This Row],[EMJM Scholarship]],"Not Applicable")</f>
        <v>Not Applicable</v>
      </c>
    </row>
    <row r="1909" spans="1:10" ht="19.25" hidden="1" customHeight="1" x14ac:dyDescent="0.3">
      <c r="A1909" s="8">
        <v>2511010</v>
      </c>
      <c r="B1909" s="6" t="s">
        <v>80</v>
      </c>
      <c r="C1909" s="1" t="s">
        <v>9</v>
      </c>
      <c r="D1909" s="1" t="s">
        <v>9</v>
      </c>
      <c r="E1909" s="1" t="s">
        <v>9</v>
      </c>
      <c r="F1909" s="6"/>
      <c r="G1909" s="6"/>
      <c r="H1909" s="11"/>
      <c r="I190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09" t="str">
        <f>IF(Table1[[#This Row],[Nationality]]="Nigeria",Table1[[#This Row],[EMJM Scholarship]],"Not Applicable")</f>
        <v>Not Applicable</v>
      </c>
    </row>
    <row r="1910" spans="1:10" ht="19.25" hidden="1" customHeight="1" x14ac:dyDescent="0.3">
      <c r="A1910" s="8">
        <v>2511091</v>
      </c>
      <c r="B1910" s="6" t="s">
        <v>80</v>
      </c>
      <c r="C1910" s="1" t="s">
        <v>9</v>
      </c>
      <c r="D1910" s="1" t="s">
        <v>9</v>
      </c>
      <c r="E1910" s="1" t="s">
        <v>9</v>
      </c>
      <c r="F1910" s="6"/>
      <c r="G1910" s="6"/>
      <c r="H1910" s="11"/>
      <c r="I191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10" t="str">
        <f>IF(Table1[[#This Row],[Nationality]]="Nigeria",Table1[[#This Row],[EMJM Scholarship]],"Not Applicable")</f>
        <v>Not Applicable</v>
      </c>
    </row>
    <row r="1911" spans="1:10" ht="19.25" hidden="1" customHeight="1" x14ac:dyDescent="0.3">
      <c r="A1911" s="8">
        <v>2511094</v>
      </c>
      <c r="B1911" s="6" t="s">
        <v>80</v>
      </c>
      <c r="C1911" s="1" t="s">
        <v>9</v>
      </c>
      <c r="D1911" s="1" t="s">
        <v>9</v>
      </c>
      <c r="E1911" s="1" t="s">
        <v>9</v>
      </c>
      <c r="F1911" s="6"/>
      <c r="G1911" s="6"/>
      <c r="H1911" s="11"/>
      <c r="I191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11" t="str">
        <f>IF(Table1[[#This Row],[Nationality]]="Nigeria",Table1[[#This Row],[EMJM Scholarship]],"Not Applicable")</f>
        <v>Not Applicable</v>
      </c>
    </row>
    <row r="1912" spans="1:10" ht="19.25" hidden="1" customHeight="1" x14ac:dyDescent="0.3">
      <c r="A1912" s="8">
        <v>2511194</v>
      </c>
      <c r="B1912" s="6" t="s">
        <v>80</v>
      </c>
      <c r="C1912" s="1" t="s">
        <v>9</v>
      </c>
      <c r="D1912" s="1" t="s">
        <v>9</v>
      </c>
      <c r="E1912" s="1" t="s">
        <v>9</v>
      </c>
      <c r="F1912" s="6"/>
      <c r="G1912" s="6"/>
      <c r="H1912" s="11"/>
      <c r="I191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12" t="str">
        <f>IF(Table1[[#This Row],[Nationality]]="Nigeria",Table1[[#This Row],[EMJM Scholarship]],"Not Applicable")</f>
        <v>Not Applicable</v>
      </c>
    </row>
    <row r="1913" spans="1:10" ht="19.25" hidden="1" customHeight="1" x14ac:dyDescent="0.3">
      <c r="A1913" s="8">
        <v>2511226</v>
      </c>
      <c r="B1913" s="6" t="s">
        <v>80</v>
      </c>
      <c r="C1913" s="1" t="s">
        <v>9</v>
      </c>
      <c r="D1913" s="1" t="s">
        <v>9</v>
      </c>
      <c r="E1913" s="1" t="s">
        <v>9</v>
      </c>
      <c r="F1913" s="6"/>
      <c r="G1913" s="6"/>
      <c r="H1913" s="11"/>
      <c r="I191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13" t="str">
        <f>IF(Table1[[#This Row],[Nationality]]="Nigeria",Table1[[#This Row],[EMJM Scholarship]],"Not Applicable")</f>
        <v>Not Applicable</v>
      </c>
    </row>
    <row r="1914" spans="1:10" ht="19.25" hidden="1" customHeight="1" x14ac:dyDescent="0.3">
      <c r="A1914" s="8">
        <v>2511433</v>
      </c>
      <c r="B1914" s="6" t="s">
        <v>80</v>
      </c>
      <c r="C1914" s="1" t="s">
        <v>9</v>
      </c>
      <c r="D1914" s="1" t="s">
        <v>9</v>
      </c>
      <c r="E1914" s="1" t="s">
        <v>9</v>
      </c>
      <c r="F1914" s="6"/>
      <c r="G1914" s="6"/>
      <c r="H1914" s="11"/>
      <c r="I191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14" t="str">
        <f>IF(Table1[[#This Row],[Nationality]]="Nigeria",Table1[[#This Row],[EMJM Scholarship]],"Not Applicable")</f>
        <v>Not Applicable</v>
      </c>
    </row>
    <row r="1915" spans="1:10" ht="19.25" hidden="1" customHeight="1" x14ac:dyDescent="0.3">
      <c r="A1915" s="8">
        <v>2511474</v>
      </c>
      <c r="B1915" s="6" t="s">
        <v>80</v>
      </c>
      <c r="C1915" s="1" t="s">
        <v>9</v>
      </c>
      <c r="D1915" s="1" t="s">
        <v>9</v>
      </c>
      <c r="E1915" s="1" t="s">
        <v>9</v>
      </c>
      <c r="F1915" s="6"/>
      <c r="G1915" s="6"/>
      <c r="H1915" s="11"/>
      <c r="I191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15" t="str">
        <f>IF(Table1[[#This Row],[Nationality]]="Nigeria",Table1[[#This Row],[EMJM Scholarship]],"Not Applicable")</f>
        <v>Not Applicable</v>
      </c>
    </row>
    <row r="1916" spans="1:10" ht="19.25" hidden="1" customHeight="1" x14ac:dyDescent="0.3">
      <c r="A1916" s="8">
        <v>2511505</v>
      </c>
      <c r="B1916" s="6" t="s">
        <v>80</v>
      </c>
      <c r="C1916" s="1" t="s">
        <v>9</v>
      </c>
      <c r="D1916" s="1" t="s">
        <v>9</v>
      </c>
      <c r="E1916" s="1" t="s">
        <v>9</v>
      </c>
      <c r="F1916" s="6"/>
      <c r="G1916" s="6"/>
      <c r="H1916" s="11"/>
      <c r="I191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16" t="str">
        <f>IF(Table1[[#This Row],[Nationality]]="Nigeria",Table1[[#This Row],[EMJM Scholarship]],"Not Applicable")</f>
        <v>Not Applicable</v>
      </c>
    </row>
    <row r="1917" spans="1:10" ht="19.25" hidden="1" customHeight="1" x14ac:dyDescent="0.3">
      <c r="A1917" s="8">
        <v>2511541</v>
      </c>
      <c r="B1917" s="6" t="s">
        <v>80</v>
      </c>
      <c r="C1917" s="1" t="s">
        <v>9</v>
      </c>
      <c r="D1917" s="1" t="s">
        <v>9</v>
      </c>
      <c r="E1917" s="1" t="s">
        <v>9</v>
      </c>
      <c r="F1917" s="6"/>
      <c r="G1917" s="6"/>
      <c r="H1917" s="11"/>
      <c r="I191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17" t="str">
        <f>IF(Table1[[#This Row],[Nationality]]="Nigeria",Table1[[#This Row],[EMJM Scholarship]],"Not Applicable")</f>
        <v>Not Applicable</v>
      </c>
    </row>
    <row r="1918" spans="1:10" ht="19.25" hidden="1" customHeight="1" x14ac:dyDescent="0.3">
      <c r="A1918" s="8">
        <v>2511560</v>
      </c>
      <c r="B1918" s="6" t="s">
        <v>80</v>
      </c>
      <c r="C1918" s="1" t="s">
        <v>9</v>
      </c>
      <c r="D1918" s="1" t="s">
        <v>9</v>
      </c>
      <c r="E1918" s="1" t="s">
        <v>9</v>
      </c>
      <c r="F1918" s="6"/>
      <c r="G1918" s="6"/>
      <c r="H1918" s="11"/>
      <c r="I191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18" t="str">
        <f>IF(Table1[[#This Row],[Nationality]]="Nigeria",Table1[[#This Row],[EMJM Scholarship]],"Not Applicable")</f>
        <v>Not Applicable</v>
      </c>
    </row>
    <row r="1919" spans="1:10" ht="19.25" hidden="1" customHeight="1" x14ac:dyDescent="0.3">
      <c r="A1919" s="8">
        <v>2511615</v>
      </c>
      <c r="B1919" s="6" t="s">
        <v>80</v>
      </c>
      <c r="C1919" s="1" t="s">
        <v>9</v>
      </c>
      <c r="D1919" s="1" t="s">
        <v>9</v>
      </c>
      <c r="E1919" s="1" t="s">
        <v>9</v>
      </c>
      <c r="F1919" s="6"/>
      <c r="G1919" s="6"/>
      <c r="H1919" s="11"/>
      <c r="I191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19" t="str">
        <f>IF(Table1[[#This Row],[Nationality]]="Nigeria",Table1[[#This Row],[EMJM Scholarship]],"Not Applicable")</f>
        <v>Not Applicable</v>
      </c>
    </row>
    <row r="1920" spans="1:10" ht="19.25" hidden="1" customHeight="1" x14ac:dyDescent="0.3">
      <c r="A1920" s="8">
        <v>2511627</v>
      </c>
      <c r="B1920" s="6" t="s">
        <v>80</v>
      </c>
      <c r="C1920" s="1" t="s">
        <v>9</v>
      </c>
      <c r="D1920" s="1" t="s">
        <v>9</v>
      </c>
      <c r="E1920" s="1" t="s">
        <v>9</v>
      </c>
      <c r="F1920" s="6"/>
      <c r="G1920" s="6"/>
      <c r="H1920" s="11"/>
      <c r="I192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20" t="str">
        <f>IF(Table1[[#This Row],[Nationality]]="Nigeria",Table1[[#This Row],[EMJM Scholarship]],"Not Applicable")</f>
        <v>Not Applicable</v>
      </c>
    </row>
    <row r="1921" spans="1:10" ht="19.25" hidden="1" customHeight="1" x14ac:dyDescent="0.3">
      <c r="A1921" s="8">
        <v>2511651</v>
      </c>
      <c r="B1921" s="6" t="s">
        <v>80</v>
      </c>
      <c r="C1921" s="1" t="s">
        <v>9</v>
      </c>
      <c r="D1921" s="1" t="s">
        <v>9</v>
      </c>
      <c r="E1921" s="1" t="s">
        <v>9</v>
      </c>
      <c r="F1921" s="6"/>
      <c r="G1921" s="6"/>
      <c r="H1921" s="11"/>
      <c r="I192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21" t="str">
        <f>IF(Table1[[#This Row],[Nationality]]="Nigeria",Table1[[#This Row],[EMJM Scholarship]],"Not Applicable")</f>
        <v>Not Applicable</v>
      </c>
    </row>
    <row r="1922" spans="1:10" ht="19.25" hidden="1" customHeight="1" x14ac:dyDescent="0.3">
      <c r="A1922" s="8">
        <v>2511657</v>
      </c>
      <c r="B1922" s="6" t="s">
        <v>80</v>
      </c>
      <c r="C1922" s="1" t="s">
        <v>9</v>
      </c>
      <c r="D1922" s="1" t="s">
        <v>9</v>
      </c>
      <c r="E1922" s="1" t="s">
        <v>9</v>
      </c>
      <c r="F1922" s="6"/>
      <c r="G1922" s="6"/>
      <c r="H1922" s="11"/>
      <c r="I192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22" t="str">
        <f>IF(Table1[[#This Row],[Nationality]]="Nigeria",Table1[[#This Row],[EMJM Scholarship]],"Not Applicable")</f>
        <v>Not Applicable</v>
      </c>
    </row>
    <row r="1923" spans="1:10" ht="19.25" hidden="1" customHeight="1" x14ac:dyDescent="0.3">
      <c r="A1923" s="8">
        <v>2511666</v>
      </c>
      <c r="B1923" s="6" t="s">
        <v>80</v>
      </c>
      <c r="C1923" s="1" t="s">
        <v>9</v>
      </c>
      <c r="D1923" s="1" t="s">
        <v>9</v>
      </c>
      <c r="E1923" s="1" t="s">
        <v>9</v>
      </c>
      <c r="F1923" s="6"/>
      <c r="G1923" s="6"/>
      <c r="H1923" s="11"/>
      <c r="I192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23" t="str">
        <f>IF(Table1[[#This Row],[Nationality]]="Nigeria",Table1[[#This Row],[EMJM Scholarship]],"Not Applicable")</f>
        <v>Not Applicable</v>
      </c>
    </row>
    <row r="1924" spans="1:10" ht="19.25" hidden="1" customHeight="1" x14ac:dyDescent="0.3">
      <c r="A1924" s="8">
        <v>2511671</v>
      </c>
      <c r="B1924" s="6" t="s">
        <v>80</v>
      </c>
      <c r="C1924" s="1" t="s">
        <v>9</v>
      </c>
      <c r="D1924" s="1" t="s">
        <v>9</v>
      </c>
      <c r="E1924" s="1" t="s">
        <v>9</v>
      </c>
      <c r="F1924" s="6"/>
      <c r="G1924" s="6"/>
      <c r="H1924" s="11"/>
      <c r="I192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24" t="str">
        <f>IF(Table1[[#This Row],[Nationality]]="Nigeria",Table1[[#This Row],[EMJM Scholarship]],"Not Applicable")</f>
        <v>Not Applicable</v>
      </c>
    </row>
    <row r="1925" spans="1:10" ht="19.25" hidden="1" customHeight="1" x14ac:dyDescent="0.3">
      <c r="A1925" s="8">
        <v>2511687</v>
      </c>
      <c r="B1925" s="6" t="s">
        <v>80</v>
      </c>
      <c r="C1925" s="1" t="s">
        <v>9</v>
      </c>
      <c r="D1925" s="1" t="s">
        <v>9</v>
      </c>
      <c r="E1925" s="1" t="s">
        <v>9</v>
      </c>
      <c r="F1925" s="6"/>
      <c r="G1925" s="6"/>
      <c r="H1925" s="11"/>
      <c r="I192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25" t="str">
        <f>IF(Table1[[#This Row],[Nationality]]="Nigeria",Table1[[#This Row],[EMJM Scholarship]],"Not Applicable")</f>
        <v>Not Applicable</v>
      </c>
    </row>
    <row r="1926" spans="1:10" ht="19.25" hidden="1" customHeight="1" x14ac:dyDescent="0.3">
      <c r="A1926" s="8">
        <v>2511692</v>
      </c>
      <c r="B1926" s="6" t="s">
        <v>80</v>
      </c>
      <c r="C1926" s="1" t="s">
        <v>9</v>
      </c>
      <c r="D1926" s="1" t="s">
        <v>9</v>
      </c>
      <c r="E1926" s="1" t="s">
        <v>9</v>
      </c>
      <c r="F1926" s="6"/>
      <c r="G1926" s="6"/>
      <c r="H1926" s="11"/>
      <c r="I192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26" t="str">
        <f>IF(Table1[[#This Row],[Nationality]]="Nigeria",Table1[[#This Row],[EMJM Scholarship]],"Not Applicable")</f>
        <v>Not Applicable</v>
      </c>
    </row>
    <row r="1927" spans="1:10" ht="19.25" hidden="1" customHeight="1" x14ac:dyDescent="0.3">
      <c r="A1927" s="8">
        <v>2511700</v>
      </c>
      <c r="B1927" s="6" t="s">
        <v>80</v>
      </c>
      <c r="C1927" s="1" t="s">
        <v>9</v>
      </c>
      <c r="D1927" s="1" t="s">
        <v>9</v>
      </c>
      <c r="E1927" s="1" t="s">
        <v>9</v>
      </c>
      <c r="F1927" s="6"/>
      <c r="G1927" s="6"/>
      <c r="H1927" s="11"/>
      <c r="I192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27" t="str">
        <f>IF(Table1[[#This Row],[Nationality]]="Nigeria",Table1[[#This Row],[EMJM Scholarship]],"Not Applicable")</f>
        <v>Not Applicable</v>
      </c>
    </row>
    <row r="1928" spans="1:10" ht="19.25" hidden="1" customHeight="1" x14ac:dyDescent="0.3">
      <c r="A1928" s="8">
        <v>2511702</v>
      </c>
      <c r="B1928" s="6" t="s">
        <v>80</v>
      </c>
      <c r="C1928" s="1" t="s">
        <v>9</v>
      </c>
      <c r="D1928" s="1" t="s">
        <v>9</v>
      </c>
      <c r="E1928" s="1" t="s">
        <v>9</v>
      </c>
      <c r="F1928" s="6"/>
      <c r="G1928" s="6"/>
      <c r="H1928" s="11"/>
      <c r="I192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28" t="str">
        <f>IF(Table1[[#This Row],[Nationality]]="Nigeria",Table1[[#This Row],[EMJM Scholarship]],"Not Applicable")</f>
        <v>Not Applicable</v>
      </c>
    </row>
    <row r="1929" spans="1:10" ht="19.25" hidden="1" customHeight="1" x14ac:dyDescent="0.3">
      <c r="A1929" s="8">
        <v>2511705</v>
      </c>
      <c r="B1929" s="6" t="s">
        <v>80</v>
      </c>
      <c r="C1929" s="1" t="s">
        <v>9</v>
      </c>
      <c r="D1929" s="1" t="s">
        <v>9</v>
      </c>
      <c r="E1929" s="1" t="s">
        <v>9</v>
      </c>
      <c r="F1929" s="6"/>
      <c r="G1929" s="6"/>
      <c r="H1929" s="11"/>
      <c r="I192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29" t="str">
        <f>IF(Table1[[#This Row],[Nationality]]="Nigeria",Table1[[#This Row],[EMJM Scholarship]],"Not Applicable")</f>
        <v>Not Applicable</v>
      </c>
    </row>
    <row r="1930" spans="1:10" ht="19.25" hidden="1" customHeight="1" x14ac:dyDescent="0.3">
      <c r="A1930" s="8">
        <v>2511712</v>
      </c>
      <c r="B1930" s="6" t="s">
        <v>80</v>
      </c>
      <c r="C1930" s="1" t="s">
        <v>9</v>
      </c>
      <c r="D1930" s="1" t="s">
        <v>9</v>
      </c>
      <c r="E1930" s="1" t="s">
        <v>9</v>
      </c>
      <c r="F1930" s="6"/>
      <c r="G1930" s="6"/>
      <c r="H1930" s="11"/>
      <c r="I193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30" t="str">
        <f>IF(Table1[[#This Row],[Nationality]]="Nigeria",Table1[[#This Row],[EMJM Scholarship]],"Not Applicable")</f>
        <v>Not Applicable</v>
      </c>
    </row>
    <row r="1931" spans="1:10" ht="19.25" hidden="1" customHeight="1" x14ac:dyDescent="0.3">
      <c r="A1931" s="8">
        <v>2511719</v>
      </c>
      <c r="B1931" s="6" t="s">
        <v>80</v>
      </c>
      <c r="C1931" s="1" t="s">
        <v>9</v>
      </c>
      <c r="D1931" s="1" t="s">
        <v>9</v>
      </c>
      <c r="E1931" s="1" t="s">
        <v>9</v>
      </c>
      <c r="F1931" s="6"/>
      <c r="G1931" s="6"/>
      <c r="H1931" s="11"/>
      <c r="I193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31" t="str">
        <f>IF(Table1[[#This Row],[Nationality]]="Nigeria",Table1[[#This Row],[EMJM Scholarship]],"Not Applicable")</f>
        <v>Not Applicable</v>
      </c>
    </row>
    <row r="1932" spans="1:10" ht="19.25" hidden="1" customHeight="1" x14ac:dyDescent="0.3">
      <c r="A1932" s="8">
        <v>2511725</v>
      </c>
      <c r="B1932" s="6" t="s">
        <v>80</v>
      </c>
      <c r="C1932" s="1" t="s">
        <v>9</v>
      </c>
      <c r="D1932" s="1" t="s">
        <v>9</v>
      </c>
      <c r="E1932" s="1" t="s">
        <v>9</v>
      </c>
      <c r="F1932" s="6"/>
      <c r="G1932" s="6"/>
      <c r="H1932" s="11"/>
      <c r="I193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32" t="str">
        <f>IF(Table1[[#This Row],[Nationality]]="Nigeria",Table1[[#This Row],[EMJM Scholarship]],"Not Applicable")</f>
        <v>Not Applicable</v>
      </c>
    </row>
    <row r="1933" spans="1:10" ht="19.25" hidden="1" customHeight="1" x14ac:dyDescent="0.3">
      <c r="A1933" s="8">
        <v>2511731</v>
      </c>
      <c r="B1933" s="6" t="s">
        <v>80</v>
      </c>
      <c r="C1933" s="1" t="s">
        <v>9</v>
      </c>
      <c r="D1933" s="1" t="s">
        <v>9</v>
      </c>
      <c r="E1933" s="1" t="s">
        <v>9</v>
      </c>
      <c r="F1933" s="6"/>
      <c r="G1933" s="6"/>
      <c r="H1933" s="11"/>
      <c r="I193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33" t="str">
        <f>IF(Table1[[#This Row],[Nationality]]="Nigeria",Table1[[#This Row],[EMJM Scholarship]],"Not Applicable")</f>
        <v>Not Applicable</v>
      </c>
    </row>
    <row r="1934" spans="1:10" ht="19.25" hidden="1" customHeight="1" x14ac:dyDescent="0.3">
      <c r="A1934" s="8">
        <v>2511732</v>
      </c>
      <c r="B1934" s="6" t="s">
        <v>80</v>
      </c>
      <c r="C1934" s="1" t="s">
        <v>9</v>
      </c>
      <c r="D1934" s="1" t="s">
        <v>9</v>
      </c>
      <c r="E1934" s="1" t="s">
        <v>9</v>
      </c>
      <c r="F1934" s="6"/>
      <c r="G1934" s="6"/>
      <c r="H1934" s="11"/>
      <c r="I193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34" t="str">
        <f>IF(Table1[[#This Row],[Nationality]]="Nigeria",Table1[[#This Row],[EMJM Scholarship]],"Not Applicable")</f>
        <v>Not Applicable</v>
      </c>
    </row>
    <row r="1935" spans="1:10" ht="19.25" hidden="1" customHeight="1" x14ac:dyDescent="0.3">
      <c r="A1935" s="8">
        <v>2511738</v>
      </c>
      <c r="B1935" s="6" t="s">
        <v>80</v>
      </c>
      <c r="C1935" s="1" t="s">
        <v>9</v>
      </c>
      <c r="D1935" s="1" t="s">
        <v>9</v>
      </c>
      <c r="E1935" s="1" t="s">
        <v>9</v>
      </c>
      <c r="F1935" s="6"/>
      <c r="G1935" s="6"/>
      <c r="H1935" s="11"/>
      <c r="I193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35" t="str">
        <f>IF(Table1[[#This Row],[Nationality]]="Nigeria",Table1[[#This Row],[EMJM Scholarship]],"Not Applicable")</f>
        <v>Not Applicable</v>
      </c>
    </row>
    <row r="1936" spans="1:10" ht="19.25" hidden="1" customHeight="1" x14ac:dyDescent="0.3">
      <c r="A1936" s="8">
        <v>2511777</v>
      </c>
      <c r="B1936" s="6" t="s">
        <v>80</v>
      </c>
      <c r="C1936" s="1" t="s">
        <v>9</v>
      </c>
      <c r="D1936" s="1" t="s">
        <v>9</v>
      </c>
      <c r="E1936" s="1" t="s">
        <v>9</v>
      </c>
      <c r="F1936" s="6"/>
      <c r="G1936" s="6"/>
      <c r="H1936" s="11"/>
      <c r="I193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36" t="str">
        <f>IF(Table1[[#This Row],[Nationality]]="Nigeria",Table1[[#This Row],[EMJM Scholarship]],"Not Applicable")</f>
        <v>Not Applicable</v>
      </c>
    </row>
    <row r="1937" spans="1:10" ht="19.25" hidden="1" customHeight="1" x14ac:dyDescent="0.3">
      <c r="A1937" s="8">
        <v>2511781</v>
      </c>
      <c r="B1937" s="6" t="s">
        <v>80</v>
      </c>
      <c r="C1937" s="1" t="s">
        <v>9</v>
      </c>
      <c r="D1937" s="1" t="s">
        <v>9</v>
      </c>
      <c r="E1937" s="1" t="s">
        <v>9</v>
      </c>
      <c r="F1937" s="6"/>
      <c r="G1937" s="6"/>
      <c r="H1937" s="11"/>
      <c r="I193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37" t="str">
        <f>IF(Table1[[#This Row],[Nationality]]="Nigeria",Table1[[#This Row],[EMJM Scholarship]],"Not Applicable")</f>
        <v>Not Applicable</v>
      </c>
    </row>
    <row r="1938" spans="1:10" ht="19.25" hidden="1" customHeight="1" x14ac:dyDescent="0.3">
      <c r="A1938" s="8">
        <v>2511797</v>
      </c>
      <c r="B1938" s="6" t="s">
        <v>80</v>
      </c>
      <c r="C1938" s="1" t="s">
        <v>9</v>
      </c>
      <c r="D1938" s="1" t="s">
        <v>9</v>
      </c>
      <c r="E1938" s="1" t="s">
        <v>9</v>
      </c>
      <c r="F1938" s="6"/>
      <c r="G1938" s="6"/>
      <c r="H1938" s="11"/>
      <c r="I193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38" t="str">
        <f>IF(Table1[[#This Row],[Nationality]]="Nigeria",Table1[[#This Row],[EMJM Scholarship]],"Not Applicable")</f>
        <v>Not Applicable</v>
      </c>
    </row>
    <row r="1939" spans="1:10" ht="19.25" hidden="1" customHeight="1" x14ac:dyDescent="0.3">
      <c r="A1939" s="8">
        <v>2511825</v>
      </c>
      <c r="B1939" s="6" t="s">
        <v>80</v>
      </c>
      <c r="C1939" s="1" t="s">
        <v>9</v>
      </c>
      <c r="D1939" s="1" t="s">
        <v>9</v>
      </c>
      <c r="E1939" s="1" t="s">
        <v>9</v>
      </c>
      <c r="F1939" s="6"/>
      <c r="G1939" s="6"/>
      <c r="H1939" s="11"/>
      <c r="I193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39" t="str">
        <f>IF(Table1[[#This Row],[Nationality]]="Nigeria",Table1[[#This Row],[EMJM Scholarship]],"Not Applicable")</f>
        <v>Not Applicable</v>
      </c>
    </row>
    <row r="1940" spans="1:10" ht="19.25" hidden="1" customHeight="1" x14ac:dyDescent="0.3">
      <c r="A1940" s="8">
        <v>2511847</v>
      </c>
      <c r="B1940" s="6" t="s">
        <v>80</v>
      </c>
      <c r="C1940" s="1" t="s">
        <v>9</v>
      </c>
      <c r="D1940" s="1" t="s">
        <v>9</v>
      </c>
      <c r="E1940" s="1" t="s">
        <v>9</v>
      </c>
      <c r="F1940" s="6"/>
      <c r="G1940" s="6"/>
      <c r="H1940" s="11"/>
      <c r="I194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40" t="str">
        <f>IF(Table1[[#This Row],[Nationality]]="Nigeria",Table1[[#This Row],[EMJM Scholarship]],"Not Applicable")</f>
        <v>Not Applicable</v>
      </c>
    </row>
    <row r="1941" spans="1:10" ht="19.25" hidden="1" customHeight="1" x14ac:dyDescent="0.3">
      <c r="A1941" s="8">
        <v>2511848</v>
      </c>
      <c r="B1941" s="6" t="s">
        <v>80</v>
      </c>
      <c r="C1941" s="1" t="s">
        <v>9</v>
      </c>
      <c r="D1941" s="1" t="s">
        <v>9</v>
      </c>
      <c r="E1941" s="1" t="s">
        <v>9</v>
      </c>
      <c r="F1941" s="6"/>
      <c r="G1941" s="6"/>
      <c r="H1941" s="11"/>
      <c r="I194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41" t="str">
        <f>IF(Table1[[#This Row],[Nationality]]="Nigeria",Table1[[#This Row],[EMJM Scholarship]],"Not Applicable")</f>
        <v>Not Applicable</v>
      </c>
    </row>
    <row r="1942" spans="1:10" ht="19.25" hidden="1" customHeight="1" x14ac:dyDescent="0.3">
      <c r="A1942" s="8">
        <v>2511896</v>
      </c>
      <c r="B1942" s="6" t="s">
        <v>80</v>
      </c>
      <c r="C1942" s="1" t="s">
        <v>9</v>
      </c>
      <c r="D1942" s="1" t="s">
        <v>9</v>
      </c>
      <c r="E1942" s="1" t="s">
        <v>9</v>
      </c>
      <c r="F1942" s="6"/>
      <c r="G1942" s="6"/>
      <c r="H1942" s="11"/>
      <c r="I194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42" t="str">
        <f>IF(Table1[[#This Row],[Nationality]]="Nigeria",Table1[[#This Row],[EMJM Scholarship]],"Not Applicable")</f>
        <v>Not Applicable</v>
      </c>
    </row>
    <row r="1943" spans="1:10" ht="19.25" hidden="1" customHeight="1" x14ac:dyDescent="0.3">
      <c r="A1943" s="8">
        <v>2511957</v>
      </c>
      <c r="B1943" s="6" t="s">
        <v>80</v>
      </c>
      <c r="C1943" s="1" t="s">
        <v>9</v>
      </c>
      <c r="D1943" s="1" t="s">
        <v>9</v>
      </c>
      <c r="E1943" s="1" t="s">
        <v>9</v>
      </c>
      <c r="F1943" s="6"/>
      <c r="G1943" s="6"/>
      <c r="H1943" s="11"/>
      <c r="I194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43" t="str">
        <f>IF(Table1[[#This Row],[Nationality]]="Nigeria",Table1[[#This Row],[EMJM Scholarship]],"Not Applicable")</f>
        <v>Not Applicable</v>
      </c>
    </row>
    <row r="1944" spans="1:10" ht="19.25" hidden="1" customHeight="1" x14ac:dyDescent="0.3">
      <c r="A1944" s="8">
        <v>2511963</v>
      </c>
      <c r="B1944" s="6" t="s">
        <v>80</v>
      </c>
      <c r="C1944" s="1" t="s">
        <v>9</v>
      </c>
      <c r="D1944" s="1" t="s">
        <v>9</v>
      </c>
      <c r="E1944" s="1" t="s">
        <v>9</v>
      </c>
      <c r="F1944" s="6"/>
      <c r="G1944" s="6"/>
      <c r="H1944" s="11"/>
      <c r="I194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44" t="str">
        <f>IF(Table1[[#This Row],[Nationality]]="Nigeria",Table1[[#This Row],[EMJM Scholarship]],"Not Applicable")</f>
        <v>Not Applicable</v>
      </c>
    </row>
    <row r="1945" spans="1:10" ht="19.25" hidden="1" customHeight="1" x14ac:dyDescent="0.3">
      <c r="A1945" s="8">
        <v>2512036</v>
      </c>
      <c r="B1945" s="6" t="s">
        <v>80</v>
      </c>
      <c r="C1945" s="1" t="s">
        <v>9</v>
      </c>
      <c r="D1945" s="1" t="s">
        <v>9</v>
      </c>
      <c r="E1945" s="1" t="s">
        <v>9</v>
      </c>
      <c r="F1945" s="6"/>
      <c r="G1945" s="6"/>
      <c r="H1945" s="11"/>
      <c r="I194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45" t="str">
        <f>IF(Table1[[#This Row],[Nationality]]="Nigeria",Table1[[#This Row],[EMJM Scholarship]],"Not Applicable")</f>
        <v>Not Applicable</v>
      </c>
    </row>
    <row r="1946" spans="1:10" ht="19.25" hidden="1" customHeight="1" x14ac:dyDescent="0.3">
      <c r="A1946" s="8">
        <v>2512066</v>
      </c>
      <c r="B1946" s="6" t="s">
        <v>80</v>
      </c>
      <c r="C1946" s="1" t="s">
        <v>9</v>
      </c>
      <c r="D1946" s="1" t="s">
        <v>9</v>
      </c>
      <c r="E1946" s="1" t="s">
        <v>9</v>
      </c>
      <c r="F1946" s="6"/>
      <c r="G1946" s="6"/>
      <c r="H1946" s="11"/>
      <c r="I194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46" t="str">
        <f>IF(Table1[[#This Row],[Nationality]]="Nigeria",Table1[[#This Row],[EMJM Scholarship]],"Not Applicable")</f>
        <v>Not Applicable</v>
      </c>
    </row>
    <row r="1947" spans="1:10" ht="19.25" hidden="1" customHeight="1" x14ac:dyDescent="0.3">
      <c r="A1947" s="8">
        <v>2512070</v>
      </c>
      <c r="B1947" s="6" t="s">
        <v>80</v>
      </c>
      <c r="C1947" s="1" t="s">
        <v>9</v>
      </c>
      <c r="D1947" s="1" t="s">
        <v>9</v>
      </c>
      <c r="E1947" s="1" t="s">
        <v>9</v>
      </c>
      <c r="F1947" s="6"/>
      <c r="G1947" s="6"/>
      <c r="H1947" s="11"/>
      <c r="I194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47" t="str">
        <f>IF(Table1[[#This Row],[Nationality]]="Nigeria",Table1[[#This Row],[EMJM Scholarship]],"Not Applicable")</f>
        <v>Not Applicable</v>
      </c>
    </row>
    <row r="1948" spans="1:10" ht="19.25" hidden="1" customHeight="1" x14ac:dyDescent="0.3">
      <c r="A1948" s="8">
        <v>2512237</v>
      </c>
      <c r="B1948" s="6" t="s">
        <v>80</v>
      </c>
      <c r="C1948" s="1" t="s">
        <v>9</v>
      </c>
      <c r="D1948" s="1" t="s">
        <v>9</v>
      </c>
      <c r="E1948" s="1" t="s">
        <v>9</v>
      </c>
      <c r="F1948" s="6"/>
      <c r="G1948" s="6"/>
      <c r="H1948" s="11"/>
      <c r="I194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48" t="str">
        <f>IF(Table1[[#This Row],[Nationality]]="Nigeria",Table1[[#This Row],[EMJM Scholarship]],"Not Applicable")</f>
        <v>Not Applicable</v>
      </c>
    </row>
    <row r="1949" spans="1:10" ht="19.25" hidden="1" customHeight="1" x14ac:dyDescent="0.3">
      <c r="A1949" s="8">
        <v>2512335</v>
      </c>
      <c r="B1949" s="6" t="s">
        <v>80</v>
      </c>
      <c r="C1949" s="1" t="s">
        <v>9</v>
      </c>
      <c r="D1949" s="1" t="s">
        <v>9</v>
      </c>
      <c r="E1949" s="1" t="s">
        <v>9</v>
      </c>
      <c r="F1949" s="6"/>
      <c r="G1949" s="6"/>
      <c r="H1949" s="11"/>
      <c r="I194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49" t="str">
        <f>IF(Table1[[#This Row],[Nationality]]="Nigeria",Table1[[#This Row],[EMJM Scholarship]],"Not Applicable")</f>
        <v>Not Applicable</v>
      </c>
    </row>
    <row r="1950" spans="1:10" ht="19.25" hidden="1" customHeight="1" x14ac:dyDescent="0.3">
      <c r="A1950" s="8">
        <v>2512371</v>
      </c>
      <c r="B1950" s="6" t="s">
        <v>80</v>
      </c>
      <c r="C1950" s="1" t="s">
        <v>9</v>
      </c>
      <c r="D1950" s="1" t="s">
        <v>9</v>
      </c>
      <c r="E1950" s="1" t="s">
        <v>9</v>
      </c>
      <c r="F1950" s="6"/>
      <c r="G1950" s="6"/>
      <c r="H1950" s="11"/>
      <c r="I195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50" t="str">
        <f>IF(Table1[[#This Row],[Nationality]]="Nigeria",Table1[[#This Row],[EMJM Scholarship]],"Not Applicable")</f>
        <v>Not Applicable</v>
      </c>
    </row>
    <row r="1951" spans="1:10" ht="19.25" hidden="1" customHeight="1" x14ac:dyDescent="0.3">
      <c r="A1951" s="8">
        <v>2512436</v>
      </c>
      <c r="B1951" s="6" t="s">
        <v>80</v>
      </c>
      <c r="C1951" s="1" t="s">
        <v>9</v>
      </c>
      <c r="D1951" s="1" t="s">
        <v>9</v>
      </c>
      <c r="E1951" s="1" t="s">
        <v>9</v>
      </c>
      <c r="F1951" s="6"/>
      <c r="G1951" s="6"/>
      <c r="H1951" s="11"/>
      <c r="I195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51" t="str">
        <f>IF(Table1[[#This Row],[Nationality]]="Nigeria",Table1[[#This Row],[EMJM Scholarship]],"Not Applicable")</f>
        <v>Not Applicable</v>
      </c>
    </row>
    <row r="1952" spans="1:10" ht="19.25" hidden="1" customHeight="1" x14ac:dyDescent="0.3">
      <c r="A1952" s="8">
        <v>2512439</v>
      </c>
      <c r="B1952" s="6" t="s">
        <v>80</v>
      </c>
      <c r="C1952" s="1" t="s">
        <v>9</v>
      </c>
      <c r="D1952" s="1" t="s">
        <v>9</v>
      </c>
      <c r="E1952" s="1" t="s">
        <v>9</v>
      </c>
      <c r="F1952" s="6"/>
      <c r="G1952" s="6"/>
      <c r="H1952" s="11"/>
      <c r="I195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52" t="str">
        <f>IF(Table1[[#This Row],[Nationality]]="Nigeria",Table1[[#This Row],[EMJM Scholarship]],"Not Applicable")</f>
        <v>Not Applicable</v>
      </c>
    </row>
    <row r="1953" spans="1:10" ht="19.25" hidden="1" customHeight="1" x14ac:dyDescent="0.3">
      <c r="A1953" s="8">
        <v>2512558</v>
      </c>
      <c r="B1953" s="6" t="s">
        <v>80</v>
      </c>
      <c r="C1953" s="1" t="s">
        <v>9</v>
      </c>
      <c r="D1953" s="1" t="s">
        <v>9</v>
      </c>
      <c r="E1953" s="1" t="s">
        <v>9</v>
      </c>
      <c r="F1953" s="6"/>
      <c r="G1953" s="6"/>
      <c r="H1953" s="11"/>
      <c r="I195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53" t="str">
        <f>IF(Table1[[#This Row],[Nationality]]="Nigeria",Table1[[#This Row],[EMJM Scholarship]],"Not Applicable")</f>
        <v>Not Applicable</v>
      </c>
    </row>
    <row r="1954" spans="1:10" ht="19.25" hidden="1" customHeight="1" x14ac:dyDescent="0.3">
      <c r="A1954" s="8">
        <v>2512680</v>
      </c>
      <c r="B1954" s="6" t="s">
        <v>80</v>
      </c>
      <c r="C1954" s="1" t="s">
        <v>9</v>
      </c>
      <c r="D1954" s="1" t="s">
        <v>9</v>
      </c>
      <c r="E1954" s="1" t="s">
        <v>9</v>
      </c>
      <c r="F1954" s="6"/>
      <c r="G1954" s="6"/>
      <c r="H1954" s="11"/>
      <c r="I195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54" t="str">
        <f>IF(Table1[[#This Row],[Nationality]]="Nigeria",Table1[[#This Row],[EMJM Scholarship]],"Not Applicable")</f>
        <v>Not Applicable</v>
      </c>
    </row>
    <row r="1955" spans="1:10" ht="19.25" hidden="1" customHeight="1" x14ac:dyDescent="0.3">
      <c r="A1955" s="8">
        <v>2512724</v>
      </c>
      <c r="B1955" s="6" t="s">
        <v>80</v>
      </c>
      <c r="C1955" s="1" t="s">
        <v>9</v>
      </c>
      <c r="D1955" s="1" t="s">
        <v>9</v>
      </c>
      <c r="E1955" s="1" t="s">
        <v>9</v>
      </c>
      <c r="F1955" s="6"/>
      <c r="G1955" s="6"/>
      <c r="H1955" s="11"/>
      <c r="I195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55" t="str">
        <f>IF(Table1[[#This Row],[Nationality]]="Nigeria",Table1[[#This Row],[EMJM Scholarship]],"Not Applicable")</f>
        <v>Not Applicable</v>
      </c>
    </row>
    <row r="1956" spans="1:10" ht="19.25" hidden="1" customHeight="1" x14ac:dyDescent="0.3">
      <c r="A1956" s="8">
        <v>2512745</v>
      </c>
      <c r="B1956" s="6" t="s">
        <v>80</v>
      </c>
      <c r="C1956" s="1" t="s">
        <v>9</v>
      </c>
      <c r="D1956" s="1" t="s">
        <v>9</v>
      </c>
      <c r="E1956" s="1" t="s">
        <v>9</v>
      </c>
      <c r="F1956" s="6"/>
      <c r="G1956" s="6"/>
      <c r="H1956" s="11"/>
      <c r="I195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56" t="str">
        <f>IF(Table1[[#This Row],[Nationality]]="Nigeria",Table1[[#This Row],[EMJM Scholarship]],"Not Applicable")</f>
        <v>Not Applicable</v>
      </c>
    </row>
    <row r="1957" spans="1:10" ht="19.25" hidden="1" customHeight="1" x14ac:dyDescent="0.3">
      <c r="A1957" s="8">
        <v>2512759</v>
      </c>
      <c r="B1957" s="6" t="s">
        <v>80</v>
      </c>
      <c r="C1957" s="1" t="s">
        <v>9</v>
      </c>
      <c r="D1957" s="1" t="s">
        <v>9</v>
      </c>
      <c r="E1957" s="1" t="s">
        <v>9</v>
      </c>
      <c r="F1957" s="6"/>
      <c r="G1957" s="6"/>
      <c r="H1957" s="11"/>
      <c r="I195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57" t="str">
        <f>IF(Table1[[#This Row],[Nationality]]="Nigeria",Table1[[#This Row],[EMJM Scholarship]],"Not Applicable")</f>
        <v>Not Applicable</v>
      </c>
    </row>
    <row r="1958" spans="1:10" ht="19.25" hidden="1" customHeight="1" x14ac:dyDescent="0.3">
      <c r="A1958" s="8">
        <v>2512781</v>
      </c>
      <c r="B1958" s="6" t="s">
        <v>80</v>
      </c>
      <c r="C1958" s="1" t="s">
        <v>9</v>
      </c>
      <c r="D1958" s="1" t="s">
        <v>9</v>
      </c>
      <c r="E1958" s="1" t="s">
        <v>9</v>
      </c>
      <c r="F1958" s="6"/>
      <c r="G1958" s="6"/>
      <c r="H1958" s="11"/>
      <c r="I195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58" t="str">
        <f>IF(Table1[[#This Row],[Nationality]]="Nigeria",Table1[[#This Row],[EMJM Scholarship]],"Not Applicable")</f>
        <v>Not Applicable</v>
      </c>
    </row>
    <row r="1959" spans="1:10" ht="19.25" hidden="1" customHeight="1" x14ac:dyDescent="0.3">
      <c r="A1959" s="8">
        <v>2512945</v>
      </c>
      <c r="B1959" s="6" t="s">
        <v>80</v>
      </c>
      <c r="C1959" s="1" t="s">
        <v>9</v>
      </c>
      <c r="D1959" s="1" t="s">
        <v>9</v>
      </c>
      <c r="E1959" s="1" t="s">
        <v>9</v>
      </c>
      <c r="F1959" s="6"/>
      <c r="G1959" s="6"/>
      <c r="H1959" s="11"/>
      <c r="I195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59" t="str">
        <f>IF(Table1[[#This Row],[Nationality]]="Nigeria",Table1[[#This Row],[EMJM Scholarship]],"Not Applicable")</f>
        <v>Not Applicable</v>
      </c>
    </row>
    <row r="1960" spans="1:10" ht="19.25" hidden="1" customHeight="1" x14ac:dyDescent="0.3">
      <c r="A1960" s="8">
        <v>2513014</v>
      </c>
      <c r="B1960" s="6" t="s">
        <v>80</v>
      </c>
      <c r="C1960" s="1" t="s">
        <v>9</v>
      </c>
      <c r="D1960" s="1" t="s">
        <v>9</v>
      </c>
      <c r="E1960" s="1" t="s">
        <v>9</v>
      </c>
      <c r="F1960" s="6"/>
      <c r="G1960" s="6"/>
      <c r="H1960" s="11"/>
      <c r="I196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60" t="str">
        <f>IF(Table1[[#This Row],[Nationality]]="Nigeria",Table1[[#This Row],[EMJM Scholarship]],"Not Applicable")</f>
        <v>Not Applicable</v>
      </c>
    </row>
    <row r="1961" spans="1:10" ht="19.25" hidden="1" customHeight="1" x14ac:dyDescent="0.3">
      <c r="A1961" s="8">
        <v>2513024</v>
      </c>
      <c r="B1961" s="6" t="s">
        <v>80</v>
      </c>
      <c r="C1961" s="1" t="s">
        <v>9</v>
      </c>
      <c r="D1961" s="1" t="s">
        <v>9</v>
      </c>
      <c r="E1961" s="1" t="s">
        <v>9</v>
      </c>
      <c r="F1961" s="6"/>
      <c r="G1961" s="6"/>
      <c r="H1961" s="11"/>
      <c r="I196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61" t="str">
        <f>IF(Table1[[#This Row],[Nationality]]="Nigeria",Table1[[#This Row],[EMJM Scholarship]],"Not Applicable")</f>
        <v>Not Applicable</v>
      </c>
    </row>
    <row r="1962" spans="1:10" ht="19.25" hidden="1" customHeight="1" x14ac:dyDescent="0.3">
      <c r="A1962" s="8">
        <v>2513043</v>
      </c>
      <c r="B1962" s="6" t="s">
        <v>80</v>
      </c>
      <c r="C1962" s="1" t="s">
        <v>9</v>
      </c>
      <c r="D1962" s="1" t="s">
        <v>9</v>
      </c>
      <c r="E1962" s="1" t="s">
        <v>9</v>
      </c>
      <c r="F1962" s="6"/>
      <c r="G1962" s="6"/>
      <c r="H1962" s="11"/>
      <c r="I196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62" t="str">
        <f>IF(Table1[[#This Row],[Nationality]]="Nigeria",Table1[[#This Row],[EMJM Scholarship]],"Not Applicable")</f>
        <v>Not Applicable</v>
      </c>
    </row>
    <row r="1963" spans="1:10" ht="19.25" hidden="1" customHeight="1" x14ac:dyDescent="0.3">
      <c r="A1963" s="8">
        <v>2513055</v>
      </c>
      <c r="B1963" s="6" t="s">
        <v>80</v>
      </c>
      <c r="C1963" s="1" t="s">
        <v>9</v>
      </c>
      <c r="D1963" s="1" t="s">
        <v>9</v>
      </c>
      <c r="E1963" s="1" t="s">
        <v>9</v>
      </c>
      <c r="F1963" s="6"/>
      <c r="G1963" s="6"/>
      <c r="H1963" s="11"/>
      <c r="I196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63" t="str">
        <f>IF(Table1[[#This Row],[Nationality]]="Nigeria",Table1[[#This Row],[EMJM Scholarship]],"Not Applicable")</f>
        <v>Not Applicable</v>
      </c>
    </row>
    <row r="1964" spans="1:10" ht="19.25" hidden="1" customHeight="1" x14ac:dyDescent="0.3">
      <c r="A1964" s="8">
        <v>2513057</v>
      </c>
      <c r="B1964" s="6" t="s">
        <v>80</v>
      </c>
      <c r="C1964" s="1" t="s">
        <v>9</v>
      </c>
      <c r="D1964" s="1" t="s">
        <v>9</v>
      </c>
      <c r="E1964" s="1" t="s">
        <v>9</v>
      </c>
      <c r="F1964" s="6"/>
      <c r="G1964" s="6"/>
      <c r="H1964" s="11"/>
      <c r="I196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64" t="str">
        <f>IF(Table1[[#This Row],[Nationality]]="Nigeria",Table1[[#This Row],[EMJM Scholarship]],"Not Applicable")</f>
        <v>Not Applicable</v>
      </c>
    </row>
    <row r="1965" spans="1:10" ht="19.25" hidden="1" customHeight="1" x14ac:dyDescent="0.3">
      <c r="A1965" s="8">
        <v>2513156</v>
      </c>
      <c r="B1965" s="6" t="s">
        <v>80</v>
      </c>
      <c r="C1965" s="1" t="s">
        <v>9</v>
      </c>
      <c r="D1965" s="1" t="s">
        <v>9</v>
      </c>
      <c r="E1965" s="1" t="s">
        <v>9</v>
      </c>
      <c r="F1965" s="6"/>
      <c r="G1965" s="6"/>
      <c r="H1965" s="11"/>
      <c r="I196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65" t="str">
        <f>IF(Table1[[#This Row],[Nationality]]="Nigeria",Table1[[#This Row],[EMJM Scholarship]],"Not Applicable")</f>
        <v>Not Applicable</v>
      </c>
    </row>
    <row r="1966" spans="1:10" ht="19.25" hidden="1" customHeight="1" x14ac:dyDescent="0.3">
      <c r="A1966" s="8">
        <v>2513213</v>
      </c>
      <c r="B1966" s="6" t="s">
        <v>80</v>
      </c>
      <c r="C1966" s="1" t="s">
        <v>9</v>
      </c>
      <c r="D1966" s="1" t="s">
        <v>9</v>
      </c>
      <c r="E1966" s="1" t="s">
        <v>9</v>
      </c>
      <c r="F1966" s="6"/>
      <c r="G1966" s="6"/>
      <c r="H1966" s="11"/>
      <c r="I196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66" t="str">
        <f>IF(Table1[[#This Row],[Nationality]]="Nigeria",Table1[[#This Row],[EMJM Scholarship]],"Not Applicable")</f>
        <v>Not Applicable</v>
      </c>
    </row>
    <row r="1967" spans="1:10" ht="19.25" hidden="1" customHeight="1" x14ac:dyDescent="0.3">
      <c r="A1967" s="8">
        <v>2513309</v>
      </c>
      <c r="B1967" s="6" t="s">
        <v>80</v>
      </c>
      <c r="C1967" s="1" t="s">
        <v>9</v>
      </c>
      <c r="D1967" s="1" t="s">
        <v>9</v>
      </c>
      <c r="E1967" s="1" t="s">
        <v>9</v>
      </c>
      <c r="F1967" s="6"/>
      <c r="G1967" s="6"/>
      <c r="H1967" s="11"/>
      <c r="I196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67" t="str">
        <f>IF(Table1[[#This Row],[Nationality]]="Nigeria",Table1[[#This Row],[EMJM Scholarship]],"Not Applicable")</f>
        <v>Not Applicable</v>
      </c>
    </row>
    <row r="1968" spans="1:10" ht="19.25" hidden="1" customHeight="1" x14ac:dyDescent="0.3">
      <c r="A1968" s="8">
        <v>2513324</v>
      </c>
      <c r="B1968" s="6" t="s">
        <v>80</v>
      </c>
      <c r="C1968" s="1" t="s">
        <v>9</v>
      </c>
      <c r="D1968" s="1" t="s">
        <v>9</v>
      </c>
      <c r="E1968" s="1" t="s">
        <v>9</v>
      </c>
      <c r="F1968" s="6"/>
      <c r="G1968" s="6"/>
      <c r="H1968" s="11"/>
      <c r="I196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68" t="str">
        <f>IF(Table1[[#This Row],[Nationality]]="Nigeria",Table1[[#This Row],[EMJM Scholarship]],"Not Applicable")</f>
        <v>Not Applicable</v>
      </c>
    </row>
    <row r="1969" spans="1:10" ht="19.25" hidden="1" customHeight="1" x14ac:dyDescent="0.3">
      <c r="A1969" s="8">
        <v>2513339</v>
      </c>
      <c r="B1969" s="6" t="s">
        <v>80</v>
      </c>
      <c r="C1969" s="1" t="s">
        <v>9</v>
      </c>
      <c r="D1969" s="1" t="s">
        <v>9</v>
      </c>
      <c r="E1969" s="1" t="s">
        <v>9</v>
      </c>
      <c r="F1969" s="6"/>
      <c r="G1969" s="6"/>
      <c r="H1969" s="11"/>
      <c r="I196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69" t="str">
        <f>IF(Table1[[#This Row],[Nationality]]="Nigeria",Table1[[#This Row],[EMJM Scholarship]],"Not Applicable")</f>
        <v>Not Applicable</v>
      </c>
    </row>
    <row r="1970" spans="1:10" ht="19.25" hidden="1" customHeight="1" x14ac:dyDescent="0.3">
      <c r="A1970" s="8">
        <v>2513340</v>
      </c>
      <c r="B1970" s="6" t="s">
        <v>80</v>
      </c>
      <c r="C1970" s="1" t="s">
        <v>9</v>
      </c>
      <c r="D1970" s="1" t="s">
        <v>9</v>
      </c>
      <c r="E1970" s="1" t="s">
        <v>9</v>
      </c>
      <c r="F1970" s="6"/>
      <c r="G1970" s="6"/>
      <c r="H1970" s="11"/>
      <c r="I197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70" t="str">
        <f>IF(Table1[[#This Row],[Nationality]]="Nigeria",Table1[[#This Row],[EMJM Scholarship]],"Not Applicable")</f>
        <v>Not Applicable</v>
      </c>
    </row>
    <row r="1971" spans="1:10" ht="19.25" hidden="1" customHeight="1" x14ac:dyDescent="0.3">
      <c r="A1971" s="8">
        <v>2513375</v>
      </c>
      <c r="B1971" s="6" t="s">
        <v>80</v>
      </c>
      <c r="C1971" s="1" t="s">
        <v>9</v>
      </c>
      <c r="D1971" s="1" t="s">
        <v>9</v>
      </c>
      <c r="E1971" s="1" t="s">
        <v>9</v>
      </c>
      <c r="F1971" s="6"/>
      <c r="G1971" s="6"/>
      <c r="H1971" s="11"/>
      <c r="I197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71" t="str">
        <f>IF(Table1[[#This Row],[Nationality]]="Nigeria",Table1[[#This Row],[EMJM Scholarship]],"Not Applicable")</f>
        <v>Not Applicable</v>
      </c>
    </row>
    <row r="1972" spans="1:10" ht="19.25" hidden="1" customHeight="1" x14ac:dyDescent="0.3">
      <c r="A1972" s="8">
        <v>2513514</v>
      </c>
      <c r="B1972" s="6" t="s">
        <v>80</v>
      </c>
      <c r="C1972" s="1" t="s">
        <v>9</v>
      </c>
      <c r="D1972" s="1" t="s">
        <v>9</v>
      </c>
      <c r="E1972" s="1" t="s">
        <v>9</v>
      </c>
      <c r="F1972" s="6"/>
      <c r="G1972" s="6"/>
      <c r="H1972" s="11"/>
      <c r="I197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72" t="str">
        <f>IF(Table1[[#This Row],[Nationality]]="Nigeria",Table1[[#This Row],[EMJM Scholarship]],"Not Applicable")</f>
        <v>Not Applicable</v>
      </c>
    </row>
    <row r="1973" spans="1:10" ht="19.25" hidden="1" customHeight="1" x14ac:dyDescent="0.3">
      <c r="A1973" s="8">
        <v>2513563</v>
      </c>
      <c r="B1973" s="6" t="s">
        <v>80</v>
      </c>
      <c r="C1973" s="1" t="s">
        <v>9</v>
      </c>
      <c r="D1973" s="1" t="s">
        <v>9</v>
      </c>
      <c r="E1973" s="1" t="s">
        <v>9</v>
      </c>
      <c r="F1973" s="6"/>
      <c r="G1973" s="6"/>
      <c r="H1973" s="11"/>
      <c r="I197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73" t="str">
        <f>IF(Table1[[#This Row],[Nationality]]="Nigeria",Table1[[#This Row],[EMJM Scholarship]],"Not Applicable")</f>
        <v>Not Applicable</v>
      </c>
    </row>
    <row r="1974" spans="1:10" ht="19.25" hidden="1" customHeight="1" x14ac:dyDescent="0.3">
      <c r="A1974" s="8">
        <v>2513569</v>
      </c>
      <c r="B1974" s="6" t="s">
        <v>80</v>
      </c>
      <c r="C1974" s="1" t="s">
        <v>9</v>
      </c>
      <c r="D1974" s="1" t="s">
        <v>9</v>
      </c>
      <c r="E1974" s="1" t="s">
        <v>9</v>
      </c>
      <c r="F1974" s="6"/>
      <c r="G1974" s="6"/>
      <c r="H1974" s="11"/>
      <c r="I197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74" t="str">
        <f>IF(Table1[[#This Row],[Nationality]]="Nigeria",Table1[[#This Row],[EMJM Scholarship]],"Not Applicable")</f>
        <v>Not Applicable</v>
      </c>
    </row>
    <row r="1975" spans="1:10" ht="19.25" hidden="1" customHeight="1" x14ac:dyDescent="0.3">
      <c r="A1975" s="8">
        <v>2513606</v>
      </c>
      <c r="B1975" s="6" t="s">
        <v>80</v>
      </c>
      <c r="C1975" s="1" t="s">
        <v>9</v>
      </c>
      <c r="D1975" s="1" t="s">
        <v>9</v>
      </c>
      <c r="E1975" s="1" t="s">
        <v>9</v>
      </c>
      <c r="F1975" s="6"/>
      <c r="G1975" s="6"/>
      <c r="H1975" s="11"/>
      <c r="I197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75" t="str">
        <f>IF(Table1[[#This Row],[Nationality]]="Nigeria",Table1[[#This Row],[EMJM Scholarship]],"Not Applicable")</f>
        <v>Not Applicable</v>
      </c>
    </row>
    <row r="1976" spans="1:10" ht="19.25" hidden="1" customHeight="1" x14ac:dyDescent="0.3">
      <c r="A1976" s="8">
        <v>2513642</v>
      </c>
      <c r="B1976" s="6" t="s">
        <v>80</v>
      </c>
      <c r="C1976" s="1" t="s">
        <v>9</v>
      </c>
      <c r="D1976" s="1" t="s">
        <v>9</v>
      </c>
      <c r="E1976" s="1" t="s">
        <v>9</v>
      </c>
      <c r="F1976" s="6"/>
      <c r="G1976" s="6"/>
      <c r="H1976" s="11"/>
      <c r="I197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76" t="str">
        <f>IF(Table1[[#This Row],[Nationality]]="Nigeria",Table1[[#This Row],[EMJM Scholarship]],"Not Applicable")</f>
        <v>Not Applicable</v>
      </c>
    </row>
    <row r="1977" spans="1:10" ht="19.25" hidden="1" customHeight="1" x14ac:dyDescent="0.3">
      <c r="A1977" s="8">
        <v>2513724</v>
      </c>
      <c r="B1977" s="6" t="s">
        <v>80</v>
      </c>
      <c r="C1977" s="1" t="s">
        <v>9</v>
      </c>
      <c r="D1977" s="1" t="s">
        <v>9</v>
      </c>
      <c r="E1977" s="1" t="s">
        <v>9</v>
      </c>
      <c r="F1977" s="6"/>
      <c r="G1977" s="6"/>
      <c r="H1977" s="11"/>
      <c r="I197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77" t="str">
        <f>IF(Table1[[#This Row],[Nationality]]="Nigeria",Table1[[#This Row],[EMJM Scholarship]],"Not Applicable")</f>
        <v>Not Applicable</v>
      </c>
    </row>
    <row r="1978" spans="1:10" ht="19.25" hidden="1" customHeight="1" x14ac:dyDescent="0.3">
      <c r="A1978" s="8">
        <v>2513758</v>
      </c>
      <c r="B1978" s="6" t="s">
        <v>80</v>
      </c>
      <c r="C1978" s="1" t="s">
        <v>9</v>
      </c>
      <c r="D1978" s="1" t="s">
        <v>9</v>
      </c>
      <c r="E1978" s="1" t="s">
        <v>9</v>
      </c>
      <c r="F1978" s="6"/>
      <c r="G1978" s="6"/>
      <c r="H1978" s="11"/>
      <c r="I197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78" t="str">
        <f>IF(Table1[[#This Row],[Nationality]]="Nigeria",Table1[[#This Row],[EMJM Scholarship]],"Not Applicable")</f>
        <v>Not Applicable</v>
      </c>
    </row>
    <row r="1979" spans="1:10" ht="19.25" hidden="1" customHeight="1" x14ac:dyDescent="0.3">
      <c r="A1979" s="8">
        <v>2513768</v>
      </c>
      <c r="B1979" s="6" t="s">
        <v>80</v>
      </c>
      <c r="C1979" s="1" t="s">
        <v>9</v>
      </c>
      <c r="D1979" s="1" t="s">
        <v>9</v>
      </c>
      <c r="E1979" s="1" t="s">
        <v>9</v>
      </c>
      <c r="F1979" s="6"/>
      <c r="G1979" s="6"/>
      <c r="H1979" s="11"/>
      <c r="I197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79" t="str">
        <f>IF(Table1[[#This Row],[Nationality]]="Nigeria",Table1[[#This Row],[EMJM Scholarship]],"Not Applicable")</f>
        <v>Not Applicable</v>
      </c>
    </row>
    <row r="1980" spans="1:10" ht="19.25" hidden="1" customHeight="1" x14ac:dyDescent="0.3">
      <c r="A1980" s="8">
        <v>2513777</v>
      </c>
      <c r="B1980" s="6" t="s">
        <v>80</v>
      </c>
      <c r="C1980" s="1" t="s">
        <v>9</v>
      </c>
      <c r="D1980" s="1" t="s">
        <v>9</v>
      </c>
      <c r="E1980" s="1" t="s">
        <v>9</v>
      </c>
      <c r="F1980" s="6"/>
      <c r="G1980" s="6"/>
      <c r="H1980" s="11"/>
      <c r="I198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80" t="str">
        <f>IF(Table1[[#This Row],[Nationality]]="Nigeria",Table1[[#This Row],[EMJM Scholarship]],"Not Applicable")</f>
        <v>Not Applicable</v>
      </c>
    </row>
    <row r="1981" spans="1:10" ht="19.25" hidden="1" customHeight="1" x14ac:dyDescent="0.3">
      <c r="A1981" s="8">
        <v>2513965</v>
      </c>
      <c r="B1981" s="6" t="s">
        <v>80</v>
      </c>
      <c r="C1981" s="1" t="s">
        <v>9</v>
      </c>
      <c r="D1981" s="1" t="s">
        <v>9</v>
      </c>
      <c r="E1981" s="1" t="s">
        <v>9</v>
      </c>
      <c r="F1981" s="6"/>
      <c r="G1981" s="6"/>
      <c r="H1981" s="11"/>
      <c r="I198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81" t="str">
        <f>IF(Table1[[#This Row],[Nationality]]="Nigeria",Table1[[#This Row],[EMJM Scholarship]],"Not Applicable")</f>
        <v>Not Applicable</v>
      </c>
    </row>
    <row r="1982" spans="1:10" ht="19.25" hidden="1" customHeight="1" x14ac:dyDescent="0.3">
      <c r="A1982" s="8">
        <v>2513984</v>
      </c>
      <c r="B1982" s="6" t="s">
        <v>80</v>
      </c>
      <c r="C1982" s="1" t="s">
        <v>9</v>
      </c>
      <c r="D1982" s="1" t="s">
        <v>9</v>
      </c>
      <c r="E1982" s="1" t="s">
        <v>9</v>
      </c>
      <c r="F1982" s="6"/>
      <c r="G1982" s="6"/>
      <c r="H1982" s="11"/>
      <c r="I198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82" t="str">
        <f>IF(Table1[[#This Row],[Nationality]]="Nigeria",Table1[[#This Row],[EMJM Scholarship]],"Not Applicable")</f>
        <v>Not Applicable</v>
      </c>
    </row>
    <row r="1983" spans="1:10" ht="19.25" hidden="1" customHeight="1" x14ac:dyDescent="0.3">
      <c r="A1983" s="8">
        <v>2514086</v>
      </c>
      <c r="B1983" s="6" t="s">
        <v>80</v>
      </c>
      <c r="C1983" s="1" t="s">
        <v>9</v>
      </c>
      <c r="D1983" s="1" t="s">
        <v>9</v>
      </c>
      <c r="E1983" s="1" t="s">
        <v>9</v>
      </c>
      <c r="F1983" s="6"/>
      <c r="G1983" s="6"/>
      <c r="H1983" s="11"/>
      <c r="I198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83" t="str">
        <f>IF(Table1[[#This Row],[Nationality]]="Nigeria",Table1[[#This Row],[EMJM Scholarship]],"Not Applicable")</f>
        <v>Not Applicable</v>
      </c>
    </row>
    <row r="1984" spans="1:10" ht="19.25" hidden="1" customHeight="1" x14ac:dyDescent="0.3">
      <c r="A1984" s="8">
        <v>2514216</v>
      </c>
      <c r="B1984" s="6" t="s">
        <v>80</v>
      </c>
      <c r="C1984" s="1" t="s">
        <v>9</v>
      </c>
      <c r="D1984" s="1" t="s">
        <v>9</v>
      </c>
      <c r="E1984" s="1" t="s">
        <v>9</v>
      </c>
      <c r="F1984" s="6"/>
      <c r="G1984" s="6"/>
      <c r="H1984" s="11"/>
      <c r="I198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84" t="str">
        <f>IF(Table1[[#This Row],[Nationality]]="Nigeria",Table1[[#This Row],[EMJM Scholarship]],"Not Applicable")</f>
        <v>Not Applicable</v>
      </c>
    </row>
    <row r="1985" spans="1:10" ht="19.25" hidden="1" customHeight="1" x14ac:dyDescent="0.3">
      <c r="A1985" s="8">
        <v>2514334</v>
      </c>
      <c r="B1985" s="6" t="s">
        <v>80</v>
      </c>
      <c r="C1985" s="1" t="s">
        <v>9</v>
      </c>
      <c r="D1985" s="1" t="s">
        <v>9</v>
      </c>
      <c r="E1985" s="1" t="s">
        <v>9</v>
      </c>
      <c r="F1985" s="6"/>
      <c r="G1985" s="6"/>
      <c r="H1985" s="11"/>
      <c r="I198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85" t="str">
        <f>IF(Table1[[#This Row],[Nationality]]="Nigeria",Table1[[#This Row],[EMJM Scholarship]],"Not Applicable")</f>
        <v>Not Applicable</v>
      </c>
    </row>
    <row r="1986" spans="1:10" ht="19.25" hidden="1" customHeight="1" x14ac:dyDescent="0.3">
      <c r="A1986" s="8">
        <v>2514374</v>
      </c>
      <c r="B1986" s="6" t="s">
        <v>80</v>
      </c>
      <c r="C1986" s="1" t="s">
        <v>9</v>
      </c>
      <c r="D1986" s="1" t="s">
        <v>9</v>
      </c>
      <c r="E1986" s="1" t="s">
        <v>9</v>
      </c>
      <c r="F1986" s="6"/>
      <c r="G1986" s="6"/>
      <c r="H1986" s="11"/>
      <c r="I198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86" t="str">
        <f>IF(Table1[[#This Row],[Nationality]]="Nigeria",Table1[[#This Row],[EMJM Scholarship]],"Not Applicable")</f>
        <v>Not Applicable</v>
      </c>
    </row>
    <row r="1987" spans="1:10" ht="19.25" hidden="1" customHeight="1" x14ac:dyDescent="0.3">
      <c r="A1987" s="8">
        <v>2514382</v>
      </c>
      <c r="B1987" s="6" t="s">
        <v>80</v>
      </c>
      <c r="C1987" s="1" t="s">
        <v>9</v>
      </c>
      <c r="D1987" s="1" t="s">
        <v>9</v>
      </c>
      <c r="E1987" s="1" t="s">
        <v>9</v>
      </c>
      <c r="F1987" s="6"/>
      <c r="G1987" s="6"/>
      <c r="H1987" s="11"/>
      <c r="I198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87" t="str">
        <f>IF(Table1[[#This Row],[Nationality]]="Nigeria",Table1[[#This Row],[EMJM Scholarship]],"Not Applicable")</f>
        <v>Not Applicable</v>
      </c>
    </row>
    <row r="1988" spans="1:10" ht="19.25" hidden="1" customHeight="1" x14ac:dyDescent="0.3">
      <c r="A1988" s="8">
        <v>2514396</v>
      </c>
      <c r="B1988" s="6" t="s">
        <v>80</v>
      </c>
      <c r="C1988" s="1" t="s">
        <v>9</v>
      </c>
      <c r="D1988" s="1" t="s">
        <v>9</v>
      </c>
      <c r="E1988" s="1" t="s">
        <v>9</v>
      </c>
      <c r="F1988" s="6"/>
      <c r="G1988" s="6"/>
      <c r="H1988" s="11"/>
      <c r="I198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88" t="str">
        <f>IF(Table1[[#This Row],[Nationality]]="Nigeria",Table1[[#This Row],[EMJM Scholarship]],"Not Applicable")</f>
        <v>Not Applicable</v>
      </c>
    </row>
    <row r="1989" spans="1:10" ht="19.25" hidden="1" customHeight="1" x14ac:dyDescent="0.3">
      <c r="A1989" s="8">
        <v>2514423</v>
      </c>
      <c r="B1989" s="6" t="s">
        <v>80</v>
      </c>
      <c r="C1989" s="1" t="s">
        <v>9</v>
      </c>
      <c r="D1989" s="1" t="s">
        <v>9</v>
      </c>
      <c r="E1989" s="1" t="s">
        <v>9</v>
      </c>
      <c r="F1989" s="6"/>
      <c r="G1989" s="6"/>
      <c r="H1989" s="11"/>
      <c r="I198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89" t="str">
        <f>IF(Table1[[#This Row],[Nationality]]="Nigeria",Table1[[#This Row],[EMJM Scholarship]],"Not Applicable")</f>
        <v>Not Applicable</v>
      </c>
    </row>
    <row r="1990" spans="1:10" ht="19.25" hidden="1" customHeight="1" x14ac:dyDescent="0.3">
      <c r="A1990" s="8">
        <v>2514469</v>
      </c>
      <c r="B1990" s="6" t="s">
        <v>80</v>
      </c>
      <c r="C1990" s="1" t="s">
        <v>9</v>
      </c>
      <c r="D1990" s="1" t="s">
        <v>9</v>
      </c>
      <c r="E1990" s="1" t="s">
        <v>9</v>
      </c>
      <c r="F1990" s="6"/>
      <c r="G1990" s="6"/>
      <c r="H1990" s="11"/>
      <c r="I199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90" t="str">
        <f>IF(Table1[[#This Row],[Nationality]]="Nigeria",Table1[[#This Row],[EMJM Scholarship]],"Not Applicable")</f>
        <v>Not Applicable</v>
      </c>
    </row>
    <row r="1991" spans="1:10" ht="19.25" hidden="1" customHeight="1" x14ac:dyDescent="0.3">
      <c r="A1991" s="8">
        <v>2514478</v>
      </c>
      <c r="B1991" s="6" t="s">
        <v>80</v>
      </c>
      <c r="C1991" s="1" t="s">
        <v>9</v>
      </c>
      <c r="D1991" s="1" t="s">
        <v>9</v>
      </c>
      <c r="E1991" s="1" t="s">
        <v>9</v>
      </c>
      <c r="F1991" s="6"/>
      <c r="G1991" s="6"/>
      <c r="H1991" s="11"/>
      <c r="I199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91" t="str">
        <f>IF(Table1[[#This Row],[Nationality]]="Nigeria",Table1[[#This Row],[EMJM Scholarship]],"Not Applicable")</f>
        <v>Not Applicable</v>
      </c>
    </row>
    <row r="1992" spans="1:10" ht="19.25" hidden="1" customHeight="1" x14ac:dyDescent="0.3">
      <c r="A1992" s="8">
        <v>2514505</v>
      </c>
      <c r="B1992" s="6" t="s">
        <v>80</v>
      </c>
      <c r="C1992" s="1" t="s">
        <v>9</v>
      </c>
      <c r="D1992" s="1" t="s">
        <v>9</v>
      </c>
      <c r="E1992" s="1" t="s">
        <v>9</v>
      </c>
      <c r="F1992" s="6"/>
      <c r="G1992" s="6"/>
      <c r="H1992" s="11"/>
      <c r="I199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92" t="str">
        <f>IF(Table1[[#This Row],[Nationality]]="Nigeria",Table1[[#This Row],[EMJM Scholarship]],"Not Applicable")</f>
        <v>Not Applicable</v>
      </c>
    </row>
    <row r="1993" spans="1:10" ht="19.25" hidden="1" customHeight="1" x14ac:dyDescent="0.3">
      <c r="A1993" s="8">
        <v>2514547</v>
      </c>
      <c r="B1993" s="6" t="s">
        <v>80</v>
      </c>
      <c r="C1993" s="1" t="s">
        <v>9</v>
      </c>
      <c r="D1993" s="1" t="s">
        <v>9</v>
      </c>
      <c r="E1993" s="1" t="s">
        <v>9</v>
      </c>
      <c r="F1993" s="6"/>
      <c r="G1993" s="6"/>
      <c r="H1993" s="11"/>
      <c r="I199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93" t="str">
        <f>IF(Table1[[#This Row],[Nationality]]="Nigeria",Table1[[#This Row],[EMJM Scholarship]],"Not Applicable")</f>
        <v>Not Applicable</v>
      </c>
    </row>
    <row r="1994" spans="1:10" ht="19.25" hidden="1" customHeight="1" x14ac:dyDescent="0.3">
      <c r="A1994" s="8">
        <v>2514567</v>
      </c>
      <c r="B1994" s="6" t="s">
        <v>80</v>
      </c>
      <c r="C1994" s="1" t="s">
        <v>9</v>
      </c>
      <c r="D1994" s="1" t="s">
        <v>9</v>
      </c>
      <c r="E1994" s="1" t="s">
        <v>9</v>
      </c>
      <c r="F1994" s="6"/>
      <c r="G1994" s="6"/>
      <c r="H1994" s="11"/>
      <c r="I199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94" t="str">
        <f>IF(Table1[[#This Row],[Nationality]]="Nigeria",Table1[[#This Row],[EMJM Scholarship]],"Not Applicable")</f>
        <v>Not Applicable</v>
      </c>
    </row>
    <row r="1995" spans="1:10" ht="19.25" hidden="1" customHeight="1" x14ac:dyDescent="0.3">
      <c r="A1995" s="8">
        <v>2514592</v>
      </c>
      <c r="B1995" s="6" t="s">
        <v>80</v>
      </c>
      <c r="C1995" s="1" t="s">
        <v>9</v>
      </c>
      <c r="D1995" s="1" t="s">
        <v>9</v>
      </c>
      <c r="E1995" s="1" t="s">
        <v>9</v>
      </c>
      <c r="F1995" s="6"/>
      <c r="G1995" s="6"/>
      <c r="H1995" s="11"/>
      <c r="I199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95" t="str">
        <f>IF(Table1[[#This Row],[Nationality]]="Nigeria",Table1[[#This Row],[EMJM Scholarship]],"Not Applicable")</f>
        <v>Not Applicable</v>
      </c>
    </row>
    <row r="1996" spans="1:10" ht="19.25" hidden="1" customHeight="1" x14ac:dyDescent="0.3">
      <c r="A1996" s="8">
        <v>2514633</v>
      </c>
      <c r="B1996" s="6" t="s">
        <v>80</v>
      </c>
      <c r="C1996" s="1" t="s">
        <v>9</v>
      </c>
      <c r="D1996" s="1" t="s">
        <v>9</v>
      </c>
      <c r="E1996" s="1" t="s">
        <v>9</v>
      </c>
      <c r="F1996" s="6"/>
      <c r="G1996" s="6"/>
      <c r="H1996" s="11"/>
      <c r="I199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96" t="str">
        <f>IF(Table1[[#This Row],[Nationality]]="Nigeria",Table1[[#This Row],[EMJM Scholarship]],"Not Applicable")</f>
        <v>Not Applicable</v>
      </c>
    </row>
    <row r="1997" spans="1:10" ht="19.25" hidden="1" customHeight="1" x14ac:dyDescent="0.3">
      <c r="A1997" s="8">
        <v>2514666</v>
      </c>
      <c r="B1997" s="6" t="s">
        <v>80</v>
      </c>
      <c r="C1997" s="1" t="s">
        <v>9</v>
      </c>
      <c r="D1997" s="1" t="s">
        <v>9</v>
      </c>
      <c r="E1997" s="1" t="s">
        <v>9</v>
      </c>
      <c r="F1997" s="6"/>
      <c r="G1997" s="6"/>
      <c r="H1997" s="11"/>
      <c r="I199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97" t="str">
        <f>IF(Table1[[#This Row],[Nationality]]="Nigeria",Table1[[#This Row],[EMJM Scholarship]],"Not Applicable")</f>
        <v>Not Applicable</v>
      </c>
    </row>
    <row r="1998" spans="1:10" ht="19.25" hidden="1" customHeight="1" x14ac:dyDescent="0.3">
      <c r="A1998" s="8">
        <v>2514755</v>
      </c>
      <c r="B1998" s="6" t="s">
        <v>80</v>
      </c>
      <c r="C1998" s="1" t="s">
        <v>9</v>
      </c>
      <c r="D1998" s="1" t="s">
        <v>9</v>
      </c>
      <c r="E1998" s="1" t="s">
        <v>9</v>
      </c>
      <c r="F1998" s="6"/>
      <c r="G1998" s="6"/>
      <c r="H1998" s="11"/>
      <c r="I199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98" t="str">
        <f>IF(Table1[[#This Row],[Nationality]]="Nigeria",Table1[[#This Row],[EMJM Scholarship]],"Not Applicable")</f>
        <v>Not Applicable</v>
      </c>
    </row>
    <row r="1999" spans="1:10" ht="19.25" hidden="1" customHeight="1" x14ac:dyDescent="0.3">
      <c r="A1999" s="8">
        <v>2514790</v>
      </c>
      <c r="B1999" s="6" t="s">
        <v>80</v>
      </c>
      <c r="C1999" s="1" t="s">
        <v>9</v>
      </c>
      <c r="D1999" s="1" t="s">
        <v>9</v>
      </c>
      <c r="E1999" s="1" t="s">
        <v>9</v>
      </c>
      <c r="F1999" s="6"/>
      <c r="G1999" s="6"/>
      <c r="H1999" s="11"/>
      <c r="I199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1999" t="str">
        <f>IF(Table1[[#This Row],[Nationality]]="Nigeria",Table1[[#This Row],[EMJM Scholarship]],"Not Applicable")</f>
        <v>Not Applicable</v>
      </c>
    </row>
    <row r="2000" spans="1:10" ht="19.25" hidden="1" customHeight="1" x14ac:dyDescent="0.3">
      <c r="A2000" s="8">
        <v>2514791</v>
      </c>
      <c r="B2000" s="6" t="s">
        <v>80</v>
      </c>
      <c r="C2000" s="1" t="s">
        <v>9</v>
      </c>
      <c r="D2000" s="1" t="s">
        <v>9</v>
      </c>
      <c r="E2000" s="1" t="s">
        <v>9</v>
      </c>
      <c r="F2000" s="6"/>
      <c r="G2000" s="6"/>
      <c r="H2000" s="11"/>
      <c r="I200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00" t="str">
        <f>IF(Table1[[#This Row],[Nationality]]="Nigeria",Table1[[#This Row],[EMJM Scholarship]],"Not Applicable")</f>
        <v>Not Applicable</v>
      </c>
    </row>
    <row r="2001" spans="1:10" ht="19.25" hidden="1" customHeight="1" x14ac:dyDescent="0.3">
      <c r="A2001" s="8">
        <v>2514795</v>
      </c>
      <c r="B2001" s="6" t="s">
        <v>80</v>
      </c>
      <c r="C2001" s="1" t="s">
        <v>9</v>
      </c>
      <c r="D2001" s="1" t="s">
        <v>9</v>
      </c>
      <c r="E2001" s="1" t="s">
        <v>9</v>
      </c>
      <c r="F2001" s="6"/>
      <c r="G2001" s="6"/>
      <c r="H2001" s="11"/>
      <c r="I200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01" t="str">
        <f>IF(Table1[[#This Row],[Nationality]]="Nigeria",Table1[[#This Row],[EMJM Scholarship]],"Not Applicable")</f>
        <v>Not Applicable</v>
      </c>
    </row>
    <row r="2002" spans="1:10" ht="19.25" hidden="1" customHeight="1" x14ac:dyDescent="0.3">
      <c r="A2002" s="8">
        <v>2514801</v>
      </c>
      <c r="B2002" s="6" t="s">
        <v>80</v>
      </c>
      <c r="C2002" s="1" t="s">
        <v>9</v>
      </c>
      <c r="D2002" s="1" t="s">
        <v>9</v>
      </c>
      <c r="E2002" s="1" t="s">
        <v>9</v>
      </c>
      <c r="F2002" s="6"/>
      <c r="G2002" s="6"/>
      <c r="H2002" s="11"/>
      <c r="I200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02" t="str">
        <f>IF(Table1[[#This Row],[Nationality]]="Nigeria",Table1[[#This Row],[EMJM Scholarship]],"Not Applicable")</f>
        <v>Not Applicable</v>
      </c>
    </row>
    <row r="2003" spans="1:10" ht="19.25" hidden="1" customHeight="1" x14ac:dyDescent="0.3">
      <c r="A2003" s="8">
        <v>2514804</v>
      </c>
      <c r="B2003" s="6" t="s">
        <v>80</v>
      </c>
      <c r="C2003" s="1" t="s">
        <v>9</v>
      </c>
      <c r="D2003" s="1" t="s">
        <v>9</v>
      </c>
      <c r="E2003" s="1" t="s">
        <v>9</v>
      </c>
      <c r="F2003" s="6"/>
      <c r="G2003" s="6"/>
      <c r="H2003" s="11"/>
      <c r="I200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03" t="str">
        <f>IF(Table1[[#This Row],[Nationality]]="Nigeria",Table1[[#This Row],[EMJM Scholarship]],"Not Applicable")</f>
        <v>Not Applicable</v>
      </c>
    </row>
    <row r="2004" spans="1:10" ht="19.25" hidden="1" customHeight="1" x14ac:dyDescent="0.3">
      <c r="A2004" s="8">
        <v>2514874</v>
      </c>
      <c r="B2004" s="6" t="s">
        <v>80</v>
      </c>
      <c r="C2004" s="1" t="s">
        <v>9</v>
      </c>
      <c r="D2004" s="1" t="s">
        <v>9</v>
      </c>
      <c r="E2004" s="1" t="s">
        <v>9</v>
      </c>
      <c r="F2004" s="6"/>
      <c r="G2004" s="6"/>
      <c r="H2004" s="11"/>
      <c r="I200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04" t="str">
        <f>IF(Table1[[#This Row],[Nationality]]="Nigeria",Table1[[#This Row],[EMJM Scholarship]],"Not Applicable")</f>
        <v>Not Applicable</v>
      </c>
    </row>
    <row r="2005" spans="1:10" ht="19.25" hidden="1" customHeight="1" x14ac:dyDescent="0.3">
      <c r="A2005" s="8">
        <v>2514877</v>
      </c>
      <c r="B2005" s="6" t="s">
        <v>80</v>
      </c>
      <c r="C2005" s="1" t="s">
        <v>9</v>
      </c>
      <c r="D2005" s="1" t="s">
        <v>9</v>
      </c>
      <c r="E2005" s="1" t="s">
        <v>9</v>
      </c>
      <c r="F2005" s="6"/>
      <c r="G2005" s="6"/>
      <c r="H2005" s="11"/>
      <c r="I200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05" t="str">
        <f>IF(Table1[[#This Row],[Nationality]]="Nigeria",Table1[[#This Row],[EMJM Scholarship]],"Not Applicable")</f>
        <v>Not Applicable</v>
      </c>
    </row>
    <row r="2006" spans="1:10" ht="19.25" hidden="1" customHeight="1" x14ac:dyDescent="0.3">
      <c r="A2006" s="8">
        <v>2514888</v>
      </c>
      <c r="B2006" s="6" t="s">
        <v>80</v>
      </c>
      <c r="C2006" s="1" t="s">
        <v>9</v>
      </c>
      <c r="D2006" s="1" t="s">
        <v>9</v>
      </c>
      <c r="E2006" s="1" t="s">
        <v>9</v>
      </c>
      <c r="F2006" s="6"/>
      <c r="G2006" s="6"/>
      <c r="H2006" s="11"/>
      <c r="I200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06" t="str">
        <f>IF(Table1[[#This Row],[Nationality]]="Nigeria",Table1[[#This Row],[EMJM Scholarship]],"Not Applicable")</f>
        <v>Not Applicable</v>
      </c>
    </row>
    <row r="2007" spans="1:10" ht="19.25" hidden="1" customHeight="1" x14ac:dyDescent="0.3">
      <c r="A2007" s="8">
        <v>2514922</v>
      </c>
      <c r="B2007" s="6" t="s">
        <v>80</v>
      </c>
      <c r="C2007" s="1" t="s">
        <v>9</v>
      </c>
      <c r="D2007" s="1" t="s">
        <v>9</v>
      </c>
      <c r="E2007" s="1" t="s">
        <v>9</v>
      </c>
      <c r="F2007" s="6"/>
      <c r="G2007" s="6"/>
      <c r="H2007" s="11"/>
      <c r="I200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07" t="str">
        <f>IF(Table1[[#This Row],[Nationality]]="Nigeria",Table1[[#This Row],[EMJM Scholarship]],"Not Applicable")</f>
        <v>Not Applicable</v>
      </c>
    </row>
    <row r="2008" spans="1:10" ht="19.25" hidden="1" customHeight="1" x14ac:dyDescent="0.3">
      <c r="A2008" s="8">
        <v>2514928</v>
      </c>
      <c r="B2008" s="6" t="s">
        <v>80</v>
      </c>
      <c r="C2008" s="1" t="s">
        <v>9</v>
      </c>
      <c r="D2008" s="1" t="s">
        <v>9</v>
      </c>
      <c r="E2008" s="1" t="s">
        <v>9</v>
      </c>
      <c r="F2008" s="6"/>
      <c r="G2008" s="6"/>
      <c r="H2008" s="11"/>
      <c r="I200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08" t="str">
        <f>IF(Table1[[#This Row],[Nationality]]="Nigeria",Table1[[#This Row],[EMJM Scholarship]],"Not Applicable")</f>
        <v>Not Applicable</v>
      </c>
    </row>
    <row r="2009" spans="1:10" ht="19.25" hidden="1" customHeight="1" x14ac:dyDescent="0.3">
      <c r="A2009" s="8">
        <v>2514934</v>
      </c>
      <c r="B2009" s="6" t="s">
        <v>80</v>
      </c>
      <c r="C2009" s="1" t="s">
        <v>9</v>
      </c>
      <c r="D2009" s="1" t="s">
        <v>9</v>
      </c>
      <c r="E2009" s="1" t="s">
        <v>9</v>
      </c>
      <c r="F2009" s="6"/>
      <c r="G2009" s="6"/>
      <c r="H2009" s="11"/>
      <c r="I200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09" t="str">
        <f>IF(Table1[[#This Row],[Nationality]]="Nigeria",Table1[[#This Row],[EMJM Scholarship]],"Not Applicable")</f>
        <v>Not Applicable</v>
      </c>
    </row>
    <row r="2010" spans="1:10" ht="19.25" hidden="1" customHeight="1" x14ac:dyDescent="0.3">
      <c r="A2010" s="8">
        <v>2514944</v>
      </c>
      <c r="B2010" s="6" t="s">
        <v>80</v>
      </c>
      <c r="C2010" s="1" t="s">
        <v>9</v>
      </c>
      <c r="D2010" s="1" t="s">
        <v>9</v>
      </c>
      <c r="E2010" s="1" t="s">
        <v>9</v>
      </c>
      <c r="F2010" s="6"/>
      <c r="G2010" s="6"/>
      <c r="H2010" s="11"/>
      <c r="I201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10" t="str">
        <f>IF(Table1[[#This Row],[Nationality]]="Nigeria",Table1[[#This Row],[EMJM Scholarship]],"Not Applicable")</f>
        <v>Not Applicable</v>
      </c>
    </row>
    <row r="2011" spans="1:10" ht="19.25" hidden="1" customHeight="1" x14ac:dyDescent="0.3">
      <c r="A2011" s="8">
        <v>2514945</v>
      </c>
      <c r="B2011" s="6" t="s">
        <v>80</v>
      </c>
      <c r="C2011" s="1" t="s">
        <v>9</v>
      </c>
      <c r="D2011" s="1" t="s">
        <v>9</v>
      </c>
      <c r="E2011" s="1" t="s">
        <v>9</v>
      </c>
      <c r="F2011" s="6"/>
      <c r="G2011" s="6"/>
      <c r="H2011" s="11"/>
      <c r="I201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11" t="str">
        <f>IF(Table1[[#This Row],[Nationality]]="Nigeria",Table1[[#This Row],[EMJM Scholarship]],"Not Applicable")</f>
        <v>Not Applicable</v>
      </c>
    </row>
    <row r="2012" spans="1:10" ht="19.25" hidden="1" customHeight="1" x14ac:dyDescent="0.3">
      <c r="A2012" s="8">
        <v>2514951</v>
      </c>
      <c r="B2012" s="6" t="s">
        <v>80</v>
      </c>
      <c r="C2012" s="1" t="s">
        <v>9</v>
      </c>
      <c r="D2012" s="1" t="s">
        <v>9</v>
      </c>
      <c r="E2012" s="1" t="s">
        <v>9</v>
      </c>
      <c r="F2012" s="6"/>
      <c r="G2012" s="6"/>
      <c r="H2012" s="11"/>
      <c r="I201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12" t="str">
        <f>IF(Table1[[#This Row],[Nationality]]="Nigeria",Table1[[#This Row],[EMJM Scholarship]],"Not Applicable")</f>
        <v>Not Applicable</v>
      </c>
    </row>
    <row r="2013" spans="1:10" ht="19.25" hidden="1" customHeight="1" x14ac:dyDescent="0.3">
      <c r="A2013" s="8">
        <v>2514957</v>
      </c>
      <c r="B2013" s="6" t="s">
        <v>80</v>
      </c>
      <c r="C2013" s="1" t="s">
        <v>9</v>
      </c>
      <c r="D2013" s="1" t="s">
        <v>9</v>
      </c>
      <c r="E2013" s="1" t="s">
        <v>9</v>
      </c>
      <c r="F2013" s="6"/>
      <c r="G2013" s="6"/>
      <c r="H2013" s="11"/>
      <c r="I201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13" t="str">
        <f>IF(Table1[[#This Row],[Nationality]]="Nigeria",Table1[[#This Row],[EMJM Scholarship]],"Not Applicable")</f>
        <v>Not Applicable</v>
      </c>
    </row>
    <row r="2014" spans="1:10" ht="19.25" hidden="1" customHeight="1" x14ac:dyDescent="0.3">
      <c r="A2014" s="8">
        <v>2514962</v>
      </c>
      <c r="B2014" s="6" t="s">
        <v>80</v>
      </c>
      <c r="C2014" s="1" t="s">
        <v>9</v>
      </c>
      <c r="D2014" s="1" t="s">
        <v>9</v>
      </c>
      <c r="E2014" s="1" t="s">
        <v>9</v>
      </c>
      <c r="F2014" s="6"/>
      <c r="G2014" s="6"/>
      <c r="H2014" s="11"/>
      <c r="I201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14" t="str">
        <f>IF(Table1[[#This Row],[Nationality]]="Nigeria",Table1[[#This Row],[EMJM Scholarship]],"Not Applicable")</f>
        <v>Not Applicable</v>
      </c>
    </row>
    <row r="2015" spans="1:10" ht="19.25" hidden="1" customHeight="1" x14ac:dyDescent="0.3">
      <c r="A2015" s="8">
        <v>2515036</v>
      </c>
      <c r="B2015" s="6" t="s">
        <v>80</v>
      </c>
      <c r="C2015" s="1" t="s">
        <v>9</v>
      </c>
      <c r="D2015" s="1" t="s">
        <v>9</v>
      </c>
      <c r="E2015" s="1" t="s">
        <v>9</v>
      </c>
      <c r="F2015" s="6"/>
      <c r="G2015" s="6"/>
      <c r="H2015" s="11"/>
      <c r="I201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15" t="str">
        <f>IF(Table1[[#This Row],[Nationality]]="Nigeria",Table1[[#This Row],[EMJM Scholarship]],"Not Applicable")</f>
        <v>Not Applicable</v>
      </c>
    </row>
    <row r="2016" spans="1:10" ht="19.25" hidden="1" customHeight="1" x14ac:dyDescent="0.3">
      <c r="A2016" s="8">
        <v>2515067</v>
      </c>
      <c r="B2016" s="6" t="s">
        <v>80</v>
      </c>
      <c r="C2016" s="1" t="s">
        <v>9</v>
      </c>
      <c r="D2016" s="1" t="s">
        <v>9</v>
      </c>
      <c r="E2016" s="1" t="s">
        <v>9</v>
      </c>
      <c r="F2016" s="6"/>
      <c r="G2016" s="6"/>
      <c r="H2016" s="11"/>
      <c r="I201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16" t="str">
        <f>IF(Table1[[#This Row],[Nationality]]="Nigeria",Table1[[#This Row],[EMJM Scholarship]],"Not Applicable")</f>
        <v>Not Applicable</v>
      </c>
    </row>
    <row r="2017" spans="1:10" ht="19.25" hidden="1" customHeight="1" x14ac:dyDescent="0.3">
      <c r="A2017" s="8">
        <v>2515108</v>
      </c>
      <c r="B2017" s="6" t="s">
        <v>80</v>
      </c>
      <c r="C2017" s="1" t="s">
        <v>9</v>
      </c>
      <c r="D2017" s="1" t="s">
        <v>9</v>
      </c>
      <c r="E2017" s="1" t="s">
        <v>9</v>
      </c>
      <c r="F2017" s="6"/>
      <c r="G2017" s="6"/>
      <c r="H2017" s="11"/>
      <c r="I201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17" t="str">
        <f>IF(Table1[[#This Row],[Nationality]]="Nigeria",Table1[[#This Row],[EMJM Scholarship]],"Not Applicable")</f>
        <v>Not Applicable</v>
      </c>
    </row>
    <row r="2018" spans="1:10" ht="19.25" hidden="1" customHeight="1" x14ac:dyDescent="0.3">
      <c r="A2018" s="8">
        <v>2515115</v>
      </c>
      <c r="B2018" s="6" t="s">
        <v>80</v>
      </c>
      <c r="C2018" s="1" t="s">
        <v>9</v>
      </c>
      <c r="D2018" s="1" t="s">
        <v>9</v>
      </c>
      <c r="E2018" s="1" t="s">
        <v>9</v>
      </c>
      <c r="F2018" s="6"/>
      <c r="G2018" s="6"/>
      <c r="H2018" s="11"/>
      <c r="I201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18" t="str">
        <f>IF(Table1[[#This Row],[Nationality]]="Nigeria",Table1[[#This Row],[EMJM Scholarship]],"Not Applicable")</f>
        <v>Not Applicable</v>
      </c>
    </row>
    <row r="2019" spans="1:10" ht="19.25" hidden="1" customHeight="1" x14ac:dyDescent="0.3">
      <c r="A2019" s="8">
        <v>2515247</v>
      </c>
      <c r="B2019" s="6" t="s">
        <v>80</v>
      </c>
      <c r="C2019" s="1" t="s">
        <v>9</v>
      </c>
      <c r="D2019" s="1" t="s">
        <v>9</v>
      </c>
      <c r="E2019" s="1" t="s">
        <v>9</v>
      </c>
      <c r="F2019" s="6"/>
      <c r="G2019" s="6"/>
      <c r="H2019" s="11"/>
      <c r="I201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19" t="str">
        <f>IF(Table1[[#This Row],[Nationality]]="Nigeria",Table1[[#This Row],[EMJM Scholarship]],"Not Applicable")</f>
        <v>Not Applicable</v>
      </c>
    </row>
    <row r="2020" spans="1:10" ht="19.25" hidden="1" customHeight="1" x14ac:dyDescent="0.3">
      <c r="A2020" s="8">
        <v>2515313</v>
      </c>
      <c r="B2020" s="6" t="s">
        <v>80</v>
      </c>
      <c r="C2020" s="1" t="s">
        <v>9</v>
      </c>
      <c r="D2020" s="1" t="s">
        <v>9</v>
      </c>
      <c r="E2020" s="1" t="s">
        <v>9</v>
      </c>
      <c r="F2020" s="6"/>
      <c r="G2020" s="6"/>
      <c r="H2020" s="11"/>
      <c r="I202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20" t="str">
        <f>IF(Table1[[#This Row],[Nationality]]="Nigeria",Table1[[#This Row],[EMJM Scholarship]],"Not Applicable")</f>
        <v>Not Applicable</v>
      </c>
    </row>
    <row r="2021" spans="1:10" ht="19.25" hidden="1" customHeight="1" x14ac:dyDescent="0.3">
      <c r="A2021" s="8">
        <v>2515323</v>
      </c>
      <c r="B2021" s="6" t="s">
        <v>80</v>
      </c>
      <c r="C2021" s="1" t="s">
        <v>9</v>
      </c>
      <c r="D2021" s="1" t="s">
        <v>9</v>
      </c>
      <c r="E2021" s="1" t="s">
        <v>9</v>
      </c>
      <c r="F2021" s="6"/>
      <c r="G2021" s="6"/>
      <c r="H2021" s="11"/>
      <c r="I202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21" t="str">
        <f>IF(Table1[[#This Row],[Nationality]]="Nigeria",Table1[[#This Row],[EMJM Scholarship]],"Not Applicable")</f>
        <v>Not Applicable</v>
      </c>
    </row>
    <row r="2022" spans="1:10" ht="19.25" hidden="1" customHeight="1" x14ac:dyDescent="0.3">
      <c r="A2022" s="8">
        <v>2515350</v>
      </c>
      <c r="B2022" s="6" t="s">
        <v>80</v>
      </c>
      <c r="C2022" s="1" t="s">
        <v>9</v>
      </c>
      <c r="D2022" s="1" t="s">
        <v>9</v>
      </c>
      <c r="E2022" s="1" t="s">
        <v>9</v>
      </c>
      <c r="F2022" s="6"/>
      <c r="G2022" s="6"/>
      <c r="H2022" s="11"/>
      <c r="I202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22" t="str">
        <f>IF(Table1[[#This Row],[Nationality]]="Nigeria",Table1[[#This Row],[EMJM Scholarship]],"Not Applicable")</f>
        <v>Not Applicable</v>
      </c>
    </row>
    <row r="2023" spans="1:10" ht="19.25" hidden="1" customHeight="1" x14ac:dyDescent="0.3">
      <c r="A2023" s="8">
        <v>2515495</v>
      </c>
      <c r="B2023" s="6" t="s">
        <v>80</v>
      </c>
      <c r="C2023" s="1" t="s">
        <v>9</v>
      </c>
      <c r="D2023" s="1" t="s">
        <v>9</v>
      </c>
      <c r="E2023" s="1" t="s">
        <v>9</v>
      </c>
      <c r="F2023" s="6"/>
      <c r="G2023" s="6"/>
      <c r="H2023" s="11"/>
      <c r="I202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23" t="str">
        <f>IF(Table1[[#This Row],[Nationality]]="Nigeria",Table1[[#This Row],[EMJM Scholarship]],"Not Applicable")</f>
        <v>Not Applicable</v>
      </c>
    </row>
    <row r="2024" spans="1:10" ht="19.25" hidden="1" customHeight="1" x14ac:dyDescent="0.3">
      <c r="A2024" s="8">
        <v>2515707</v>
      </c>
      <c r="B2024" s="6" t="s">
        <v>80</v>
      </c>
      <c r="C2024" s="1" t="s">
        <v>9</v>
      </c>
      <c r="D2024" s="1" t="s">
        <v>9</v>
      </c>
      <c r="E2024" s="1" t="s">
        <v>9</v>
      </c>
      <c r="F2024" s="6"/>
      <c r="G2024" s="6"/>
      <c r="H2024" s="11"/>
      <c r="I202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24" t="str">
        <f>IF(Table1[[#This Row],[Nationality]]="Nigeria",Table1[[#This Row],[EMJM Scholarship]],"Not Applicable")</f>
        <v>Not Applicable</v>
      </c>
    </row>
    <row r="2025" spans="1:10" ht="19.25" hidden="1" customHeight="1" x14ac:dyDescent="0.3">
      <c r="A2025" s="8">
        <v>2515789</v>
      </c>
      <c r="B2025" s="6" t="s">
        <v>80</v>
      </c>
      <c r="C2025" s="1" t="s">
        <v>9</v>
      </c>
      <c r="D2025" s="1" t="s">
        <v>9</v>
      </c>
      <c r="E2025" s="1" t="s">
        <v>9</v>
      </c>
      <c r="F2025" s="6"/>
      <c r="G2025" s="6"/>
      <c r="H2025" s="11"/>
      <c r="I202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25" t="str">
        <f>IF(Table1[[#This Row],[Nationality]]="Nigeria",Table1[[#This Row],[EMJM Scholarship]],"Not Applicable")</f>
        <v>Not Applicable</v>
      </c>
    </row>
    <row r="2026" spans="1:10" ht="19.25" hidden="1" customHeight="1" x14ac:dyDescent="0.3">
      <c r="A2026" s="8">
        <v>2515794</v>
      </c>
      <c r="B2026" s="6" t="s">
        <v>80</v>
      </c>
      <c r="C2026" s="1" t="s">
        <v>9</v>
      </c>
      <c r="D2026" s="1" t="s">
        <v>9</v>
      </c>
      <c r="E2026" s="1" t="s">
        <v>9</v>
      </c>
      <c r="F2026" s="6"/>
      <c r="G2026" s="6"/>
      <c r="H2026" s="11"/>
      <c r="I202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26" t="str">
        <f>IF(Table1[[#This Row],[Nationality]]="Nigeria",Table1[[#This Row],[EMJM Scholarship]],"Not Applicable")</f>
        <v>Not Applicable</v>
      </c>
    </row>
    <row r="2027" spans="1:10" ht="19.25" hidden="1" customHeight="1" x14ac:dyDescent="0.3">
      <c r="A2027" s="8">
        <v>2515971</v>
      </c>
      <c r="B2027" s="6" t="s">
        <v>80</v>
      </c>
      <c r="C2027" s="1" t="s">
        <v>9</v>
      </c>
      <c r="D2027" s="1" t="s">
        <v>9</v>
      </c>
      <c r="E2027" s="1" t="s">
        <v>9</v>
      </c>
      <c r="F2027" s="6"/>
      <c r="G2027" s="6"/>
      <c r="H2027" s="11"/>
      <c r="I202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27" t="str">
        <f>IF(Table1[[#This Row],[Nationality]]="Nigeria",Table1[[#This Row],[EMJM Scholarship]],"Not Applicable")</f>
        <v>Not Applicable</v>
      </c>
    </row>
    <row r="2028" spans="1:10" ht="19.25" hidden="1" customHeight="1" x14ac:dyDescent="0.3">
      <c r="A2028" s="8">
        <v>2516001</v>
      </c>
      <c r="B2028" s="6" t="s">
        <v>80</v>
      </c>
      <c r="C2028" s="1" t="s">
        <v>9</v>
      </c>
      <c r="D2028" s="1" t="s">
        <v>9</v>
      </c>
      <c r="E2028" s="1" t="s">
        <v>9</v>
      </c>
      <c r="F2028" s="6"/>
      <c r="G2028" s="6"/>
      <c r="H2028" s="11"/>
      <c r="I202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28" t="str">
        <f>IF(Table1[[#This Row],[Nationality]]="Nigeria",Table1[[#This Row],[EMJM Scholarship]],"Not Applicable")</f>
        <v>Not Applicable</v>
      </c>
    </row>
    <row r="2029" spans="1:10" ht="19.25" hidden="1" customHeight="1" x14ac:dyDescent="0.3">
      <c r="A2029" s="8">
        <v>2516041</v>
      </c>
      <c r="B2029" s="6" t="s">
        <v>80</v>
      </c>
      <c r="C2029" s="1" t="s">
        <v>9</v>
      </c>
      <c r="D2029" s="1" t="s">
        <v>9</v>
      </c>
      <c r="E2029" s="1" t="s">
        <v>9</v>
      </c>
      <c r="F2029" s="6"/>
      <c r="G2029" s="6"/>
      <c r="H2029" s="11"/>
      <c r="I202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29" t="str">
        <f>IF(Table1[[#This Row],[Nationality]]="Nigeria",Table1[[#This Row],[EMJM Scholarship]],"Not Applicable")</f>
        <v>Not Applicable</v>
      </c>
    </row>
    <row r="2030" spans="1:10" ht="19.25" hidden="1" customHeight="1" x14ac:dyDescent="0.3">
      <c r="A2030" s="8">
        <v>2516101</v>
      </c>
      <c r="B2030" s="6" t="s">
        <v>80</v>
      </c>
      <c r="C2030" s="1" t="s">
        <v>9</v>
      </c>
      <c r="D2030" s="1" t="s">
        <v>9</v>
      </c>
      <c r="E2030" s="1" t="s">
        <v>9</v>
      </c>
      <c r="F2030" s="6"/>
      <c r="G2030" s="6"/>
      <c r="H2030" s="11"/>
      <c r="I203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30" t="str">
        <f>IF(Table1[[#This Row],[Nationality]]="Nigeria",Table1[[#This Row],[EMJM Scholarship]],"Not Applicable")</f>
        <v>Not Applicable</v>
      </c>
    </row>
    <row r="2031" spans="1:10" ht="19.25" hidden="1" customHeight="1" x14ac:dyDescent="0.3">
      <c r="A2031" s="8">
        <v>2516168</v>
      </c>
      <c r="B2031" s="6" t="s">
        <v>80</v>
      </c>
      <c r="C2031" s="1" t="s">
        <v>9</v>
      </c>
      <c r="D2031" s="1" t="s">
        <v>9</v>
      </c>
      <c r="E2031" s="1" t="s">
        <v>9</v>
      </c>
      <c r="F2031" s="6"/>
      <c r="G2031" s="6"/>
      <c r="H2031" s="11"/>
      <c r="I203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31" t="str">
        <f>IF(Table1[[#This Row],[Nationality]]="Nigeria",Table1[[#This Row],[EMJM Scholarship]],"Not Applicable")</f>
        <v>Not Applicable</v>
      </c>
    </row>
    <row r="2032" spans="1:10" ht="19.25" hidden="1" customHeight="1" x14ac:dyDescent="0.3">
      <c r="A2032" s="8">
        <v>2516171</v>
      </c>
      <c r="B2032" s="6" t="s">
        <v>80</v>
      </c>
      <c r="C2032" s="1" t="s">
        <v>9</v>
      </c>
      <c r="D2032" s="1" t="s">
        <v>9</v>
      </c>
      <c r="E2032" s="1" t="s">
        <v>9</v>
      </c>
      <c r="F2032" s="6"/>
      <c r="G2032" s="6"/>
      <c r="H2032" s="11"/>
      <c r="I203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32" t="str">
        <f>IF(Table1[[#This Row],[Nationality]]="Nigeria",Table1[[#This Row],[EMJM Scholarship]],"Not Applicable")</f>
        <v>Not Applicable</v>
      </c>
    </row>
    <row r="2033" spans="1:10" ht="19.25" hidden="1" customHeight="1" x14ac:dyDescent="0.3">
      <c r="A2033" s="8">
        <v>2516197</v>
      </c>
      <c r="B2033" s="6" t="s">
        <v>80</v>
      </c>
      <c r="C2033" s="1" t="s">
        <v>9</v>
      </c>
      <c r="D2033" s="1" t="s">
        <v>9</v>
      </c>
      <c r="E2033" s="1" t="s">
        <v>9</v>
      </c>
      <c r="F2033" s="6"/>
      <c r="G2033" s="6"/>
      <c r="H2033" s="11"/>
      <c r="I203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33" t="str">
        <f>IF(Table1[[#This Row],[Nationality]]="Nigeria",Table1[[#This Row],[EMJM Scholarship]],"Not Applicable")</f>
        <v>Not Applicable</v>
      </c>
    </row>
    <row r="2034" spans="1:10" ht="19.25" hidden="1" customHeight="1" x14ac:dyDescent="0.3">
      <c r="A2034" s="8">
        <v>2516260</v>
      </c>
      <c r="B2034" s="6" t="s">
        <v>80</v>
      </c>
      <c r="C2034" s="1" t="s">
        <v>9</v>
      </c>
      <c r="D2034" s="1" t="s">
        <v>9</v>
      </c>
      <c r="E2034" s="1" t="s">
        <v>9</v>
      </c>
      <c r="F2034" s="6"/>
      <c r="G2034" s="6"/>
      <c r="H2034" s="11"/>
      <c r="I203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34" t="str">
        <f>IF(Table1[[#This Row],[Nationality]]="Nigeria",Table1[[#This Row],[EMJM Scholarship]],"Not Applicable")</f>
        <v>Not Applicable</v>
      </c>
    </row>
    <row r="2035" spans="1:10" ht="19.25" hidden="1" customHeight="1" x14ac:dyDescent="0.3">
      <c r="A2035" s="8">
        <v>2516296</v>
      </c>
      <c r="B2035" s="6" t="s">
        <v>80</v>
      </c>
      <c r="C2035" s="1" t="s">
        <v>9</v>
      </c>
      <c r="D2035" s="1" t="s">
        <v>9</v>
      </c>
      <c r="E2035" s="1" t="s">
        <v>9</v>
      </c>
      <c r="F2035" s="6"/>
      <c r="G2035" s="6"/>
      <c r="H2035" s="11"/>
      <c r="I203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35" t="str">
        <f>IF(Table1[[#This Row],[Nationality]]="Nigeria",Table1[[#This Row],[EMJM Scholarship]],"Not Applicable")</f>
        <v>Not Applicable</v>
      </c>
    </row>
    <row r="2036" spans="1:10" ht="19.25" hidden="1" customHeight="1" x14ac:dyDescent="0.3">
      <c r="A2036" s="8">
        <v>2516333</v>
      </c>
      <c r="B2036" s="6" t="s">
        <v>80</v>
      </c>
      <c r="C2036" s="1" t="s">
        <v>9</v>
      </c>
      <c r="D2036" s="1" t="s">
        <v>9</v>
      </c>
      <c r="E2036" s="1" t="s">
        <v>9</v>
      </c>
      <c r="F2036" s="6"/>
      <c r="G2036" s="6"/>
      <c r="H2036" s="11"/>
      <c r="I203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36" t="str">
        <f>IF(Table1[[#This Row],[Nationality]]="Nigeria",Table1[[#This Row],[EMJM Scholarship]],"Not Applicable")</f>
        <v>Not Applicable</v>
      </c>
    </row>
    <row r="2037" spans="1:10" ht="19.25" hidden="1" customHeight="1" x14ac:dyDescent="0.3">
      <c r="A2037" s="8">
        <v>2516390</v>
      </c>
      <c r="B2037" s="6" t="s">
        <v>80</v>
      </c>
      <c r="C2037" s="1" t="s">
        <v>9</v>
      </c>
      <c r="D2037" s="1" t="s">
        <v>9</v>
      </c>
      <c r="E2037" s="1" t="s">
        <v>9</v>
      </c>
      <c r="F2037" s="6"/>
      <c r="G2037" s="6"/>
      <c r="H2037" s="11"/>
      <c r="I203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37" t="str">
        <f>IF(Table1[[#This Row],[Nationality]]="Nigeria",Table1[[#This Row],[EMJM Scholarship]],"Not Applicable")</f>
        <v>Not Applicable</v>
      </c>
    </row>
    <row r="2038" spans="1:10" ht="19.25" hidden="1" customHeight="1" x14ac:dyDescent="0.3">
      <c r="A2038" s="8">
        <v>2516398</v>
      </c>
      <c r="B2038" s="6" t="s">
        <v>80</v>
      </c>
      <c r="C2038" s="1" t="s">
        <v>9</v>
      </c>
      <c r="D2038" s="1" t="s">
        <v>9</v>
      </c>
      <c r="E2038" s="1" t="s">
        <v>9</v>
      </c>
      <c r="F2038" s="6"/>
      <c r="G2038" s="6"/>
      <c r="H2038" s="11"/>
      <c r="I203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38" t="str">
        <f>IF(Table1[[#This Row],[Nationality]]="Nigeria",Table1[[#This Row],[EMJM Scholarship]],"Not Applicable")</f>
        <v>Not Applicable</v>
      </c>
    </row>
    <row r="2039" spans="1:10" ht="19.25" hidden="1" customHeight="1" x14ac:dyDescent="0.3">
      <c r="A2039" s="8">
        <v>2516421</v>
      </c>
      <c r="B2039" s="6" t="s">
        <v>80</v>
      </c>
      <c r="C2039" s="1" t="s">
        <v>9</v>
      </c>
      <c r="D2039" s="1" t="s">
        <v>9</v>
      </c>
      <c r="E2039" s="1" t="s">
        <v>9</v>
      </c>
      <c r="F2039" s="6"/>
      <c r="G2039" s="6"/>
      <c r="H2039" s="11"/>
      <c r="I203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39" t="str">
        <f>IF(Table1[[#This Row],[Nationality]]="Nigeria",Table1[[#This Row],[EMJM Scholarship]],"Not Applicable")</f>
        <v>Not Applicable</v>
      </c>
    </row>
    <row r="2040" spans="1:10" ht="19.25" hidden="1" customHeight="1" x14ac:dyDescent="0.3">
      <c r="A2040" s="8">
        <v>2516426</v>
      </c>
      <c r="B2040" s="6" t="s">
        <v>80</v>
      </c>
      <c r="C2040" s="1" t="s">
        <v>9</v>
      </c>
      <c r="D2040" s="1" t="s">
        <v>9</v>
      </c>
      <c r="E2040" s="1" t="s">
        <v>9</v>
      </c>
      <c r="F2040" s="6"/>
      <c r="G2040" s="6"/>
      <c r="H2040" s="11"/>
      <c r="I204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40" t="str">
        <f>IF(Table1[[#This Row],[Nationality]]="Nigeria",Table1[[#This Row],[EMJM Scholarship]],"Not Applicable")</f>
        <v>Not Applicable</v>
      </c>
    </row>
    <row r="2041" spans="1:10" ht="19.25" hidden="1" customHeight="1" x14ac:dyDescent="0.3">
      <c r="A2041" s="8">
        <v>2516514</v>
      </c>
      <c r="B2041" s="6" t="s">
        <v>80</v>
      </c>
      <c r="C2041" s="1" t="s">
        <v>9</v>
      </c>
      <c r="D2041" s="1" t="s">
        <v>9</v>
      </c>
      <c r="E2041" s="1" t="s">
        <v>9</v>
      </c>
      <c r="F2041" s="6"/>
      <c r="G2041" s="6"/>
      <c r="H2041" s="11"/>
      <c r="I204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41" t="str">
        <f>IF(Table1[[#This Row],[Nationality]]="Nigeria",Table1[[#This Row],[EMJM Scholarship]],"Not Applicable")</f>
        <v>Not Applicable</v>
      </c>
    </row>
    <row r="2042" spans="1:10" ht="19.25" hidden="1" customHeight="1" x14ac:dyDescent="0.3">
      <c r="A2042" s="8">
        <v>2516520</v>
      </c>
      <c r="B2042" s="6" t="s">
        <v>80</v>
      </c>
      <c r="C2042" s="1" t="s">
        <v>9</v>
      </c>
      <c r="D2042" s="1" t="s">
        <v>9</v>
      </c>
      <c r="E2042" s="1" t="s">
        <v>9</v>
      </c>
      <c r="F2042" s="6"/>
      <c r="G2042" s="6"/>
      <c r="H2042" s="11"/>
      <c r="I204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42" t="str">
        <f>IF(Table1[[#This Row],[Nationality]]="Nigeria",Table1[[#This Row],[EMJM Scholarship]],"Not Applicable")</f>
        <v>Not Applicable</v>
      </c>
    </row>
    <row r="2043" spans="1:10" ht="19.25" hidden="1" customHeight="1" x14ac:dyDescent="0.3">
      <c r="A2043" s="8">
        <v>2516581</v>
      </c>
      <c r="B2043" s="6" t="s">
        <v>80</v>
      </c>
      <c r="C2043" s="1" t="s">
        <v>9</v>
      </c>
      <c r="D2043" s="1" t="s">
        <v>9</v>
      </c>
      <c r="E2043" s="1" t="s">
        <v>9</v>
      </c>
      <c r="F2043" s="6"/>
      <c r="G2043" s="6"/>
      <c r="H2043" s="11"/>
      <c r="I204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43" t="str">
        <f>IF(Table1[[#This Row],[Nationality]]="Nigeria",Table1[[#This Row],[EMJM Scholarship]],"Not Applicable")</f>
        <v>Not Applicable</v>
      </c>
    </row>
    <row r="2044" spans="1:10" ht="19.25" hidden="1" customHeight="1" x14ac:dyDescent="0.3">
      <c r="A2044" s="8">
        <v>2516585</v>
      </c>
      <c r="B2044" s="6" t="s">
        <v>80</v>
      </c>
      <c r="C2044" s="1" t="s">
        <v>9</v>
      </c>
      <c r="D2044" s="1" t="s">
        <v>9</v>
      </c>
      <c r="E2044" s="1" t="s">
        <v>9</v>
      </c>
      <c r="F2044" s="6"/>
      <c r="G2044" s="6"/>
      <c r="H2044" s="11"/>
      <c r="I204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44" t="str">
        <f>IF(Table1[[#This Row],[Nationality]]="Nigeria",Table1[[#This Row],[EMJM Scholarship]],"Not Applicable")</f>
        <v>Not Applicable</v>
      </c>
    </row>
    <row r="2045" spans="1:10" ht="19.25" hidden="1" customHeight="1" x14ac:dyDescent="0.3">
      <c r="A2045" s="8">
        <v>2516611</v>
      </c>
      <c r="B2045" s="6" t="s">
        <v>80</v>
      </c>
      <c r="C2045" s="1" t="s">
        <v>9</v>
      </c>
      <c r="D2045" s="1" t="s">
        <v>9</v>
      </c>
      <c r="E2045" s="1" t="s">
        <v>9</v>
      </c>
      <c r="F2045" s="6"/>
      <c r="G2045" s="6"/>
      <c r="H2045" s="11"/>
      <c r="I204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45" t="str">
        <f>IF(Table1[[#This Row],[Nationality]]="Nigeria",Table1[[#This Row],[EMJM Scholarship]],"Not Applicable")</f>
        <v>Not Applicable</v>
      </c>
    </row>
    <row r="2046" spans="1:10" ht="19.25" hidden="1" customHeight="1" x14ac:dyDescent="0.3">
      <c r="A2046" s="8">
        <v>2516616</v>
      </c>
      <c r="B2046" s="6" t="s">
        <v>80</v>
      </c>
      <c r="C2046" s="1" t="s">
        <v>9</v>
      </c>
      <c r="D2046" s="1" t="s">
        <v>9</v>
      </c>
      <c r="E2046" s="1" t="s">
        <v>9</v>
      </c>
      <c r="F2046" s="6"/>
      <c r="G2046" s="6"/>
      <c r="H2046" s="11"/>
      <c r="I204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46" t="str">
        <f>IF(Table1[[#This Row],[Nationality]]="Nigeria",Table1[[#This Row],[EMJM Scholarship]],"Not Applicable")</f>
        <v>Not Applicable</v>
      </c>
    </row>
    <row r="2047" spans="1:10" ht="19.25" hidden="1" customHeight="1" x14ac:dyDescent="0.3">
      <c r="A2047" s="8">
        <v>2516646</v>
      </c>
      <c r="B2047" s="6" t="s">
        <v>80</v>
      </c>
      <c r="C2047" s="1" t="s">
        <v>9</v>
      </c>
      <c r="D2047" s="1" t="s">
        <v>9</v>
      </c>
      <c r="E2047" s="1" t="s">
        <v>9</v>
      </c>
      <c r="F2047" s="6"/>
      <c r="G2047" s="6"/>
      <c r="H2047" s="11"/>
      <c r="I204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47" t="str">
        <f>IF(Table1[[#This Row],[Nationality]]="Nigeria",Table1[[#This Row],[EMJM Scholarship]],"Not Applicable")</f>
        <v>Not Applicable</v>
      </c>
    </row>
    <row r="2048" spans="1:10" ht="19.25" hidden="1" customHeight="1" x14ac:dyDescent="0.3">
      <c r="A2048" s="8">
        <v>2516668</v>
      </c>
      <c r="B2048" s="6" t="s">
        <v>80</v>
      </c>
      <c r="C2048" s="1" t="s">
        <v>9</v>
      </c>
      <c r="D2048" s="1" t="s">
        <v>9</v>
      </c>
      <c r="E2048" s="1" t="s">
        <v>9</v>
      </c>
      <c r="F2048" s="6"/>
      <c r="G2048" s="6"/>
      <c r="H2048" s="11"/>
      <c r="I204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48" t="str">
        <f>IF(Table1[[#This Row],[Nationality]]="Nigeria",Table1[[#This Row],[EMJM Scholarship]],"Not Applicable")</f>
        <v>Not Applicable</v>
      </c>
    </row>
    <row r="2049" spans="1:10" ht="19.25" hidden="1" customHeight="1" x14ac:dyDescent="0.3">
      <c r="A2049" s="8">
        <v>2516694</v>
      </c>
      <c r="B2049" s="6" t="s">
        <v>80</v>
      </c>
      <c r="C2049" s="1" t="s">
        <v>9</v>
      </c>
      <c r="D2049" s="1" t="s">
        <v>9</v>
      </c>
      <c r="E2049" s="1" t="s">
        <v>9</v>
      </c>
      <c r="F2049" s="6"/>
      <c r="G2049" s="6"/>
      <c r="H2049" s="11"/>
      <c r="I204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49" t="str">
        <f>IF(Table1[[#This Row],[Nationality]]="Nigeria",Table1[[#This Row],[EMJM Scholarship]],"Not Applicable")</f>
        <v>Not Applicable</v>
      </c>
    </row>
    <row r="2050" spans="1:10" ht="19.25" hidden="1" customHeight="1" x14ac:dyDescent="0.3">
      <c r="A2050" s="8">
        <v>2516702</v>
      </c>
      <c r="B2050" s="6" t="s">
        <v>80</v>
      </c>
      <c r="C2050" s="1" t="s">
        <v>9</v>
      </c>
      <c r="D2050" s="1" t="s">
        <v>9</v>
      </c>
      <c r="E2050" s="1" t="s">
        <v>9</v>
      </c>
      <c r="F2050" s="6"/>
      <c r="G2050" s="6"/>
      <c r="H2050" s="11"/>
      <c r="I205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50" t="str">
        <f>IF(Table1[[#This Row],[Nationality]]="Nigeria",Table1[[#This Row],[EMJM Scholarship]],"Not Applicable")</f>
        <v>Not Applicable</v>
      </c>
    </row>
    <row r="2051" spans="1:10" ht="19.25" hidden="1" customHeight="1" x14ac:dyDescent="0.3">
      <c r="A2051" s="8">
        <v>2516720</v>
      </c>
      <c r="B2051" s="6" t="s">
        <v>80</v>
      </c>
      <c r="C2051" s="1" t="s">
        <v>9</v>
      </c>
      <c r="D2051" s="1" t="s">
        <v>9</v>
      </c>
      <c r="E2051" s="1" t="s">
        <v>9</v>
      </c>
      <c r="F2051" s="6"/>
      <c r="G2051" s="6"/>
      <c r="H2051" s="11"/>
      <c r="I205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51" t="str">
        <f>IF(Table1[[#This Row],[Nationality]]="Nigeria",Table1[[#This Row],[EMJM Scholarship]],"Not Applicable")</f>
        <v>Not Applicable</v>
      </c>
    </row>
    <row r="2052" spans="1:10" ht="19.25" hidden="1" customHeight="1" x14ac:dyDescent="0.3">
      <c r="A2052" s="8">
        <v>2516743</v>
      </c>
      <c r="B2052" s="6" t="s">
        <v>80</v>
      </c>
      <c r="C2052" s="1" t="s">
        <v>9</v>
      </c>
      <c r="D2052" s="1" t="s">
        <v>9</v>
      </c>
      <c r="E2052" s="1" t="s">
        <v>9</v>
      </c>
      <c r="F2052" s="6"/>
      <c r="G2052" s="6"/>
      <c r="H2052" s="11"/>
      <c r="I205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52" t="str">
        <f>IF(Table1[[#This Row],[Nationality]]="Nigeria",Table1[[#This Row],[EMJM Scholarship]],"Not Applicable")</f>
        <v>Not Applicable</v>
      </c>
    </row>
    <row r="2053" spans="1:10" ht="19.25" hidden="1" customHeight="1" x14ac:dyDescent="0.3">
      <c r="A2053" s="8">
        <v>2516744</v>
      </c>
      <c r="B2053" s="6" t="s">
        <v>80</v>
      </c>
      <c r="C2053" s="1" t="s">
        <v>9</v>
      </c>
      <c r="D2053" s="1" t="s">
        <v>9</v>
      </c>
      <c r="E2053" s="1" t="s">
        <v>9</v>
      </c>
      <c r="F2053" s="6"/>
      <c r="G2053" s="6"/>
      <c r="H2053" s="11"/>
      <c r="I205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53" t="str">
        <f>IF(Table1[[#This Row],[Nationality]]="Nigeria",Table1[[#This Row],[EMJM Scholarship]],"Not Applicable")</f>
        <v>Not Applicable</v>
      </c>
    </row>
    <row r="2054" spans="1:10" ht="19.25" hidden="1" customHeight="1" x14ac:dyDescent="0.3">
      <c r="A2054" s="8">
        <v>2516746</v>
      </c>
      <c r="B2054" s="6" t="s">
        <v>80</v>
      </c>
      <c r="C2054" s="1" t="s">
        <v>9</v>
      </c>
      <c r="D2054" s="1" t="s">
        <v>9</v>
      </c>
      <c r="E2054" s="1" t="s">
        <v>9</v>
      </c>
      <c r="F2054" s="6"/>
      <c r="G2054" s="6"/>
      <c r="H2054" s="11"/>
      <c r="I205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54" t="str">
        <f>IF(Table1[[#This Row],[Nationality]]="Nigeria",Table1[[#This Row],[EMJM Scholarship]],"Not Applicable")</f>
        <v>Not Applicable</v>
      </c>
    </row>
    <row r="2055" spans="1:10" ht="19.25" hidden="1" customHeight="1" x14ac:dyDescent="0.3">
      <c r="A2055" s="8">
        <v>2516798</v>
      </c>
      <c r="B2055" s="6" t="s">
        <v>80</v>
      </c>
      <c r="C2055" s="1" t="s">
        <v>9</v>
      </c>
      <c r="D2055" s="1" t="s">
        <v>9</v>
      </c>
      <c r="E2055" s="1" t="s">
        <v>9</v>
      </c>
      <c r="F2055" s="6"/>
      <c r="G2055" s="6"/>
      <c r="H2055" s="11"/>
      <c r="I205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55" t="str">
        <f>IF(Table1[[#This Row],[Nationality]]="Nigeria",Table1[[#This Row],[EMJM Scholarship]],"Not Applicable")</f>
        <v>Not Applicable</v>
      </c>
    </row>
    <row r="2056" spans="1:10" ht="19.25" hidden="1" customHeight="1" x14ac:dyDescent="0.3">
      <c r="A2056" s="8">
        <v>2516821</v>
      </c>
      <c r="B2056" s="6" t="s">
        <v>80</v>
      </c>
      <c r="C2056" s="1" t="s">
        <v>9</v>
      </c>
      <c r="D2056" s="1" t="s">
        <v>9</v>
      </c>
      <c r="E2056" s="1" t="s">
        <v>9</v>
      </c>
      <c r="F2056" s="6"/>
      <c r="G2056" s="6"/>
      <c r="H2056" s="11"/>
      <c r="I205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56" t="str">
        <f>IF(Table1[[#This Row],[Nationality]]="Nigeria",Table1[[#This Row],[EMJM Scholarship]],"Not Applicable")</f>
        <v>Not Applicable</v>
      </c>
    </row>
    <row r="2057" spans="1:10" ht="19.25" hidden="1" customHeight="1" x14ac:dyDescent="0.3">
      <c r="A2057" s="8">
        <v>2516838</v>
      </c>
      <c r="B2057" s="6" t="s">
        <v>80</v>
      </c>
      <c r="C2057" s="1" t="s">
        <v>9</v>
      </c>
      <c r="D2057" s="1" t="s">
        <v>9</v>
      </c>
      <c r="E2057" s="1" t="s">
        <v>9</v>
      </c>
      <c r="F2057" s="6"/>
      <c r="G2057" s="6"/>
      <c r="H2057" s="11"/>
      <c r="I205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57" t="str">
        <f>IF(Table1[[#This Row],[Nationality]]="Nigeria",Table1[[#This Row],[EMJM Scholarship]],"Not Applicable")</f>
        <v>Not Applicable</v>
      </c>
    </row>
    <row r="2058" spans="1:10" ht="19.25" hidden="1" customHeight="1" x14ac:dyDescent="0.3">
      <c r="A2058" s="8">
        <v>2516841</v>
      </c>
      <c r="B2058" s="6" t="s">
        <v>80</v>
      </c>
      <c r="C2058" s="1" t="s">
        <v>9</v>
      </c>
      <c r="D2058" s="1" t="s">
        <v>9</v>
      </c>
      <c r="E2058" s="1" t="s">
        <v>9</v>
      </c>
      <c r="F2058" s="6"/>
      <c r="G2058" s="6"/>
      <c r="H2058" s="11"/>
      <c r="I205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58" t="str">
        <f>IF(Table1[[#This Row],[Nationality]]="Nigeria",Table1[[#This Row],[EMJM Scholarship]],"Not Applicable")</f>
        <v>Not Applicable</v>
      </c>
    </row>
    <row r="2059" spans="1:10" ht="19.25" hidden="1" customHeight="1" x14ac:dyDescent="0.3">
      <c r="A2059" s="8">
        <v>2516870</v>
      </c>
      <c r="B2059" s="6" t="s">
        <v>80</v>
      </c>
      <c r="C2059" s="1" t="s">
        <v>9</v>
      </c>
      <c r="D2059" s="1" t="s">
        <v>9</v>
      </c>
      <c r="E2059" s="1" t="s">
        <v>9</v>
      </c>
      <c r="F2059" s="6"/>
      <c r="G2059" s="6"/>
      <c r="H2059" s="11"/>
      <c r="I205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59" t="str">
        <f>IF(Table1[[#This Row],[Nationality]]="Nigeria",Table1[[#This Row],[EMJM Scholarship]],"Not Applicable")</f>
        <v>Not Applicable</v>
      </c>
    </row>
    <row r="2060" spans="1:10" ht="19.25" hidden="1" customHeight="1" x14ac:dyDescent="0.3">
      <c r="A2060" s="8">
        <v>2516881</v>
      </c>
      <c r="B2060" s="6" t="s">
        <v>80</v>
      </c>
      <c r="C2060" s="1" t="s">
        <v>9</v>
      </c>
      <c r="D2060" s="1" t="s">
        <v>9</v>
      </c>
      <c r="E2060" s="1" t="s">
        <v>9</v>
      </c>
      <c r="F2060" s="6"/>
      <c r="G2060" s="6"/>
      <c r="H2060" s="11"/>
      <c r="I206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60" t="str">
        <f>IF(Table1[[#This Row],[Nationality]]="Nigeria",Table1[[#This Row],[EMJM Scholarship]],"Not Applicable")</f>
        <v>Not Applicable</v>
      </c>
    </row>
    <row r="2061" spans="1:10" ht="19.25" hidden="1" customHeight="1" x14ac:dyDescent="0.3">
      <c r="A2061" s="8">
        <v>2516916</v>
      </c>
      <c r="B2061" s="6" t="s">
        <v>80</v>
      </c>
      <c r="C2061" s="1" t="s">
        <v>9</v>
      </c>
      <c r="D2061" s="1" t="s">
        <v>9</v>
      </c>
      <c r="E2061" s="1" t="s">
        <v>9</v>
      </c>
      <c r="F2061" s="6"/>
      <c r="G2061" s="6"/>
      <c r="H2061" s="11"/>
      <c r="I206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61" t="str">
        <f>IF(Table1[[#This Row],[Nationality]]="Nigeria",Table1[[#This Row],[EMJM Scholarship]],"Not Applicable")</f>
        <v>Not Applicable</v>
      </c>
    </row>
    <row r="2062" spans="1:10" ht="19.25" hidden="1" customHeight="1" x14ac:dyDescent="0.3">
      <c r="A2062" s="8">
        <v>2516948</v>
      </c>
      <c r="B2062" s="6" t="s">
        <v>80</v>
      </c>
      <c r="C2062" s="1" t="s">
        <v>9</v>
      </c>
      <c r="D2062" s="1" t="s">
        <v>9</v>
      </c>
      <c r="E2062" s="1" t="s">
        <v>9</v>
      </c>
      <c r="F2062" s="6"/>
      <c r="G2062" s="6"/>
      <c r="H2062" s="11"/>
      <c r="I206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62" t="str">
        <f>IF(Table1[[#This Row],[Nationality]]="Nigeria",Table1[[#This Row],[EMJM Scholarship]],"Not Applicable")</f>
        <v>Not Applicable</v>
      </c>
    </row>
    <row r="2063" spans="1:10" ht="19.25" hidden="1" customHeight="1" x14ac:dyDescent="0.3">
      <c r="A2063" s="8">
        <v>2516958</v>
      </c>
      <c r="B2063" s="6" t="s">
        <v>80</v>
      </c>
      <c r="C2063" s="1" t="s">
        <v>9</v>
      </c>
      <c r="D2063" s="1" t="s">
        <v>9</v>
      </c>
      <c r="E2063" s="1" t="s">
        <v>9</v>
      </c>
      <c r="F2063" s="6"/>
      <c r="G2063" s="6"/>
      <c r="H2063" s="11"/>
      <c r="I206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63" t="str">
        <f>IF(Table1[[#This Row],[Nationality]]="Nigeria",Table1[[#This Row],[EMJM Scholarship]],"Not Applicable")</f>
        <v>Not Applicable</v>
      </c>
    </row>
    <row r="2064" spans="1:10" ht="19.25" hidden="1" customHeight="1" x14ac:dyDescent="0.3">
      <c r="A2064" s="8">
        <v>2516979</v>
      </c>
      <c r="B2064" s="6" t="s">
        <v>80</v>
      </c>
      <c r="C2064" s="1" t="s">
        <v>9</v>
      </c>
      <c r="D2064" s="1" t="s">
        <v>9</v>
      </c>
      <c r="E2064" s="1" t="s">
        <v>9</v>
      </c>
      <c r="F2064" s="6"/>
      <c r="G2064" s="6"/>
      <c r="H2064" s="11"/>
      <c r="I206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64" t="str">
        <f>IF(Table1[[#This Row],[Nationality]]="Nigeria",Table1[[#This Row],[EMJM Scholarship]],"Not Applicable")</f>
        <v>Not Applicable</v>
      </c>
    </row>
    <row r="2065" spans="1:10" ht="19.25" hidden="1" customHeight="1" x14ac:dyDescent="0.3">
      <c r="A2065" s="8">
        <v>2517107</v>
      </c>
      <c r="B2065" s="6" t="s">
        <v>80</v>
      </c>
      <c r="C2065" s="1" t="s">
        <v>9</v>
      </c>
      <c r="D2065" s="1" t="s">
        <v>9</v>
      </c>
      <c r="E2065" s="1" t="s">
        <v>9</v>
      </c>
      <c r="F2065" s="6"/>
      <c r="G2065" s="6"/>
      <c r="H2065" s="11"/>
      <c r="I206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65" t="str">
        <f>IF(Table1[[#This Row],[Nationality]]="Nigeria",Table1[[#This Row],[EMJM Scholarship]],"Not Applicable")</f>
        <v>Not Applicable</v>
      </c>
    </row>
    <row r="2066" spans="1:10" ht="19.25" hidden="1" customHeight="1" x14ac:dyDescent="0.3">
      <c r="A2066" s="8">
        <v>2517130</v>
      </c>
      <c r="B2066" s="6" t="s">
        <v>80</v>
      </c>
      <c r="C2066" s="1" t="s">
        <v>9</v>
      </c>
      <c r="D2066" s="1" t="s">
        <v>9</v>
      </c>
      <c r="E2066" s="1" t="s">
        <v>9</v>
      </c>
      <c r="F2066" s="6"/>
      <c r="G2066" s="6"/>
      <c r="H2066" s="11"/>
      <c r="I206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66" t="str">
        <f>IF(Table1[[#This Row],[Nationality]]="Nigeria",Table1[[#This Row],[EMJM Scholarship]],"Not Applicable")</f>
        <v>Not Applicable</v>
      </c>
    </row>
    <row r="2067" spans="1:10" ht="19.25" hidden="1" customHeight="1" x14ac:dyDescent="0.3">
      <c r="A2067" s="8">
        <v>2517158</v>
      </c>
      <c r="B2067" s="6" t="s">
        <v>80</v>
      </c>
      <c r="C2067" s="1" t="s">
        <v>9</v>
      </c>
      <c r="D2067" s="1" t="s">
        <v>9</v>
      </c>
      <c r="E2067" s="1" t="s">
        <v>9</v>
      </c>
      <c r="F2067" s="6"/>
      <c r="G2067" s="6"/>
      <c r="H2067" s="11"/>
      <c r="I206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67" t="str">
        <f>IF(Table1[[#This Row],[Nationality]]="Nigeria",Table1[[#This Row],[EMJM Scholarship]],"Not Applicable")</f>
        <v>Not Applicable</v>
      </c>
    </row>
    <row r="2068" spans="1:10" ht="19.25" hidden="1" customHeight="1" x14ac:dyDescent="0.3">
      <c r="A2068" s="8">
        <v>2517186</v>
      </c>
      <c r="B2068" s="6" t="s">
        <v>80</v>
      </c>
      <c r="C2068" s="1" t="s">
        <v>9</v>
      </c>
      <c r="D2068" s="1" t="s">
        <v>9</v>
      </c>
      <c r="E2068" s="1" t="s">
        <v>9</v>
      </c>
      <c r="F2068" s="6"/>
      <c r="G2068" s="6"/>
      <c r="H2068" s="11"/>
      <c r="I206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68" t="str">
        <f>IF(Table1[[#This Row],[Nationality]]="Nigeria",Table1[[#This Row],[EMJM Scholarship]],"Not Applicable")</f>
        <v>Not Applicable</v>
      </c>
    </row>
    <row r="2069" spans="1:10" ht="19.25" hidden="1" customHeight="1" x14ac:dyDescent="0.3">
      <c r="A2069" s="8">
        <v>2517198</v>
      </c>
      <c r="B2069" s="6" t="s">
        <v>80</v>
      </c>
      <c r="C2069" s="1" t="s">
        <v>9</v>
      </c>
      <c r="D2069" s="1" t="s">
        <v>9</v>
      </c>
      <c r="E2069" s="1" t="s">
        <v>9</v>
      </c>
      <c r="F2069" s="6"/>
      <c r="G2069" s="6"/>
      <c r="H2069" s="11"/>
      <c r="I206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69" t="str">
        <f>IF(Table1[[#This Row],[Nationality]]="Nigeria",Table1[[#This Row],[EMJM Scholarship]],"Not Applicable")</f>
        <v>Not Applicable</v>
      </c>
    </row>
    <row r="2070" spans="1:10" ht="19.25" hidden="1" customHeight="1" x14ac:dyDescent="0.3">
      <c r="A2070" s="8">
        <v>2517206</v>
      </c>
      <c r="B2070" s="6" t="s">
        <v>80</v>
      </c>
      <c r="C2070" s="1" t="s">
        <v>9</v>
      </c>
      <c r="D2070" s="1" t="s">
        <v>9</v>
      </c>
      <c r="E2070" s="1" t="s">
        <v>9</v>
      </c>
      <c r="F2070" s="6"/>
      <c r="G2070" s="6"/>
      <c r="H2070" s="11"/>
      <c r="I207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70" t="str">
        <f>IF(Table1[[#This Row],[Nationality]]="Nigeria",Table1[[#This Row],[EMJM Scholarship]],"Not Applicable")</f>
        <v>Not Applicable</v>
      </c>
    </row>
    <row r="2071" spans="1:10" ht="19.25" hidden="1" customHeight="1" x14ac:dyDescent="0.3">
      <c r="A2071" s="8">
        <v>2517207</v>
      </c>
      <c r="B2071" s="6" t="s">
        <v>80</v>
      </c>
      <c r="C2071" s="1" t="s">
        <v>9</v>
      </c>
      <c r="D2071" s="1" t="s">
        <v>9</v>
      </c>
      <c r="E2071" s="1" t="s">
        <v>9</v>
      </c>
      <c r="F2071" s="6"/>
      <c r="G2071" s="6"/>
      <c r="H2071" s="11"/>
      <c r="I207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71" t="str">
        <f>IF(Table1[[#This Row],[Nationality]]="Nigeria",Table1[[#This Row],[EMJM Scholarship]],"Not Applicable")</f>
        <v>Not Applicable</v>
      </c>
    </row>
    <row r="2072" spans="1:10" ht="19.25" hidden="1" customHeight="1" x14ac:dyDescent="0.3">
      <c r="A2072" s="8">
        <v>2517233</v>
      </c>
      <c r="B2072" s="6" t="s">
        <v>80</v>
      </c>
      <c r="C2072" s="1" t="s">
        <v>9</v>
      </c>
      <c r="D2072" s="1" t="s">
        <v>9</v>
      </c>
      <c r="E2072" s="1" t="s">
        <v>9</v>
      </c>
      <c r="F2072" s="6"/>
      <c r="G2072" s="6"/>
      <c r="H2072" s="11"/>
      <c r="I207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72" t="str">
        <f>IF(Table1[[#This Row],[Nationality]]="Nigeria",Table1[[#This Row],[EMJM Scholarship]],"Not Applicable")</f>
        <v>Not Applicable</v>
      </c>
    </row>
    <row r="2073" spans="1:10" ht="19.25" hidden="1" customHeight="1" x14ac:dyDescent="0.3">
      <c r="A2073" s="8">
        <v>2517287</v>
      </c>
      <c r="B2073" s="6" t="s">
        <v>80</v>
      </c>
      <c r="C2073" s="1" t="s">
        <v>9</v>
      </c>
      <c r="D2073" s="1" t="s">
        <v>9</v>
      </c>
      <c r="E2073" s="1" t="s">
        <v>9</v>
      </c>
      <c r="F2073" s="6"/>
      <c r="G2073" s="6"/>
      <c r="H2073" s="11"/>
      <c r="I207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73" t="str">
        <f>IF(Table1[[#This Row],[Nationality]]="Nigeria",Table1[[#This Row],[EMJM Scholarship]],"Not Applicable")</f>
        <v>Not Applicable</v>
      </c>
    </row>
    <row r="2074" spans="1:10" ht="19.25" hidden="1" customHeight="1" x14ac:dyDescent="0.3">
      <c r="A2074" s="8">
        <v>2517333</v>
      </c>
      <c r="B2074" s="6" t="s">
        <v>80</v>
      </c>
      <c r="C2074" s="1" t="s">
        <v>9</v>
      </c>
      <c r="D2074" s="1" t="s">
        <v>9</v>
      </c>
      <c r="E2074" s="1" t="s">
        <v>9</v>
      </c>
      <c r="F2074" s="6"/>
      <c r="G2074" s="6"/>
      <c r="H2074" s="11"/>
      <c r="I207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74" t="str">
        <f>IF(Table1[[#This Row],[Nationality]]="Nigeria",Table1[[#This Row],[EMJM Scholarship]],"Not Applicable")</f>
        <v>Not Applicable</v>
      </c>
    </row>
    <row r="2075" spans="1:10" ht="19.25" hidden="1" customHeight="1" x14ac:dyDescent="0.3">
      <c r="A2075" s="8">
        <v>2517361</v>
      </c>
      <c r="B2075" s="6" t="s">
        <v>80</v>
      </c>
      <c r="C2075" s="1" t="s">
        <v>9</v>
      </c>
      <c r="D2075" s="1" t="s">
        <v>9</v>
      </c>
      <c r="E2075" s="1" t="s">
        <v>9</v>
      </c>
      <c r="F2075" s="6"/>
      <c r="G2075" s="6"/>
      <c r="H2075" s="11"/>
      <c r="I207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75" t="str">
        <f>IF(Table1[[#This Row],[Nationality]]="Nigeria",Table1[[#This Row],[EMJM Scholarship]],"Not Applicable")</f>
        <v>Not Applicable</v>
      </c>
    </row>
    <row r="2076" spans="1:10" ht="19.25" hidden="1" customHeight="1" x14ac:dyDescent="0.3">
      <c r="A2076" s="8">
        <v>2517366</v>
      </c>
      <c r="B2076" s="6" t="s">
        <v>80</v>
      </c>
      <c r="C2076" s="1" t="s">
        <v>9</v>
      </c>
      <c r="D2076" s="1" t="s">
        <v>9</v>
      </c>
      <c r="E2076" s="1" t="s">
        <v>9</v>
      </c>
      <c r="F2076" s="6"/>
      <c r="G2076" s="6"/>
      <c r="H2076" s="11"/>
      <c r="I207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76" t="str">
        <f>IF(Table1[[#This Row],[Nationality]]="Nigeria",Table1[[#This Row],[EMJM Scholarship]],"Not Applicable")</f>
        <v>Not Applicable</v>
      </c>
    </row>
    <row r="2077" spans="1:10" ht="19.25" hidden="1" customHeight="1" x14ac:dyDescent="0.3">
      <c r="A2077" s="8">
        <v>2517385</v>
      </c>
      <c r="B2077" s="6" t="s">
        <v>80</v>
      </c>
      <c r="C2077" s="1" t="s">
        <v>9</v>
      </c>
      <c r="D2077" s="1" t="s">
        <v>9</v>
      </c>
      <c r="E2077" s="1" t="s">
        <v>9</v>
      </c>
      <c r="F2077" s="6"/>
      <c r="G2077" s="6"/>
      <c r="H2077" s="11"/>
      <c r="I207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77" t="str">
        <f>IF(Table1[[#This Row],[Nationality]]="Nigeria",Table1[[#This Row],[EMJM Scholarship]],"Not Applicable")</f>
        <v>Not Applicable</v>
      </c>
    </row>
    <row r="2078" spans="1:10" ht="19.25" hidden="1" customHeight="1" x14ac:dyDescent="0.3">
      <c r="A2078" s="8">
        <v>2517401</v>
      </c>
      <c r="B2078" s="6" t="s">
        <v>80</v>
      </c>
      <c r="C2078" s="1" t="s">
        <v>9</v>
      </c>
      <c r="D2078" s="1" t="s">
        <v>9</v>
      </c>
      <c r="E2078" s="1" t="s">
        <v>9</v>
      </c>
      <c r="F2078" s="6"/>
      <c r="G2078" s="6"/>
      <c r="H2078" s="11"/>
      <c r="I207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78" t="str">
        <f>IF(Table1[[#This Row],[Nationality]]="Nigeria",Table1[[#This Row],[EMJM Scholarship]],"Not Applicable")</f>
        <v>Not Applicable</v>
      </c>
    </row>
    <row r="2079" spans="1:10" ht="19.25" hidden="1" customHeight="1" x14ac:dyDescent="0.3">
      <c r="A2079" s="8">
        <v>2517443</v>
      </c>
      <c r="B2079" s="6" t="s">
        <v>80</v>
      </c>
      <c r="C2079" s="1" t="s">
        <v>9</v>
      </c>
      <c r="D2079" s="1" t="s">
        <v>9</v>
      </c>
      <c r="E2079" s="1" t="s">
        <v>9</v>
      </c>
      <c r="F2079" s="6"/>
      <c r="G2079" s="6"/>
      <c r="H2079" s="11"/>
      <c r="I207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79" t="str">
        <f>IF(Table1[[#This Row],[Nationality]]="Nigeria",Table1[[#This Row],[EMJM Scholarship]],"Not Applicable")</f>
        <v>Not Applicable</v>
      </c>
    </row>
    <row r="2080" spans="1:10" ht="19.25" hidden="1" customHeight="1" x14ac:dyDescent="0.3">
      <c r="A2080" s="8">
        <v>2517482</v>
      </c>
      <c r="B2080" s="6" t="s">
        <v>80</v>
      </c>
      <c r="C2080" s="1" t="s">
        <v>9</v>
      </c>
      <c r="D2080" s="1" t="s">
        <v>9</v>
      </c>
      <c r="E2080" s="1" t="s">
        <v>9</v>
      </c>
      <c r="F2080" s="6"/>
      <c r="G2080" s="6"/>
      <c r="H2080" s="11"/>
      <c r="I208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80" t="str">
        <f>IF(Table1[[#This Row],[Nationality]]="Nigeria",Table1[[#This Row],[EMJM Scholarship]],"Not Applicable")</f>
        <v>Not Applicable</v>
      </c>
    </row>
    <row r="2081" spans="1:10" ht="19.25" hidden="1" customHeight="1" x14ac:dyDescent="0.3">
      <c r="A2081" s="8">
        <v>2517489</v>
      </c>
      <c r="B2081" s="6" t="s">
        <v>80</v>
      </c>
      <c r="C2081" s="1" t="s">
        <v>9</v>
      </c>
      <c r="D2081" s="1" t="s">
        <v>9</v>
      </c>
      <c r="E2081" s="1" t="s">
        <v>9</v>
      </c>
      <c r="F2081" s="6"/>
      <c r="G2081" s="6"/>
      <c r="H2081" s="11"/>
      <c r="I208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81" t="str">
        <f>IF(Table1[[#This Row],[Nationality]]="Nigeria",Table1[[#This Row],[EMJM Scholarship]],"Not Applicable")</f>
        <v>Not Applicable</v>
      </c>
    </row>
    <row r="2082" spans="1:10" ht="19.25" hidden="1" customHeight="1" x14ac:dyDescent="0.3">
      <c r="A2082" s="8">
        <v>2517496</v>
      </c>
      <c r="B2082" s="6" t="s">
        <v>80</v>
      </c>
      <c r="C2082" s="1" t="s">
        <v>9</v>
      </c>
      <c r="D2082" s="1" t="s">
        <v>9</v>
      </c>
      <c r="E2082" s="1" t="s">
        <v>9</v>
      </c>
      <c r="F2082" s="6"/>
      <c r="G2082" s="6"/>
      <c r="H2082" s="11"/>
      <c r="I208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82" t="str">
        <f>IF(Table1[[#This Row],[Nationality]]="Nigeria",Table1[[#This Row],[EMJM Scholarship]],"Not Applicable")</f>
        <v>Not Applicable</v>
      </c>
    </row>
    <row r="2083" spans="1:10" ht="19.25" hidden="1" customHeight="1" x14ac:dyDescent="0.3">
      <c r="A2083" s="8">
        <v>2517503</v>
      </c>
      <c r="B2083" s="6" t="s">
        <v>80</v>
      </c>
      <c r="C2083" s="1" t="s">
        <v>9</v>
      </c>
      <c r="D2083" s="1" t="s">
        <v>9</v>
      </c>
      <c r="E2083" s="1" t="s">
        <v>9</v>
      </c>
      <c r="F2083" s="6"/>
      <c r="G2083" s="6"/>
      <c r="H2083" s="11"/>
      <c r="I208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83" t="str">
        <f>IF(Table1[[#This Row],[Nationality]]="Nigeria",Table1[[#This Row],[EMJM Scholarship]],"Not Applicable")</f>
        <v>Not Applicable</v>
      </c>
    </row>
    <row r="2084" spans="1:10" ht="19.25" hidden="1" customHeight="1" x14ac:dyDescent="0.3">
      <c r="A2084" s="8">
        <v>2517504</v>
      </c>
      <c r="B2084" s="6" t="s">
        <v>80</v>
      </c>
      <c r="C2084" s="1" t="s">
        <v>9</v>
      </c>
      <c r="D2084" s="1" t="s">
        <v>9</v>
      </c>
      <c r="E2084" s="1" t="s">
        <v>9</v>
      </c>
      <c r="F2084" s="6"/>
      <c r="G2084" s="6"/>
      <c r="H2084" s="11"/>
      <c r="I208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84" t="str">
        <f>IF(Table1[[#This Row],[Nationality]]="Nigeria",Table1[[#This Row],[EMJM Scholarship]],"Not Applicable")</f>
        <v>Not Applicable</v>
      </c>
    </row>
    <row r="2085" spans="1:10" ht="19.25" hidden="1" customHeight="1" x14ac:dyDescent="0.3">
      <c r="A2085" s="8">
        <v>2517510</v>
      </c>
      <c r="B2085" s="6" t="s">
        <v>80</v>
      </c>
      <c r="C2085" s="1" t="s">
        <v>9</v>
      </c>
      <c r="D2085" s="1" t="s">
        <v>9</v>
      </c>
      <c r="E2085" s="1" t="s">
        <v>9</v>
      </c>
      <c r="F2085" s="6"/>
      <c r="G2085" s="6"/>
      <c r="H2085" s="11"/>
      <c r="I208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85" t="str">
        <f>IF(Table1[[#This Row],[Nationality]]="Nigeria",Table1[[#This Row],[EMJM Scholarship]],"Not Applicable")</f>
        <v>Not Applicable</v>
      </c>
    </row>
    <row r="2086" spans="1:10" ht="19.25" hidden="1" customHeight="1" x14ac:dyDescent="0.3">
      <c r="A2086" s="8">
        <v>2517524</v>
      </c>
      <c r="B2086" s="6" t="s">
        <v>80</v>
      </c>
      <c r="C2086" s="1" t="s">
        <v>9</v>
      </c>
      <c r="D2086" s="1" t="s">
        <v>9</v>
      </c>
      <c r="E2086" s="1" t="s">
        <v>9</v>
      </c>
      <c r="F2086" s="6"/>
      <c r="G2086" s="6"/>
      <c r="H2086" s="11"/>
      <c r="I208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86" t="str">
        <f>IF(Table1[[#This Row],[Nationality]]="Nigeria",Table1[[#This Row],[EMJM Scholarship]],"Not Applicable")</f>
        <v>Not Applicable</v>
      </c>
    </row>
    <row r="2087" spans="1:10" ht="19.25" hidden="1" customHeight="1" x14ac:dyDescent="0.3">
      <c r="A2087" s="8">
        <v>2517529</v>
      </c>
      <c r="B2087" s="6" t="s">
        <v>80</v>
      </c>
      <c r="C2087" s="1" t="s">
        <v>9</v>
      </c>
      <c r="D2087" s="1" t="s">
        <v>9</v>
      </c>
      <c r="E2087" s="1" t="s">
        <v>9</v>
      </c>
      <c r="F2087" s="6"/>
      <c r="G2087" s="6"/>
      <c r="H2087" s="11"/>
      <c r="I208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87" t="str">
        <f>IF(Table1[[#This Row],[Nationality]]="Nigeria",Table1[[#This Row],[EMJM Scholarship]],"Not Applicable")</f>
        <v>Not Applicable</v>
      </c>
    </row>
    <row r="2088" spans="1:10" ht="19.25" hidden="1" customHeight="1" x14ac:dyDescent="0.3">
      <c r="A2088" s="8">
        <v>2517577</v>
      </c>
      <c r="B2088" s="6" t="s">
        <v>80</v>
      </c>
      <c r="C2088" s="1" t="s">
        <v>9</v>
      </c>
      <c r="D2088" s="1" t="s">
        <v>9</v>
      </c>
      <c r="E2088" s="1" t="s">
        <v>9</v>
      </c>
      <c r="F2088" s="6"/>
      <c r="G2088" s="6"/>
      <c r="H2088" s="11"/>
      <c r="I208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88" t="str">
        <f>IF(Table1[[#This Row],[Nationality]]="Nigeria",Table1[[#This Row],[EMJM Scholarship]],"Not Applicable")</f>
        <v>Not Applicable</v>
      </c>
    </row>
    <row r="2089" spans="1:10" ht="19.25" hidden="1" customHeight="1" x14ac:dyDescent="0.3">
      <c r="A2089" s="8">
        <v>2517580</v>
      </c>
      <c r="B2089" s="6" t="s">
        <v>80</v>
      </c>
      <c r="C2089" s="1" t="s">
        <v>9</v>
      </c>
      <c r="D2089" s="1" t="s">
        <v>9</v>
      </c>
      <c r="E2089" s="1" t="s">
        <v>9</v>
      </c>
      <c r="F2089" s="6"/>
      <c r="G2089" s="6"/>
      <c r="H2089" s="11"/>
      <c r="I208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89" t="str">
        <f>IF(Table1[[#This Row],[Nationality]]="Nigeria",Table1[[#This Row],[EMJM Scholarship]],"Not Applicable")</f>
        <v>Not Applicable</v>
      </c>
    </row>
    <row r="2090" spans="1:10" ht="19.25" hidden="1" customHeight="1" x14ac:dyDescent="0.3">
      <c r="A2090" s="8">
        <v>2517591</v>
      </c>
      <c r="B2090" s="6" t="s">
        <v>80</v>
      </c>
      <c r="C2090" s="1" t="s">
        <v>9</v>
      </c>
      <c r="D2090" s="1" t="s">
        <v>9</v>
      </c>
      <c r="E2090" s="1" t="s">
        <v>9</v>
      </c>
      <c r="F2090" s="6"/>
      <c r="G2090" s="6"/>
      <c r="H2090" s="11"/>
      <c r="I209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90" t="str">
        <f>IF(Table1[[#This Row],[Nationality]]="Nigeria",Table1[[#This Row],[EMJM Scholarship]],"Not Applicable")</f>
        <v>Not Applicable</v>
      </c>
    </row>
    <row r="2091" spans="1:10" ht="19.25" hidden="1" customHeight="1" x14ac:dyDescent="0.3">
      <c r="A2091" s="8">
        <v>2517608</v>
      </c>
      <c r="B2091" s="6" t="s">
        <v>80</v>
      </c>
      <c r="C2091" s="1" t="s">
        <v>9</v>
      </c>
      <c r="D2091" s="1" t="s">
        <v>9</v>
      </c>
      <c r="E2091" s="1" t="s">
        <v>9</v>
      </c>
      <c r="F2091" s="6"/>
      <c r="G2091" s="6"/>
      <c r="H2091" s="11"/>
      <c r="I209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91" t="str">
        <f>IF(Table1[[#This Row],[Nationality]]="Nigeria",Table1[[#This Row],[EMJM Scholarship]],"Not Applicable")</f>
        <v>Not Applicable</v>
      </c>
    </row>
    <row r="2092" spans="1:10" ht="19.25" hidden="1" customHeight="1" x14ac:dyDescent="0.3">
      <c r="A2092" s="8">
        <v>2517618</v>
      </c>
      <c r="B2092" s="6" t="s">
        <v>80</v>
      </c>
      <c r="C2092" s="1" t="s">
        <v>9</v>
      </c>
      <c r="D2092" s="1" t="s">
        <v>9</v>
      </c>
      <c r="E2092" s="1" t="s">
        <v>9</v>
      </c>
      <c r="F2092" s="6"/>
      <c r="G2092" s="6"/>
      <c r="H2092" s="11"/>
      <c r="I209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92" t="str">
        <f>IF(Table1[[#This Row],[Nationality]]="Nigeria",Table1[[#This Row],[EMJM Scholarship]],"Not Applicable")</f>
        <v>Not Applicable</v>
      </c>
    </row>
    <row r="2093" spans="1:10" ht="19.25" hidden="1" customHeight="1" x14ac:dyDescent="0.3">
      <c r="A2093" s="8">
        <v>2517632</v>
      </c>
      <c r="B2093" s="6" t="s">
        <v>80</v>
      </c>
      <c r="C2093" s="1" t="s">
        <v>9</v>
      </c>
      <c r="D2093" s="1" t="s">
        <v>9</v>
      </c>
      <c r="E2093" s="1" t="s">
        <v>9</v>
      </c>
      <c r="F2093" s="6"/>
      <c r="G2093" s="6"/>
      <c r="H2093" s="11"/>
      <c r="I209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93" t="str">
        <f>IF(Table1[[#This Row],[Nationality]]="Nigeria",Table1[[#This Row],[EMJM Scholarship]],"Not Applicable")</f>
        <v>Not Applicable</v>
      </c>
    </row>
    <row r="2094" spans="1:10" ht="19.25" hidden="1" customHeight="1" x14ac:dyDescent="0.3">
      <c r="A2094" s="8">
        <v>2517636</v>
      </c>
      <c r="B2094" s="6" t="s">
        <v>80</v>
      </c>
      <c r="C2094" s="1" t="s">
        <v>9</v>
      </c>
      <c r="D2094" s="1" t="s">
        <v>9</v>
      </c>
      <c r="E2094" s="1" t="s">
        <v>9</v>
      </c>
      <c r="F2094" s="6"/>
      <c r="G2094" s="6"/>
      <c r="H2094" s="11"/>
      <c r="I209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94" t="str">
        <f>IF(Table1[[#This Row],[Nationality]]="Nigeria",Table1[[#This Row],[EMJM Scholarship]],"Not Applicable")</f>
        <v>Not Applicable</v>
      </c>
    </row>
    <row r="2095" spans="1:10" ht="19.25" hidden="1" customHeight="1" x14ac:dyDescent="0.3">
      <c r="A2095" s="8">
        <v>2517672</v>
      </c>
      <c r="B2095" s="6" t="s">
        <v>80</v>
      </c>
      <c r="C2095" s="1" t="s">
        <v>9</v>
      </c>
      <c r="D2095" s="1" t="s">
        <v>9</v>
      </c>
      <c r="E2095" s="1" t="s">
        <v>9</v>
      </c>
      <c r="F2095" s="6"/>
      <c r="G2095" s="6"/>
      <c r="H2095" s="11"/>
      <c r="I209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95" t="str">
        <f>IF(Table1[[#This Row],[Nationality]]="Nigeria",Table1[[#This Row],[EMJM Scholarship]],"Not Applicable")</f>
        <v>Not Applicable</v>
      </c>
    </row>
    <row r="2096" spans="1:10" ht="19.25" hidden="1" customHeight="1" x14ac:dyDescent="0.3">
      <c r="A2096" s="8">
        <v>2517673</v>
      </c>
      <c r="B2096" s="6" t="s">
        <v>80</v>
      </c>
      <c r="C2096" s="1" t="s">
        <v>9</v>
      </c>
      <c r="D2096" s="1" t="s">
        <v>9</v>
      </c>
      <c r="E2096" s="1" t="s">
        <v>9</v>
      </c>
      <c r="F2096" s="6"/>
      <c r="G2096" s="6"/>
      <c r="H2096" s="11"/>
      <c r="I209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96" t="str">
        <f>IF(Table1[[#This Row],[Nationality]]="Nigeria",Table1[[#This Row],[EMJM Scholarship]],"Not Applicable")</f>
        <v>Not Applicable</v>
      </c>
    </row>
    <row r="2097" spans="1:10" ht="19.25" hidden="1" customHeight="1" x14ac:dyDescent="0.3">
      <c r="A2097" s="8">
        <v>2517676</v>
      </c>
      <c r="B2097" s="6" t="s">
        <v>80</v>
      </c>
      <c r="C2097" s="1" t="s">
        <v>9</v>
      </c>
      <c r="D2097" s="1" t="s">
        <v>9</v>
      </c>
      <c r="E2097" s="1" t="s">
        <v>9</v>
      </c>
      <c r="F2097" s="6"/>
      <c r="G2097" s="6"/>
      <c r="H2097" s="11"/>
      <c r="I209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97" t="str">
        <f>IF(Table1[[#This Row],[Nationality]]="Nigeria",Table1[[#This Row],[EMJM Scholarship]],"Not Applicable")</f>
        <v>Not Applicable</v>
      </c>
    </row>
    <row r="2098" spans="1:10" ht="19.25" hidden="1" customHeight="1" x14ac:dyDescent="0.3">
      <c r="A2098" s="8">
        <v>2517685</v>
      </c>
      <c r="B2098" s="6" t="s">
        <v>80</v>
      </c>
      <c r="C2098" s="1" t="s">
        <v>9</v>
      </c>
      <c r="D2098" s="1" t="s">
        <v>9</v>
      </c>
      <c r="E2098" s="1" t="s">
        <v>9</v>
      </c>
      <c r="F2098" s="6"/>
      <c r="G2098" s="6"/>
      <c r="H2098" s="11"/>
      <c r="I209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98" t="str">
        <f>IF(Table1[[#This Row],[Nationality]]="Nigeria",Table1[[#This Row],[EMJM Scholarship]],"Not Applicable")</f>
        <v>Not Applicable</v>
      </c>
    </row>
    <row r="2099" spans="1:10" ht="19.25" hidden="1" customHeight="1" x14ac:dyDescent="0.3">
      <c r="A2099" s="8">
        <v>2517689</v>
      </c>
      <c r="B2099" s="6" t="s">
        <v>80</v>
      </c>
      <c r="C2099" s="1" t="s">
        <v>9</v>
      </c>
      <c r="D2099" s="1" t="s">
        <v>9</v>
      </c>
      <c r="E2099" s="1" t="s">
        <v>9</v>
      </c>
      <c r="F2099" s="6"/>
      <c r="G2099" s="6"/>
      <c r="H2099" s="11"/>
      <c r="I209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099" t="str">
        <f>IF(Table1[[#This Row],[Nationality]]="Nigeria",Table1[[#This Row],[EMJM Scholarship]],"Not Applicable")</f>
        <v>Not Applicable</v>
      </c>
    </row>
    <row r="2100" spans="1:10" ht="19.25" hidden="1" customHeight="1" x14ac:dyDescent="0.3">
      <c r="A2100" s="8">
        <v>2517693</v>
      </c>
      <c r="B2100" s="6" t="s">
        <v>80</v>
      </c>
      <c r="C2100" s="1" t="s">
        <v>9</v>
      </c>
      <c r="D2100" s="1" t="s">
        <v>9</v>
      </c>
      <c r="E2100" s="1" t="s">
        <v>9</v>
      </c>
      <c r="F2100" s="6"/>
      <c r="G2100" s="6"/>
      <c r="H2100" s="11"/>
      <c r="I210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00" t="str">
        <f>IF(Table1[[#This Row],[Nationality]]="Nigeria",Table1[[#This Row],[EMJM Scholarship]],"Not Applicable")</f>
        <v>Not Applicable</v>
      </c>
    </row>
    <row r="2101" spans="1:10" ht="19.25" hidden="1" customHeight="1" x14ac:dyDescent="0.3">
      <c r="A2101" s="8">
        <v>2517694</v>
      </c>
      <c r="B2101" s="6" t="s">
        <v>80</v>
      </c>
      <c r="C2101" s="1" t="s">
        <v>9</v>
      </c>
      <c r="D2101" s="1" t="s">
        <v>9</v>
      </c>
      <c r="E2101" s="1" t="s">
        <v>9</v>
      </c>
      <c r="F2101" s="6"/>
      <c r="G2101" s="6"/>
      <c r="H2101" s="11"/>
      <c r="I210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01" t="str">
        <f>IF(Table1[[#This Row],[Nationality]]="Nigeria",Table1[[#This Row],[EMJM Scholarship]],"Not Applicable")</f>
        <v>Not Applicable</v>
      </c>
    </row>
    <row r="2102" spans="1:10" ht="19.25" hidden="1" customHeight="1" x14ac:dyDescent="0.3">
      <c r="A2102" s="8">
        <v>2517721</v>
      </c>
      <c r="B2102" s="6" t="s">
        <v>80</v>
      </c>
      <c r="C2102" s="1" t="s">
        <v>9</v>
      </c>
      <c r="D2102" s="1" t="s">
        <v>9</v>
      </c>
      <c r="E2102" s="1" t="s">
        <v>9</v>
      </c>
      <c r="F2102" s="6"/>
      <c r="G2102" s="6"/>
      <c r="H2102" s="11"/>
      <c r="I210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02" t="str">
        <f>IF(Table1[[#This Row],[Nationality]]="Nigeria",Table1[[#This Row],[EMJM Scholarship]],"Not Applicable")</f>
        <v>Not Applicable</v>
      </c>
    </row>
    <row r="2103" spans="1:10" ht="19.25" hidden="1" customHeight="1" x14ac:dyDescent="0.3">
      <c r="A2103" s="8">
        <v>2517732</v>
      </c>
      <c r="B2103" s="6" t="s">
        <v>80</v>
      </c>
      <c r="C2103" s="1" t="s">
        <v>9</v>
      </c>
      <c r="D2103" s="1" t="s">
        <v>9</v>
      </c>
      <c r="E2103" s="1" t="s">
        <v>9</v>
      </c>
      <c r="F2103" s="6"/>
      <c r="G2103" s="6"/>
      <c r="H2103" s="11"/>
      <c r="I210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03" t="str">
        <f>IF(Table1[[#This Row],[Nationality]]="Nigeria",Table1[[#This Row],[EMJM Scholarship]],"Not Applicable")</f>
        <v>Not Applicable</v>
      </c>
    </row>
    <row r="2104" spans="1:10" ht="19.25" hidden="1" customHeight="1" x14ac:dyDescent="0.3">
      <c r="A2104" s="8">
        <v>2517741</v>
      </c>
      <c r="B2104" s="6" t="s">
        <v>80</v>
      </c>
      <c r="C2104" s="1" t="s">
        <v>9</v>
      </c>
      <c r="D2104" s="1" t="s">
        <v>9</v>
      </c>
      <c r="E2104" s="1" t="s">
        <v>9</v>
      </c>
      <c r="F2104" s="6"/>
      <c r="G2104" s="6"/>
      <c r="H2104" s="11"/>
      <c r="I210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04" t="str">
        <f>IF(Table1[[#This Row],[Nationality]]="Nigeria",Table1[[#This Row],[EMJM Scholarship]],"Not Applicable")</f>
        <v>Not Applicable</v>
      </c>
    </row>
    <row r="2105" spans="1:10" ht="19.25" hidden="1" customHeight="1" x14ac:dyDescent="0.3">
      <c r="A2105" s="8">
        <v>2517743</v>
      </c>
      <c r="B2105" s="6" t="s">
        <v>80</v>
      </c>
      <c r="C2105" s="1" t="s">
        <v>9</v>
      </c>
      <c r="D2105" s="1" t="s">
        <v>9</v>
      </c>
      <c r="E2105" s="1" t="s">
        <v>9</v>
      </c>
      <c r="F2105" s="6"/>
      <c r="G2105" s="6"/>
      <c r="H2105" s="11"/>
      <c r="I210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05" t="str">
        <f>IF(Table1[[#This Row],[Nationality]]="Nigeria",Table1[[#This Row],[EMJM Scholarship]],"Not Applicable")</f>
        <v>Not Applicable</v>
      </c>
    </row>
    <row r="2106" spans="1:10" ht="19.25" hidden="1" customHeight="1" x14ac:dyDescent="0.3">
      <c r="A2106" s="8">
        <v>2517744</v>
      </c>
      <c r="B2106" s="6" t="s">
        <v>80</v>
      </c>
      <c r="C2106" s="1" t="s">
        <v>9</v>
      </c>
      <c r="D2106" s="1" t="s">
        <v>9</v>
      </c>
      <c r="E2106" s="1" t="s">
        <v>9</v>
      </c>
      <c r="F2106" s="6"/>
      <c r="G2106" s="6"/>
      <c r="H2106" s="11"/>
      <c r="I210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06" t="str">
        <f>IF(Table1[[#This Row],[Nationality]]="Nigeria",Table1[[#This Row],[EMJM Scholarship]],"Not Applicable")</f>
        <v>Not Applicable</v>
      </c>
    </row>
    <row r="2107" spans="1:10" ht="19.25" hidden="1" customHeight="1" x14ac:dyDescent="0.3">
      <c r="A2107" s="8">
        <v>2517750</v>
      </c>
      <c r="B2107" s="6" t="s">
        <v>80</v>
      </c>
      <c r="C2107" s="1" t="s">
        <v>9</v>
      </c>
      <c r="D2107" s="1" t="s">
        <v>9</v>
      </c>
      <c r="E2107" s="1" t="s">
        <v>9</v>
      </c>
      <c r="F2107" s="6"/>
      <c r="G2107" s="6"/>
      <c r="H2107" s="11"/>
      <c r="I210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07" t="str">
        <f>IF(Table1[[#This Row],[Nationality]]="Nigeria",Table1[[#This Row],[EMJM Scholarship]],"Not Applicable")</f>
        <v>Not Applicable</v>
      </c>
    </row>
    <row r="2108" spans="1:10" ht="19.25" hidden="1" customHeight="1" x14ac:dyDescent="0.3">
      <c r="A2108" s="8">
        <v>2517768</v>
      </c>
      <c r="B2108" s="6" t="s">
        <v>80</v>
      </c>
      <c r="C2108" s="1" t="s">
        <v>9</v>
      </c>
      <c r="D2108" s="1" t="s">
        <v>9</v>
      </c>
      <c r="E2108" s="1" t="s">
        <v>9</v>
      </c>
      <c r="F2108" s="6"/>
      <c r="G2108" s="6"/>
      <c r="H2108" s="11"/>
      <c r="I210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08" t="str">
        <f>IF(Table1[[#This Row],[Nationality]]="Nigeria",Table1[[#This Row],[EMJM Scholarship]],"Not Applicable")</f>
        <v>Not Applicable</v>
      </c>
    </row>
    <row r="2109" spans="1:10" ht="19.25" hidden="1" customHeight="1" x14ac:dyDescent="0.3">
      <c r="A2109" s="8">
        <v>2517779</v>
      </c>
      <c r="B2109" s="6" t="s">
        <v>80</v>
      </c>
      <c r="C2109" s="1" t="s">
        <v>9</v>
      </c>
      <c r="D2109" s="1" t="s">
        <v>9</v>
      </c>
      <c r="E2109" s="1" t="s">
        <v>9</v>
      </c>
      <c r="F2109" s="6"/>
      <c r="G2109" s="6"/>
      <c r="H2109" s="11"/>
      <c r="I210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09" t="str">
        <f>IF(Table1[[#This Row],[Nationality]]="Nigeria",Table1[[#This Row],[EMJM Scholarship]],"Not Applicable")</f>
        <v>Not Applicable</v>
      </c>
    </row>
    <row r="2110" spans="1:10" ht="19.25" hidden="1" customHeight="1" x14ac:dyDescent="0.3">
      <c r="A2110" s="8">
        <v>2517812</v>
      </c>
      <c r="B2110" s="6" t="s">
        <v>80</v>
      </c>
      <c r="C2110" s="1" t="s">
        <v>9</v>
      </c>
      <c r="D2110" s="1" t="s">
        <v>9</v>
      </c>
      <c r="E2110" s="1" t="s">
        <v>9</v>
      </c>
      <c r="F2110" s="6"/>
      <c r="G2110" s="6"/>
      <c r="H2110" s="11"/>
      <c r="I211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10" t="str">
        <f>IF(Table1[[#This Row],[Nationality]]="Nigeria",Table1[[#This Row],[EMJM Scholarship]],"Not Applicable")</f>
        <v>Not Applicable</v>
      </c>
    </row>
    <row r="2111" spans="1:10" ht="19.25" hidden="1" customHeight="1" x14ac:dyDescent="0.3">
      <c r="A2111" s="8">
        <v>2517815</v>
      </c>
      <c r="B2111" s="6" t="s">
        <v>80</v>
      </c>
      <c r="C2111" s="1" t="s">
        <v>9</v>
      </c>
      <c r="D2111" s="1" t="s">
        <v>9</v>
      </c>
      <c r="E2111" s="1" t="s">
        <v>9</v>
      </c>
      <c r="F2111" s="6"/>
      <c r="G2111" s="6"/>
      <c r="H2111" s="11"/>
      <c r="I211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11" t="str">
        <f>IF(Table1[[#This Row],[Nationality]]="Nigeria",Table1[[#This Row],[EMJM Scholarship]],"Not Applicable")</f>
        <v>Not Applicable</v>
      </c>
    </row>
    <row r="2112" spans="1:10" ht="19.25" hidden="1" customHeight="1" x14ac:dyDescent="0.3">
      <c r="A2112" s="8">
        <v>2517820</v>
      </c>
      <c r="B2112" s="6" t="s">
        <v>80</v>
      </c>
      <c r="C2112" s="1" t="s">
        <v>9</v>
      </c>
      <c r="D2112" s="1" t="s">
        <v>9</v>
      </c>
      <c r="E2112" s="1" t="s">
        <v>9</v>
      </c>
      <c r="F2112" s="6"/>
      <c r="G2112" s="6"/>
      <c r="H2112" s="11"/>
      <c r="I211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12" t="str">
        <f>IF(Table1[[#This Row],[Nationality]]="Nigeria",Table1[[#This Row],[EMJM Scholarship]],"Not Applicable")</f>
        <v>Not Applicable</v>
      </c>
    </row>
    <row r="2113" spans="1:10" ht="19.25" hidden="1" customHeight="1" x14ac:dyDescent="0.3">
      <c r="A2113" s="8">
        <v>2517834</v>
      </c>
      <c r="B2113" s="6" t="s">
        <v>80</v>
      </c>
      <c r="C2113" s="1" t="s">
        <v>9</v>
      </c>
      <c r="D2113" s="1" t="s">
        <v>9</v>
      </c>
      <c r="E2113" s="1" t="s">
        <v>9</v>
      </c>
      <c r="F2113" s="6"/>
      <c r="G2113" s="6"/>
      <c r="H2113" s="11"/>
      <c r="I211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13" t="str">
        <f>IF(Table1[[#This Row],[Nationality]]="Nigeria",Table1[[#This Row],[EMJM Scholarship]],"Not Applicable")</f>
        <v>Not Applicable</v>
      </c>
    </row>
    <row r="2114" spans="1:10" ht="19.25" hidden="1" customHeight="1" x14ac:dyDescent="0.3">
      <c r="A2114" s="8">
        <v>2517838</v>
      </c>
      <c r="B2114" s="6" t="s">
        <v>80</v>
      </c>
      <c r="C2114" s="1" t="s">
        <v>9</v>
      </c>
      <c r="D2114" s="1" t="s">
        <v>9</v>
      </c>
      <c r="E2114" s="1" t="s">
        <v>9</v>
      </c>
      <c r="F2114" s="6"/>
      <c r="G2114" s="6"/>
      <c r="H2114" s="11"/>
      <c r="I211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14" t="str">
        <f>IF(Table1[[#This Row],[Nationality]]="Nigeria",Table1[[#This Row],[EMJM Scholarship]],"Not Applicable")</f>
        <v>Not Applicable</v>
      </c>
    </row>
    <row r="2115" spans="1:10" ht="19.25" hidden="1" customHeight="1" x14ac:dyDescent="0.3">
      <c r="A2115" s="8">
        <v>2517851</v>
      </c>
      <c r="B2115" s="6" t="s">
        <v>80</v>
      </c>
      <c r="C2115" s="1" t="s">
        <v>9</v>
      </c>
      <c r="D2115" s="1" t="s">
        <v>9</v>
      </c>
      <c r="E2115" s="1" t="s">
        <v>9</v>
      </c>
      <c r="F2115" s="6"/>
      <c r="G2115" s="6"/>
      <c r="H2115" s="11"/>
      <c r="I211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15" t="str">
        <f>IF(Table1[[#This Row],[Nationality]]="Nigeria",Table1[[#This Row],[EMJM Scholarship]],"Not Applicable")</f>
        <v>Not Applicable</v>
      </c>
    </row>
    <row r="2116" spans="1:10" ht="19.25" hidden="1" customHeight="1" x14ac:dyDescent="0.3">
      <c r="A2116" s="8">
        <v>2517854</v>
      </c>
      <c r="B2116" s="6" t="s">
        <v>80</v>
      </c>
      <c r="C2116" s="1" t="s">
        <v>9</v>
      </c>
      <c r="D2116" s="1" t="s">
        <v>9</v>
      </c>
      <c r="E2116" s="1" t="s">
        <v>9</v>
      </c>
      <c r="F2116" s="6"/>
      <c r="G2116" s="6"/>
      <c r="H2116" s="11"/>
      <c r="I211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16" t="str">
        <f>IF(Table1[[#This Row],[Nationality]]="Nigeria",Table1[[#This Row],[EMJM Scholarship]],"Not Applicable")</f>
        <v>Not Applicable</v>
      </c>
    </row>
    <row r="2117" spans="1:10" ht="19.25" hidden="1" customHeight="1" x14ac:dyDescent="0.3">
      <c r="A2117" s="8">
        <v>2517874</v>
      </c>
      <c r="B2117" s="6" t="s">
        <v>80</v>
      </c>
      <c r="C2117" s="1" t="s">
        <v>9</v>
      </c>
      <c r="D2117" s="1" t="s">
        <v>9</v>
      </c>
      <c r="E2117" s="1" t="s">
        <v>9</v>
      </c>
      <c r="F2117" s="6"/>
      <c r="G2117" s="6"/>
      <c r="H2117" s="11"/>
      <c r="I211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17" t="str">
        <f>IF(Table1[[#This Row],[Nationality]]="Nigeria",Table1[[#This Row],[EMJM Scholarship]],"Not Applicable")</f>
        <v>Not Applicable</v>
      </c>
    </row>
    <row r="2118" spans="1:10" ht="19.25" hidden="1" customHeight="1" x14ac:dyDescent="0.3">
      <c r="A2118" s="8">
        <v>2517876</v>
      </c>
      <c r="B2118" s="6" t="s">
        <v>80</v>
      </c>
      <c r="C2118" s="1" t="s">
        <v>9</v>
      </c>
      <c r="D2118" s="1" t="s">
        <v>9</v>
      </c>
      <c r="E2118" s="1" t="s">
        <v>9</v>
      </c>
      <c r="F2118" s="6"/>
      <c r="G2118" s="6"/>
      <c r="H2118" s="11"/>
      <c r="I211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18" t="str">
        <f>IF(Table1[[#This Row],[Nationality]]="Nigeria",Table1[[#This Row],[EMJM Scholarship]],"Not Applicable")</f>
        <v>Not Applicable</v>
      </c>
    </row>
    <row r="2119" spans="1:10" ht="19.25" hidden="1" customHeight="1" x14ac:dyDescent="0.3">
      <c r="A2119" s="8">
        <v>2517887</v>
      </c>
      <c r="B2119" s="6" t="s">
        <v>80</v>
      </c>
      <c r="C2119" s="1" t="s">
        <v>9</v>
      </c>
      <c r="D2119" s="1" t="s">
        <v>9</v>
      </c>
      <c r="E2119" s="1" t="s">
        <v>9</v>
      </c>
      <c r="F2119" s="6"/>
      <c r="G2119" s="6"/>
      <c r="H2119" s="11"/>
      <c r="I211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19" t="str">
        <f>IF(Table1[[#This Row],[Nationality]]="Nigeria",Table1[[#This Row],[EMJM Scholarship]],"Not Applicable")</f>
        <v>Not Applicable</v>
      </c>
    </row>
    <row r="2120" spans="1:10" ht="19.25" hidden="1" customHeight="1" x14ac:dyDescent="0.3">
      <c r="A2120" s="8">
        <v>2517904</v>
      </c>
      <c r="B2120" s="6" t="s">
        <v>80</v>
      </c>
      <c r="C2120" s="1" t="s">
        <v>9</v>
      </c>
      <c r="D2120" s="1" t="s">
        <v>9</v>
      </c>
      <c r="E2120" s="1" t="s">
        <v>9</v>
      </c>
      <c r="F2120" s="6"/>
      <c r="G2120" s="6"/>
      <c r="H2120" s="11"/>
      <c r="I212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20" t="str">
        <f>IF(Table1[[#This Row],[Nationality]]="Nigeria",Table1[[#This Row],[EMJM Scholarship]],"Not Applicable")</f>
        <v>Not Applicable</v>
      </c>
    </row>
    <row r="2121" spans="1:10" ht="19.25" hidden="1" customHeight="1" x14ac:dyDescent="0.3">
      <c r="A2121" s="8">
        <v>2517933</v>
      </c>
      <c r="B2121" s="6" t="s">
        <v>80</v>
      </c>
      <c r="C2121" s="1" t="s">
        <v>9</v>
      </c>
      <c r="D2121" s="1" t="s">
        <v>9</v>
      </c>
      <c r="E2121" s="1" t="s">
        <v>9</v>
      </c>
      <c r="F2121" s="6"/>
      <c r="G2121" s="6"/>
      <c r="H2121" s="11"/>
      <c r="I212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21" t="str">
        <f>IF(Table1[[#This Row],[Nationality]]="Nigeria",Table1[[#This Row],[EMJM Scholarship]],"Not Applicable")</f>
        <v>Not Applicable</v>
      </c>
    </row>
    <row r="2122" spans="1:10" ht="19.25" hidden="1" customHeight="1" x14ac:dyDescent="0.3">
      <c r="A2122" s="8">
        <v>2517938</v>
      </c>
      <c r="B2122" s="6" t="s">
        <v>80</v>
      </c>
      <c r="C2122" s="1" t="s">
        <v>9</v>
      </c>
      <c r="D2122" s="1" t="s">
        <v>9</v>
      </c>
      <c r="E2122" s="1" t="s">
        <v>9</v>
      </c>
      <c r="F2122" s="6"/>
      <c r="G2122" s="6"/>
      <c r="H2122" s="11"/>
      <c r="I212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22" t="str">
        <f>IF(Table1[[#This Row],[Nationality]]="Nigeria",Table1[[#This Row],[EMJM Scholarship]],"Not Applicable")</f>
        <v>Not Applicable</v>
      </c>
    </row>
    <row r="2123" spans="1:10" ht="19.25" hidden="1" customHeight="1" x14ac:dyDescent="0.3">
      <c r="A2123" s="8">
        <v>2517948</v>
      </c>
      <c r="B2123" s="6" t="s">
        <v>80</v>
      </c>
      <c r="C2123" s="1" t="s">
        <v>9</v>
      </c>
      <c r="D2123" s="1" t="s">
        <v>9</v>
      </c>
      <c r="E2123" s="1" t="s">
        <v>9</v>
      </c>
      <c r="F2123" s="6"/>
      <c r="G2123" s="6"/>
      <c r="H2123" s="11"/>
      <c r="I212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23" t="str">
        <f>IF(Table1[[#This Row],[Nationality]]="Nigeria",Table1[[#This Row],[EMJM Scholarship]],"Not Applicable")</f>
        <v>Not Applicable</v>
      </c>
    </row>
    <row r="2124" spans="1:10" ht="19.25" hidden="1" customHeight="1" x14ac:dyDescent="0.3">
      <c r="A2124" s="8">
        <v>2517950</v>
      </c>
      <c r="B2124" s="6" t="s">
        <v>80</v>
      </c>
      <c r="C2124" s="1" t="s">
        <v>9</v>
      </c>
      <c r="D2124" s="1" t="s">
        <v>9</v>
      </c>
      <c r="E2124" s="1" t="s">
        <v>9</v>
      </c>
      <c r="F2124" s="6"/>
      <c r="G2124" s="6"/>
      <c r="H2124" s="11"/>
      <c r="I212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24" t="str">
        <f>IF(Table1[[#This Row],[Nationality]]="Nigeria",Table1[[#This Row],[EMJM Scholarship]],"Not Applicable")</f>
        <v>Not Applicable</v>
      </c>
    </row>
    <row r="2125" spans="1:10" ht="19.25" hidden="1" customHeight="1" x14ac:dyDescent="0.3">
      <c r="A2125" s="8">
        <v>2517964</v>
      </c>
      <c r="B2125" s="6" t="s">
        <v>80</v>
      </c>
      <c r="C2125" s="1" t="s">
        <v>9</v>
      </c>
      <c r="D2125" s="1" t="s">
        <v>9</v>
      </c>
      <c r="E2125" s="1" t="s">
        <v>9</v>
      </c>
      <c r="F2125" s="6"/>
      <c r="G2125" s="6"/>
      <c r="H2125" s="11"/>
      <c r="I212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25" t="str">
        <f>IF(Table1[[#This Row],[Nationality]]="Nigeria",Table1[[#This Row],[EMJM Scholarship]],"Not Applicable")</f>
        <v>Not Applicable</v>
      </c>
    </row>
    <row r="2126" spans="1:10" ht="19.25" hidden="1" customHeight="1" x14ac:dyDescent="0.3">
      <c r="A2126" s="8">
        <v>2517966</v>
      </c>
      <c r="B2126" s="6" t="s">
        <v>80</v>
      </c>
      <c r="C2126" s="1" t="s">
        <v>9</v>
      </c>
      <c r="D2126" s="1" t="s">
        <v>9</v>
      </c>
      <c r="E2126" s="1" t="s">
        <v>9</v>
      </c>
      <c r="F2126" s="6"/>
      <c r="G2126" s="6"/>
      <c r="H2126" s="11"/>
      <c r="I212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26" t="str">
        <f>IF(Table1[[#This Row],[Nationality]]="Nigeria",Table1[[#This Row],[EMJM Scholarship]],"Not Applicable")</f>
        <v>Not Applicable</v>
      </c>
    </row>
    <row r="2127" spans="1:10" ht="19.25" hidden="1" customHeight="1" x14ac:dyDescent="0.3">
      <c r="A2127" s="8">
        <v>2517989</v>
      </c>
      <c r="B2127" s="6" t="s">
        <v>80</v>
      </c>
      <c r="C2127" s="1" t="s">
        <v>9</v>
      </c>
      <c r="D2127" s="1" t="s">
        <v>9</v>
      </c>
      <c r="E2127" s="1" t="s">
        <v>9</v>
      </c>
      <c r="F2127" s="6"/>
      <c r="G2127" s="6"/>
      <c r="H2127" s="11"/>
      <c r="I212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27" t="str">
        <f>IF(Table1[[#This Row],[Nationality]]="Nigeria",Table1[[#This Row],[EMJM Scholarship]],"Not Applicable")</f>
        <v>Not Applicable</v>
      </c>
    </row>
    <row r="2128" spans="1:10" ht="19.25" hidden="1" customHeight="1" x14ac:dyDescent="0.3">
      <c r="A2128" s="8">
        <v>2517997</v>
      </c>
      <c r="B2128" s="6" t="s">
        <v>80</v>
      </c>
      <c r="C2128" s="1" t="s">
        <v>9</v>
      </c>
      <c r="D2128" s="1" t="s">
        <v>9</v>
      </c>
      <c r="E2128" s="1" t="s">
        <v>9</v>
      </c>
      <c r="F2128" s="6"/>
      <c r="G2128" s="6"/>
      <c r="H2128" s="11"/>
      <c r="I212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28" t="str">
        <f>IF(Table1[[#This Row],[Nationality]]="Nigeria",Table1[[#This Row],[EMJM Scholarship]],"Not Applicable")</f>
        <v>Not Applicable</v>
      </c>
    </row>
    <row r="2129" spans="1:10" ht="19.25" hidden="1" customHeight="1" x14ac:dyDescent="0.3">
      <c r="A2129" s="8">
        <v>2517999</v>
      </c>
      <c r="B2129" s="6" t="s">
        <v>80</v>
      </c>
      <c r="C2129" s="1" t="s">
        <v>9</v>
      </c>
      <c r="D2129" s="1" t="s">
        <v>9</v>
      </c>
      <c r="E2129" s="1" t="s">
        <v>9</v>
      </c>
      <c r="F2129" s="6"/>
      <c r="G2129" s="6"/>
      <c r="H2129" s="11"/>
      <c r="I212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29" t="str">
        <f>IF(Table1[[#This Row],[Nationality]]="Nigeria",Table1[[#This Row],[EMJM Scholarship]],"Not Applicable")</f>
        <v>Not Applicable</v>
      </c>
    </row>
    <row r="2130" spans="1:10" ht="19.25" hidden="1" customHeight="1" x14ac:dyDescent="0.3">
      <c r="A2130" s="8">
        <v>2518003</v>
      </c>
      <c r="B2130" s="6" t="s">
        <v>80</v>
      </c>
      <c r="C2130" s="1" t="s">
        <v>9</v>
      </c>
      <c r="D2130" s="1" t="s">
        <v>9</v>
      </c>
      <c r="E2130" s="1" t="s">
        <v>9</v>
      </c>
      <c r="F2130" s="6"/>
      <c r="G2130" s="6"/>
      <c r="H2130" s="11"/>
      <c r="I213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30" t="str">
        <f>IF(Table1[[#This Row],[Nationality]]="Nigeria",Table1[[#This Row],[EMJM Scholarship]],"Not Applicable")</f>
        <v>Not Applicable</v>
      </c>
    </row>
    <row r="2131" spans="1:10" ht="19.25" hidden="1" customHeight="1" x14ac:dyDescent="0.3">
      <c r="A2131" s="8">
        <v>2518004</v>
      </c>
      <c r="B2131" s="6" t="s">
        <v>80</v>
      </c>
      <c r="C2131" s="1" t="s">
        <v>9</v>
      </c>
      <c r="D2131" s="1" t="s">
        <v>9</v>
      </c>
      <c r="E2131" s="1" t="s">
        <v>9</v>
      </c>
      <c r="F2131" s="6"/>
      <c r="G2131" s="6"/>
      <c r="H2131" s="11"/>
      <c r="I213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31" t="str">
        <f>IF(Table1[[#This Row],[Nationality]]="Nigeria",Table1[[#This Row],[EMJM Scholarship]],"Not Applicable")</f>
        <v>Not Applicable</v>
      </c>
    </row>
    <row r="2132" spans="1:10" ht="19.25" hidden="1" customHeight="1" x14ac:dyDescent="0.3">
      <c r="A2132" s="8">
        <v>2518005</v>
      </c>
      <c r="B2132" s="6" t="s">
        <v>80</v>
      </c>
      <c r="C2132" s="1" t="s">
        <v>9</v>
      </c>
      <c r="D2132" s="1" t="s">
        <v>9</v>
      </c>
      <c r="E2132" s="1" t="s">
        <v>9</v>
      </c>
      <c r="F2132" s="6"/>
      <c r="G2132" s="6"/>
      <c r="H2132" s="11"/>
      <c r="I213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32" t="str">
        <f>IF(Table1[[#This Row],[Nationality]]="Nigeria",Table1[[#This Row],[EMJM Scholarship]],"Not Applicable")</f>
        <v>Not Applicable</v>
      </c>
    </row>
    <row r="2133" spans="1:10" ht="19.25" hidden="1" customHeight="1" x14ac:dyDescent="0.3">
      <c r="A2133" s="8">
        <v>2518020</v>
      </c>
      <c r="B2133" s="6" t="s">
        <v>80</v>
      </c>
      <c r="C2133" s="1" t="s">
        <v>9</v>
      </c>
      <c r="D2133" s="1" t="s">
        <v>9</v>
      </c>
      <c r="E2133" s="1" t="s">
        <v>9</v>
      </c>
      <c r="F2133" s="6"/>
      <c r="G2133" s="6"/>
      <c r="H2133" s="11"/>
      <c r="I213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33" t="str">
        <f>IF(Table1[[#This Row],[Nationality]]="Nigeria",Table1[[#This Row],[EMJM Scholarship]],"Not Applicable")</f>
        <v>Not Applicable</v>
      </c>
    </row>
    <row r="2134" spans="1:10" ht="19.25" hidden="1" customHeight="1" x14ac:dyDescent="0.3">
      <c r="A2134" s="8">
        <v>2518023</v>
      </c>
      <c r="B2134" s="6" t="s">
        <v>80</v>
      </c>
      <c r="C2134" s="1" t="s">
        <v>9</v>
      </c>
      <c r="D2134" s="1" t="s">
        <v>9</v>
      </c>
      <c r="E2134" s="1" t="s">
        <v>9</v>
      </c>
      <c r="F2134" s="6"/>
      <c r="G2134" s="6"/>
      <c r="H2134" s="11"/>
      <c r="I213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34" t="str">
        <f>IF(Table1[[#This Row],[Nationality]]="Nigeria",Table1[[#This Row],[EMJM Scholarship]],"Not Applicable")</f>
        <v>Not Applicable</v>
      </c>
    </row>
    <row r="2135" spans="1:10" ht="19.25" hidden="1" customHeight="1" x14ac:dyDescent="0.3">
      <c r="A2135" s="8">
        <v>2518032</v>
      </c>
      <c r="B2135" s="6" t="s">
        <v>80</v>
      </c>
      <c r="C2135" s="1" t="s">
        <v>9</v>
      </c>
      <c r="D2135" s="1" t="s">
        <v>9</v>
      </c>
      <c r="E2135" s="1" t="s">
        <v>9</v>
      </c>
      <c r="F2135" s="6"/>
      <c r="G2135" s="6"/>
      <c r="H2135" s="11"/>
      <c r="I213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35" t="str">
        <f>IF(Table1[[#This Row],[Nationality]]="Nigeria",Table1[[#This Row],[EMJM Scholarship]],"Not Applicable")</f>
        <v>Not Applicable</v>
      </c>
    </row>
    <row r="2136" spans="1:10" ht="19.25" hidden="1" customHeight="1" x14ac:dyDescent="0.3">
      <c r="A2136" s="8">
        <v>2518034</v>
      </c>
      <c r="B2136" s="6" t="s">
        <v>80</v>
      </c>
      <c r="C2136" s="1" t="s">
        <v>9</v>
      </c>
      <c r="D2136" s="1" t="s">
        <v>9</v>
      </c>
      <c r="E2136" s="1" t="s">
        <v>9</v>
      </c>
      <c r="F2136" s="6"/>
      <c r="G2136" s="6"/>
      <c r="H2136" s="11"/>
      <c r="I213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36" t="str">
        <f>IF(Table1[[#This Row],[Nationality]]="Nigeria",Table1[[#This Row],[EMJM Scholarship]],"Not Applicable")</f>
        <v>Not Applicable</v>
      </c>
    </row>
    <row r="2137" spans="1:10" ht="19.25" hidden="1" customHeight="1" x14ac:dyDescent="0.3">
      <c r="A2137" s="8">
        <v>2518087</v>
      </c>
      <c r="B2137" s="6" t="s">
        <v>80</v>
      </c>
      <c r="C2137" s="1" t="s">
        <v>9</v>
      </c>
      <c r="D2137" s="1" t="s">
        <v>9</v>
      </c>
      <c r="E2137" s="1" t="s">
        <v>9</v>
      </c>
      <c r="F2137" s="6"/>
      <c r="G2137" s="6"/>
      <c r="H2137" s="11"/>
      <c r="I213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37" t="str">
        <f>IF(Table1[[#This Row],[Nationality]]="Nigeria",Table1[[#This Row],[EMJM Scholarship]],"Not Applicable")</f>
        <v>Not Applicable</v>
      </c>
    </row>
    <row r="2138" spans="1:10" ht="19.25" hidden="1" customHeight="1" x14ac:dyDescent="0.3">
      <c r="A2138" s="8">
        <v>2518099</v>
      </c>
      <c r="B2138" s="6" t="s">
        <v>80</v>
      </c>
      <c r="C2138" s="1" t="s">
        <v>9</v>
      </c>
      <c r="D2138" s="1" t="s">
        <v>9</v>
      </c>
      <c r="E2138" s="1" t="s">
        <v>9</v>
      </c>
      <c r="F2138" s="6"/>
      <c r="G2138" s="6"/>
      <c r="H2138" s="11"/>
      <c r="I213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38" t="str">
        <f>IF(Table1[[#This Row],[Nationality]]="Nigeria",Table1[[#This Row],[EMJM Scholarship]],"Not Applicable")</f>
        <v>Not Applicable</v>
      </c>
    </row>
    <row r="2139" spans="1:10" ht="19.25" hidden="1" customHeight="1" x14ac:dyDescent="0.3">
      <c r="A2139" s="8">
        <v>2518109</v>
      </c>
      <c r="B2139" s="6" t="s">
        <v>80</v>
      </c>
      <c r="C2139" s="1" t="s">
        <v>9</v>
      </c>
      <c r="D2139" s="1" t="s">
        <v>9</v>
      </c>
      <c r="E2139" s="1" t="s">
        <v>9</v>
      </c>
      <c r="F2139" s="6"/>
      <c r="G2139" s="6"/>
      <c r="H2139" s="11"/>
      <c r="I213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39" t="str">
        <f>IF(Table1[[#This Row],[Nationality]]="Nigeria",Table1[[#This Row],[EMJM Scholarship]],"Not Applicable")</f>
        <v>Not Applicable</v>
      </c>
    </row>
    <row r="2140" spans="1:10" ht="19.25" hidden="1" customHeight="1" x14ac:dyDescent="0.3">
      <c r="A2140" s="8">
        <v>2518128</v>
      </c>
      <c r="B2140" s="6" t="s">
        <v>80</v>
      </c>
      <c r="C2140" s="1" t="s">
        <v>9</v>
      </c>
      <c r="D2140" s="1" t="s">
        <v>9</v>
      </c>
      <c r="E2140" s="1" t="s">
        <v>9</v>
      </c>
      <c r="F2140" s="6"/>
      <c r="G2140" s="6"/>
      <c r="H2140" s="11"/>
      <c r="I214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40" t="str">
        <f>IF(Table1[[#This Row],[Nationality]]="Nigeria",Table1[[#This Row],[EMJM Scholarship]],"Not Applicable")</f>
        <v>Not Applicable</v>
      </c>
    </row>
    <row r="2141" spans="1:10" ht="19.25" hidden="1" customHeight="1" x14ac:dyDescent="0.3">
      <c r="A2141" s="8">
        <v>2518145</v>
      </c>
      <c r="B2141" s="6" t="s">
        <v>80</v>
      </c>
      <c r="C2141" s="1" t="s">
        <v>9</v>
      </c>
      <c r="D2141" s="1" t="s">
        <v>9</v>
      </c>
      <c r="E2141" s="1" t="s">
        <v>9</v>
      </c>
      <c r="F2141" s="6"/>
      <c r="G2141" s="6"/>
      <c r="H2141" s="11"/>
      <c r="I214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41" t="str">
        <f>IF(Table1[[#This Row],[Nationality]]="Nigeria",Table1[[#This Row],[EMJM Scholarship]],"Not Applicable")</f>
        <v>Not Applicable</v>
      </c>
    </row>
    <row r="2142" spans="1:10" ht="19.25" hidden="1" customHeight="1" x14ac:dyDescent="0.3">
      <c r="A2142" s="8">
        <v>2518168</v>
      </c>
      <c r="B2142" s="6" t="s">
        <v>80</v>
      </c>
      <c r="C2142" s="1" t="s">
        <v>9</v>
      </c>
      <c r="D2142" s="1" t="s">
        <v>9</v>
      </c>
      <c r="E2142" s="1" t="s">
        <v>9</v>
      </c>
      <c r="F2142" s="6"/>
      <c r="G2142" s="6"/>
      <c r="H2142" s="11"/>
      <c r="I214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42" t="str">
        <f>IF(Table1[[#This Row],[Nationality]]="Nigeria",Table1[[#This Row],[EMJM Scholarship]],"Not Applicable")</f>
        <v>Not Applicable</v>
      </c>
    </row>
    <row r="2143" spans="1:10" ht="19.25" hidden="1" customHeight="1" x14ac:dyDescent="0.3">
      <c r="A2143" s="8">
        <v>2518182</v>
      </c>
      <c r="B2143" s="6" t="s">
        <v>80</v>
      </c>
      <c r="C2143" s="1" t="s">
        <v>9</v>
      </c>
      <c r="D2143" s="1" t="s">
        <v>9</v>
      </c>
      <c r="E2143" s="1" t="s">
        <v>9</v>
      </c>
      <c r="F2143" s="6"/>
      <c r="G2143" s="6"/>
      <c r="H2143" s="11"/>
      <c r="I214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43" t="str">
        <f>IF(Table1[[#This Row],[Nationality]]="Nigeria",Table1[[#This Row],[EMJM Scholarship]],"Not Applicable")</f>
        <v>Not Applicable</v>
      </c>
    </row>
    <row r="2144" spans="1:10" ht="19.25" hidden="1" customHeight="1" x14ac:dyDescent="0.3">
      <c r="A2144" s="8">
        <v>2518184</v>
      </c>
      <c r="B2144" s="6" t="s">
        <v>80</v>
      </c>
      <c r="C2144" s="1" t="s">
        <v>9</v>
      </c>
      <c r="D2144" s="1" t="s">
        <v>9</v>
      </c>
      <c r="E2144" s="1" t="s">
        <v>9</v>
      </c>
      <c r="F2144" s="6"/>
      <c r="G2144" s="6"/>
      <c r="H2144" s="11"/>
      <c r="I214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44" t="str">
        <f>IF(Table1[[#This Row],[Nationality]]="Nigeria",Table1[[#This Row],[EMJM Scholarship]],"Not Applicable")</f>
        <v>Not Applicable</v>
      </c>
    </row>
    <row r="2145" spans="1:10" ht="19.25" hidden="1" customHeight="1" x14ac:dyDescent="0.3">
      <c r="A2145" s="8">
        <v>2518199</v>
      </c>
      <c r="B2145" s="6" t="s">
        <v>80</v>
      </c>
      <c r="C2145" s="1" t="s">
        <v>9</v>
      </c>
      <c r="D2145" s="1" t="s">
        <v>9</v>
      </c>
      <c r="E2145" s="1" t="s">
        <v>9</v>
      </c>
      <c r="F2145" s="6"/>
      <c r="G2145" s="6"/>
      <c r="H2145" s="11"/>
      <c r="I214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45" t="str">
        <f>IF(Table1[[#This Row],[Nationality]]="Nigeria",Table1[[#This Row],[EMJM Scholarship]],"Not Applicable")</f>
        <v>Not Applicable</v>
      </c>
    </row>
    <row r="2146" spans="1:10" ht="19.25" hidden="1" customHeight="1" x14ac:dyDescent="0.3">
      <c r="A2146" s="8">
        <v>2518266</v>
      </c>
      <c r="B2146" s="6" t="s">
        <v>80</v>
      </c>
      <c r="C2146" s="1" t="s">
        <v>9</v>
      </c>
      <c r="D2146" s="1" t="s">
        <v>9</v>
      </c>
      <c r="E2146" s="1" t="s">
        <v>9</v>
      </c>
      <c r="F2146" s="6"/>
      <c r="G2146" s="6"/>
      <c r="H2146" s="11"/>
      <c r="I214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46" t="str">
        <f>IF(Table1[[#This Row],[Nationality]]="Nigeria",Table1[[#This Row],[EMJM Scholarship]],"Not Applicable")</f>
        <v>Not Applicable</v>
      </c>
    </row>
    <row r="2147" spans="1:10" ht="19.25" hidden="1" customHeight="1" x14ac:dyDescent="0.3">
      <c r="A2147" s="8">
        <v>2518289</v>
      </c>
      <c r="B2147" s="6" t="s">
        <v>80</v>
      </c>
      <c r="C2147" s="1" t="s">
        <v>9</v>
      </c>
      <c r="D2147" s="1" t="s">
        <v>9</v>
      </c>
      <c r="E2147" s="1" t="s">
        <v>9</v>
      </c>
      <c r="F2147" s="6"/>
      <c r="G2147" s="6"/>
      <c r="H2147" s="11"/>
      <c r="I214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47" t="str">
        <f>IF(Table1[[#This Row],[Nationality]]="Nigeria",Table1[[#This Row],[EMJM Scholarship]],"Not Applicable")</f>
        <v>Not Applicable</v>
      </c>
    </row>
    <row r="2148" spans="1:10" ht="19.25" hidden="1" customHeight="1" x14ac:dyDescent="0.3">
      <c r="A2148" s="8">
        <v>2518303</v>
      </c>
      <c r="B2148" s="6" t="s">
        <v>80</v>
      </c>
      <c r="C2148" s="1" t="s">
        <v>9</v>
      </c>
      <c r="D2148" s="1" t="s">
        <v>9</v>
      </c>
      <c r="E2148" s="1" t="s">
        <v>9</v>
      </c>
      <c r="F2148" s="6"/>
      <c r="G2148" s="6"/>
      <c r="H2148" s="11"/>
      <c r="I214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48" t="str">
        <f>IF(Table1[[#This Row],[Nationality]]="Nigeria",Table1[[#This Row],[EMJM Scholarship]],"Not Applicable")</f>
        <v>Not Applicable</v>
      </c>
    </row>
    <row r="2149" spans="1:10" ht="19.25" hidden="1" customHeight="1" x14ac:dyDescent="0.3">
      <c r="A2149" s="8">
        <v>2518307</v>
      </c>
      <c r="B2149" s="6" t="s">
        <v>80</v>
      </c>
      <c r="C2149" s="1" t="s">
        <v>9</v>
      </c>
      <c r="D2149" s="1" t="s">
        <v>9</v>
      </c>
      <c r="E2149" s="1" t="s">
        <v>9</v>
      </c>
      <c r="F2149" s="6"/>
      <c r="G2149" s="6"/>
      <c r="H2149" s="11"/>
      <c r="I214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49" t="str">
        <f>IF(Table1[[#This Row],[Nationality]]="Nigeria",Table1[[#This Row],[EMJM Scholarship]],"Not Applicable")</f>
        <v>Not Applicable</v>
      </c>
    </row>
    <row r="2150" spans="1:10" ht="19.25" hidden="1" customHeight="1" x14ac:dyDescent="0.3">
      <c r="A2150" s="8">
        <v>2518342</v>
      </c>
      <c r="B2150" s="6" t="s">
        <v>80</v>
      </c>
      <c r="C2150" s="1" t="s">
        <v>9</v>
      </c>
      <c r="D2150" s="1" t="s">
        <v>9</v>
      </c>
      <c r="E2150" s="1" t="s">
        <v>9</v>
      </c>
      <c r="F2150" s="6"/>
      <c r="G2150" s="6"/>
      <c r="H2150" s="11"/>
      <c r="I215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50" t="str">
        <f>IF(Table1[[#This Row],[Nationality]]="Nigeria",Table1[[#This Row],[EMJM Scholarship]],"Not Applicable")</f>
        <v>Not Applicable</v>
      </c>
    </row>
    <row r="2151" spans="1:10" ht="19.25" hidden="1" customHeight="1" x14ac:dyDescent="0.3">
      <c r="A2151" s="8">
        <v>2518399</v>
      </c>
      <c r="B2151" s="6" t="s">
        <v>80</v>
      </c>
      <c r="C2151" s="1" t="s">
        <v>9</v>
      </c>
      <c r="D2151" s="1" t="s">
        <v>9</v>
      </c>
      <c r="E2151" s="1" t="s">
        <v>9</v>
      </c>
      <c r="F2151" s="6"/>
      <c r="G2151" s="6"/>
      <c r="H2151" s="11"/>
      <c r="I215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51" t="str">
        <f>IF(Table1[[#This Row],[Nationality]]="Nigeria",Table1[[#This Row],[EMJM Scholarship]],"Not Applicable")</f>
        <v>Not Applicable</v>
      </c>
    </row>
    <row r="2152" spans="1:10" ht="19.25" hidden="1" customHeight="1" x14ac:dyDescent="0.3">
      <c r="A2152" s="8">
        <v>2518433</v>
      </c>
      <c r="B2152" s="6" t="s">
        <v>80</v>
      </c>
      <c r="C2152" s="1" t="s">
        <v>9</v>
      </c>
      <c r="D2152" s="1" t="s">
        <v>9</v>
      </c>
      <c r="E2152" s="1" t="s">
        <v>9</v>
      </c>
      <c r="F2152" s="6"/>
      <c r="G2152" s="6"/>
      <c r="H2152" s="11"/>
      <c r="I215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52" t="str">
        <f>IF(Table1[[#This Row],[Nationality]]="Nigeria",Table1[[#This Row],[EMJM Scholarship]],"Not Applicable")</f>
        <v>Not Applicable</v>
      </c>
    </row>
    <row r="2153" spans="1:10" ht="19.25" hidden="1" customHeight="1" x14ac:dyDescent="0.3">
      <c r="A2153" s="8">
        <v>2518440</v>
      </c>
      <c r="B2153" s="6" t="s">
        <v>80</v>
      </c>
      <c r="C2153" s="1" t="s">
        <v>9</v>
      </c>
      <c r="D2153" s="1" t="s">
        <v>9</v>
      </c>
      <c r="E2153" s="1" t="s">
        <v>9</v>
      </c>
      <c r="F2153" s="6"/>
      <c r="G2153" s="6"/>
      <c r="H2153" s="11"/>
      <c r="I215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53" t="str">
        <f>IF(Table1[[#This Row],[Nationality]]="Nigeria",Table1[[#This Row],[EMJM Scholarship]],"Not Applicable")</f>
        <v>Not Applicable</v>
      </c>
    </row>
    <row r="2154" spans="1:10" ht="19.25" hidden="1" customHeight="1" x14ac:dyDescent="0.3">
      <c r="A2154" s="8">
        <v>2518457</v>
      </c>
      <c r="B2154" s="6" t="s">
        <v>80</v>
      </c>
      <c r="C2154" s="1" t="s">
        <v>9</v>
      </c>
      <c r="D2154" s="1" t="s">
        <v>9</v>
      </c>
      <c r="E2154" s="1" t="s">
        <v>9</v>
      </c>
      <c r="F2154" s="6"/>
      <c r="G2154" s="6"/>
      <c r="H2154" s="11"/>
      <c r="I215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54" t="str">
        <f>IF(Table1[[#This Row],[Nationality]]="Nigeria",Table1[[#This Row],[EMJM Scholarship]],"Not Applicable")</f>
        <v>Not Applicable</v>
      </c>
    </row>
    <row r="2155" spans="1:10" ht="19.25" hidden="1" customHeight="1" x14ac:dyDescent="0.3">
      <c r="A2155" s="8">
        <v>2518459</v>
      </c>
      <c r="B2155" s="6" t="s">
        <v>80</v>
      </c>
      <c r="C2155" s="1" t="s">
        <v>9</v>
      </c>
      <c r="D2155" s="1" t="s">
        <v>9</v>
      </c>
      <c r="E2155" s="1" t="s">
        <v>9</v>
      </c>
      <c r="F2155" s="6"/>
      <c r="G2155" s="6"/>
      <c r="H2155" s="11"/>
      <c r="I215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55" t="str">
        <f>IF(Table1[[#This Row],[Nationality]]="Nigeria",Table1[[#This Row],[EMJM Scholarship]],"Not Applicable")</f>
        <v>Not Applicable</v>
      </c>
    </row>
    <row r="2156" spans="1:10" ht="19.25" hidden="1" customHeight="1" x14ac:dyDescent="0.3">
      <c r="A2156" s="8">
        <v>2518509</v>
      </c>
      <c r="B2156" s="6" t="s">
        <v>80</v>
      </c>
      <c r="C2156" s="1" t="s">
        <v>9</v>
      </c>
      <c r="D2156" s="1" t="s">
        <v>9</v>
      </c>
      <c r="E2156" s="1" t="s">
        <v>9</v>
      </c>
      <c r="F2156" s="6"/>
      <c r="G2156" s="6"/>
      <c r="H2156" s="11"/>
      <c r="I215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56" t="str">
        <f>IF(Table1[[#This Row],[Nationality]]="Nigeria",Table1[[#This Row],[EMJM Scholarship]],"Not Applicable")</f>
        <v>Not Applicable</v>
      </c>
    </row>
    <row r="2157" spans="1:10" ht="19.25" hidden="1" customHeight="1" x14ac:dyDescent="0.3">
      <c r="A2157" s="8">
        <v>2518510</v>
      </c>
      <c r="B2157" s="6" t="s">
        <v>80</v>
      </c>
      <c r="C2157" s="1" t="s">
        <v>9</v>
      </c>
      <c r="D2157" s="1" t="s">
        <v>9</v>
      </c>
      <c r="E2157" s="1" t="s">
        <v>9</v>
      </c>
      <c r="F2157" s="6"/>
      <c r="G2157" s="6"/>
      <c r="H2157" s="11"/>
      <c r="I215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57" t="str">
        <f>IF(Table1[[#This Row],[Nationality]]="Nigeria",Table1[[#This Row],[EMJM Scholarship]],"Not Applicable")</f>
        <v>Not Applicable</v>
      </c>
    </row>
    <row r="2158" spans="1:10" ht="19.25" hidden="1" customHeight="1" x14ac:dyDescent="0.3">
      <c r="A2158" s="8">
        <v>2518515</v>
      </c>
      <c r="B2158" s="6" t="s">
        <v>80</v>
      </c>
      <c r="C2158" s="1" t="s">
        <v>9</v>
      </c>
      <c r="D2158" s="1" t="s">
        <v>9</v>
      </c>
      <c r="E2158" s="1" t="s">
        <v>9</v>
      </c>
      <c r="F2158" s="6"/>
      <c r="G2158" s="6"/>
      <c r="H2158" s="11"/>
      <c r="I215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58" t="str">
        <f>IF(Table1[[#This Row],[Nationality]]="Nigeria",Table1[[#This Row],[EMJM Scholarship]],"Not Applicable")</f>
        <v>Not Applicable</v>
      </c>
    </row>
    <row r="2159" spans="1:10" ht="19.25" hidden="1" customHeight="1" x14ac:dyDescent="0.3">
      <c r="A2159" s="8">
        <v>2518522</v>
      </c>
      <c r="B2159" s="6" t="s">
        <v>80</v>
      </c>
      <c r="C2159" s="1" t="s">
        <v>9</v>
      </c>
      <c r="D2159" s="1" t="s">
        <v>9</v>
      </c>
      <c r="E2159" s="1" t="s">
        <v>9</v>
      </c>
      <c r="F2159" s="6"/>
      <c r="G2159" s="6"/>
      <c r="H2159" s="11"/>
      <c r="I215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59" t="str">
        <f>IF(Table1[[#This Row],[Nationality]]="Nigeria",Table1[[#This Row],[EMJM Scholarship]],"Not Applicable")</f>
        <v>Not Applicable</v>
      </c>
    </row>
    <row r="2160" spans="1:10" ht="19.25" hidden="1" customHeight="1" x14ac:dyDescent="0.3">
      <c r="A2160" s="8">
        <v>2518528</v>
      </c>
      <c r="B2160" s="6" t="s">
        <v>80</v>
      </c>
      <c r="C2160" s="1" t="s">
        <v>9</v>
      </c>
      <c r="D2160" s="1" t="s">
        <v>9</v>
      </c>
      <c r="E2160" s="1" t="s">
        <v>9</v>
      </c>
      <c r="F2160" s="6"/>
      <c r="G2160" s="6"/>
      <c r="H2160" s="11"/>
      <c r="I216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60" t="str">
        <f>IF(Table1[[#This Row],[Nationality]]="Nigeria",Table1[[#This Row],[EMJM Scholarship]],"Not Applicable")</f>
        <v>Not Applicable</v>
      </c>
    </row>
    <row r="2161" spans="1:10" ht="19.25" hidden="1" customHeight="1" x14ac:dyDescent="0.3">
      <c r="A2161" s="8">
        <v>2518530</v>
      </c>
      <c r="B2161" s="6" t="s">
        <v>80</v>
      </c>
      <c r="C2161" s="1" t="s">
        <v>9</v>
      </c>
      <c r="D2161" s="1" t="s">
        <v>9</v>
      </c>
      <c r="E2161" s="1" t="s">
        <v>9</v>
      </c>
      <c r="F2161" s="6"/>
      <c r="G2161" s="6"/>
      <c r="H2161" s="11"/>
      <c r="I216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61" t="str">
        <f>IF(Table1[[#This Row],[Nationality]]="Nigeria",Table1[[#This Row],[EMJM Scholarship]],"Not Applicable")</f>
        <v>Not Applicable</v>
      </c>
    </row>
    <row r="2162" spans="1:10" ht="19.25" hidden="1" customHeight="1" x14ac:dyDescent="0.3">
      <c r="A2162" s="8">
        <v>2518537</v>
      </c>
      <c r="B2162" s="6" t="s">
        <v>80</v>
      </c>
      <c r="C2162" s="1" t="s">
        <v>9</v>
      </c>
      <c r="D2162" s="1" t="s">
        <v>9</v>
      </c>
      <c r="E2162" s="1" t="s">
        <v>9</v>
      </c>
      <c r="F2162" s="6"/>
      <c r="G2162" s="6"/>
      <c r="H2162" s="11"/>
      <c r="I216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62" t="str">
        <f>IF(Table1[[#This Row],[Nationality]]="Nigeria",Table1[[#This Row],[EMJM Scholarship]],"Not Applicable")</f>
        <v>Not Applicable</v>
      </c>
    </row>
    <row r="2163" spans="1:10" ht="19.25" hidden="1" customHeight="1" x14ac:dyDescent="0.3">
      <c r="A2163" s="8">
        <v>2518563</v>
      </c>
      <c r="B2163" s="6" t="s">
        <v>80</v>
      </c>
      <c r="C2163" s="1" t="s">
        <v>9</v>
      </c>
      <c r="D2163" s="1" t="s">
        <v>9</v>
      </c>
      <c r="E2163" s="1" t="s">
        <v>9</v>
      </c>
      <c r="F2163" s="6"/>
      <c r="G2163" s="6"/>
      <c r="H2163" s="11"/>
      <c r="I216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63" t="str">
        <f>IF(Table1[[#This Row],[Nationality]]="Nigeria",Table1[[#This Row],[EMJM Scholarship]],"Not Applicable")</f>
        <v>Not Applicable</v>
      </c>
    </row>
    <row r="2164" spans="1:10" ht="19.25" hidden="1" customHeight="1" x14ac:dyDescent="0.3">
      <c r="A2164" s="8">
        <v>2518577</v>
      </c>
      <c r="B2164" s="6" t="s">
        <v>80</v>
      </c>
      <c r="C2164" s="1" t="s">
        <v>9</v>
      </c>
      <c r="D2164" s="1" t="s">
        <v>9</v>
      </c>
      <c r="E2164" s="1" t="s">
        <v>9</v>
      </c>
      <c r="F2164" s="6"/>
      <c r="G2164" s="6"/>
      <c r="H2164" s="11"/>
      <c r="I216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64" t="str">
        <f>IF(Table1[[#This Row],[Nationality]]="Nigeria",Table1[[#This Row],[EMJM Scholarship]],"Not Applicable")</f>
        <v>Not Applicable</v>
      </c>
    </row>
    <row r="2165" spans="1:10" ht="19.25" hidden="1" customHeight="1" x14ac:dyDescent="0.3">
      <c r="A2165" s="8">
        <v>2518581</v>
      </c>
      <c r="B2165" s="6" t="s">
        <v>80</v>
      </c>
      <c r="C2165" s="1" t="s">
        <v>9</v>
      </c>
      <c r="D2165" s="1" t="s">
        <v>9</v>
      </c>
      <c r="E2165" s="1" t="s">
        <v>9</v>
      </c>
      <c r="F2165" s="6"/>
      <c r="G2165" s="6"/>
      <c r="H2165" s="11"/>
      <c r="I216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65" t="str">
        <f>IF(Table1[[#This Row],[Nationality]]="Nigeria",Table1[[#This Row],[EMJM Scholarship]],"Not Applicable")</f>
        <v>Not Applicable</v>
      </c>
    </row>
    <row r="2166" spans="1:10" ht="19.25" hidden="1" customHeight="1" x14ac:dyDescent="0.3">
      <c r="A2166" s="8">
        <v>2518605</v>
      </c>
      <c r="B2166" s="6" t="s">
        <v>80</v>
      </c>
      <c r="C2166" s="1" t="s">
        <v>9</v>
      </c>
      <c r="D2166" s="1" t="s">
        <v>9</v>
      </c>
      <c r="E2166" s="1" t="s">
        <v>9</v>
      </c>
      <c r="F2166" s="6"/>
      <c r="G2166" s="6"/>
      <c r="H2166" s="11"/>
      <c r="I216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66" t="str">
        <f>IF(Table1[[#This Row],[Nationality]]="Nigeria",Table1[[#This Row],[EMJM Scholarship]],"Not Applicable")</f>
        <v>Not Applicable</v>
      </c>
    </row>
    <row r="2167" spans="1:10" ht="19.25" hidden="1" customHeight="1" x14ac:dyDescent="0.3">
      <c r="A2167" s="8">
        <v>2518645</v>
      </c>
      <c r="B2167" s="6" t="s">
        <v>80</v>
      </c>
      <c r="C2167" s="1" t="s">
        <v>9</v>
      </c>
      <c r="D2167" s="1" t="s">
        <v>9</v>
      </c>
      <c r="E2167" s="1" t="s">
        <v>9</v>
      </c>
      <c r="F2167" s="6"/>
      <c r="G2167" s="6"/>
      <c r="H2167" s="11"/>
      <c r="I216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67" t="str">
        <f>IF(Table1[[#This Row],[Nationality]]="Nigeria",Table1[[#This Row],[EMJM Scholarship]],"Not Applicable")</f>
        <v>Not Applicable</v>
      </c>
    </row>
    <row r="2168" spans="1:10" ht="19.25" hidden="1" customHeight="1" x14ac:dyDescent="0.3">
      <c r="A2168" s="8">
        <v>2518670</v>
      </c>
      <c r="B2168" s="6" t="s">
        <v>80</v>
      </c>
      <c r="C2168" s="1" t="s">
        <v>9</v>
      </c>
      <c r="D2168" s="1" t="s">
        <v>9</v>
      </c>
      <c r="E2168" s="1" t="s">
        <v>9</v>
      </c>
      <c r="F2168" s="6"/>
      <c r="G2168" s="6"/>
      <c r="H2168" s="11"/>
      <c r="I216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68" t="str">
        <f>IF(Table1[[#This Row],[Nationality]]="Nigeria",Table1[[#This Row],[EMJM Scholarship]],"Not Applicable")</f>
        <v>Not Applicable</v>
      </c>
    </row>
    <row r="2169" spans="1:10" ht="19.25" hidden="1" customHeight="1" x14ac:dyDescent="0.3">
      <c r="A2169" s="8">
        <v>2518671</v>
      </c>
      <c r="B2169" s="6" t="s">
        <v>80</v>
      </c>
      <c r="C2169" s="1" t="s">
        <v>9</v>
      </c>
      <c r="D2169" s="1" t="s">
        <v>9</v>
      </c>
      <c r="E2169" s="1" t="s">
        <v>9</v>
      </c>
      <c r="F2169" s="6"/>
      <c r="G2169" s="6"/>
      <c r="H2169" s="11"/>
      <c r="I216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69" t="str">
        <f>IF(Table1[[#This Row],[Nationality]]="Nigeria",Table1[[#This Row],[EMJM Scholarship]],"Not Applicable")</f>
        <v>Not Applicable</v>
      </c>
    </row>
    <row r="2170" spans="1:10" ht="19.25" hidden="1" customHeight="1" x14ac:dyDescent="0.3">
      <c r="A2170" s="8">
        <v>2518673</v>
      </c>
      <c r="B2170" s="6" t="s">
        <v>80</v>
      </c>
      <c r="C2170" s="1" t="s">
        <v>9</v>
      </c>
      <c r="D2170" s="1" t="s">
        <v>9</v>
      </c>
      <c r="E2170" s="1" t="s">
        <v>9</v>
      </c>
      <c r="F2170" s="6"/>
      <c r="G2170" s="6"/>
      <c r="H2170" s="11"/>
      <c r="I217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70" t="str">
        <f>IF(Table1[[#This Row],[Nationality]]="Nigeria",Table1[[#This Row],[EMJM Scholarship]],"Not Applicable")</f>
        <v>Not Applicable</v>
      </c>
    </row>
    <row r="2171" spans="1:10" ht="19.25" hidden="1" customHeight="1" x14ac:dyDescent="0.3">
      <c r="A2171" s="8">
        <v>2518699</v>
      </c>
      <c r="B2171" s="6" t="s">
        <v>80</v>
      </c>
      <c r="C2171" s="1" t="s">
        <v>9</v>
      </c>
      <c r="D2171" s="1" t="s">
        <v>9</v>
      </c>
      <c r="E2171" s="1" t="s">
        <v>9</v>
      </c>
      <c r="F2171" s="6"/>
      <c r="G2171" s="6"/>
      <c r="H2171" s="11"/>
      <c r="I217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71" t="str">
        <f>IF(Table1[[#This Row],[Nationality]]="Nigeria",Table1[[#This Row],[EMJM Scholarship]],"Not Applicable")</f>
        <v>Not Applicable</v>
      </c>
    </row>
    <row r="2172" spans="1:10" ht="19.25" hidden="1" customHeight="1" x14ac:dyDescent="0.3">
      <c r="A2172" s="8">
        <v>2518821</v>
      </c>
      <c r="B2172" s="6" t="s">
        <v>80</v>
      </c>
      <c r="C2172" s="1" t="s">
        <v>9</v>
      </c>
      <c r="D2172" s="1" t="s">
        <v>9</v>
      </c>
      <c r="E2172" s="1" t="s">
        <v>9</v>
      </c>
      <c r="F2172" s="6"/>
      <c r="G2172" s="6"/>
      <c r="H2172" s="11"/>
      <c r="I217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72" t="str">
        <f>IF(Table1[[#This Row],[Nationality]]="Nigeria",Table1[[#This Row],[EMJM Scholarship]],"Not Applicable")</f>
        <v>Not Applicable</v>
      </c>
    </row>
    <row r="2173" spans="1:10" ht="19.25" hidden="1" customHeight="1" x14ac:dyDescent="0.3">
      <c r="A2173" s="8">
        <v>2518841</v>
      </c>
      <c r="B2173" s="6" t="s">
        <v>80</v>
      </c>
      <c r="C2173" s="1" t="s">
        <v>9</v>
      </c>
      <c r="D2173" s="1" t="s">
        <v>9</v>
      </c>
      <c r="E2173" s="1" t="s">
        <v>9</v>
      </c>
      <c r="F2173" s="6"/>
      <c r="G2173" s="6"/>
      <c r="H2173" s="11"/>
      <c r="I217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73" t="str">
        <f>IF(Table1[[#This Row],[Nationality]]="Nigeria",Table1[[#This Row],[EMJM Scholarship]],"Not Applicable")</f>
        <v>Not Applicable</v>
      </c>
    </row>
    <row r="2174" spans="1:10" ht="19.25" hidden="1" customHeight="1" x14ac:dyDescent="0.3">
      <c r="A2174" s="8">
        <v>2518863</v>
      </c>
      <c r="B2174" s="6" t="s">
        <v>80</v>
      </c>
      <c r="C2174" s="1" t="s">
        <v>9</v>
      </c>
      <c r="D2174" s="1" t="s">
        <v>9</v>
      </c>
      <c r="E2174" s="1" t="s">
        <v>9</v>
      </c>
      <c r="F2174" s="6"/>
      <c r="G2174" s="6"/>
      <c r="H2174" s="11"/>
      <c r="I217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74" t="str">
        <f>IF(Table1[[#This Row],[Nationality]]="Nigeria",Table1[[#This Row],[EMJM Scholarship]],"Not Applicable")</f>
        <v>Not Applicable</v>
      </c>
    </row>
    <row r="2175" spans="1:10" ht="19.25" hidden="1" customHeight="1" x14ac:dyDescent="0.3">
      <c r="A2175" s="8">
        <v>2518871</v>
      </c>
      <c r="B2175" s="6" t="s">
        <v>80</v>
      </c>
      <c r="C2175" s="1" t="s">
        <v>9</v>
      </c>
      <c r="D2175" s="1" t="s">
        <v>9</v>
      </c>
      <c r="E2175" s="1" t="s">
        <v>9</v>
      </c>
      <c r="F2175" s="6"/>
      <c r="G2175" s="6"/>
      <c r="H2175" s="11"/>
      <c r="I217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75" t="str">
        <f>IF(Table1[[#This Row],[Nationality]]="Nigeria",Table1[[#This Row],[EMJM Scholarship]],"Not Applicable")</f>
        <v>Not Applicable</v>
      </c>
    </row>
    <row r="2176" spans="1:10" ht="19.25" hidden="1" customHeight="1" x14ac:dyDescent="0.3">
      <c r="A2176" s="8">
        <v>2518877</v>
      </c>
      <c r="B2176" s="6" t="s">
        <v>80</v>
      </c>
      <c r="C2176" s="1" t="s">
        <v>9</v>
      </c>
      <c r="D2176" s="1" t="s">
        <v>9</v>
      </c>
      <c r="E2176" s="1" t="s">
        <v>9</v>
      </c>
      <c r="F2176" s="6"/>
      <c r="G2176" s="6"/>
      <c r="H2176" s="11"/>
      <c r="I217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76" t="str">
        <f>IF(Table1[[#This Row],[Nationality]]="Nigeria",Table1[[#This Row],[EMJM Scholarship]],"Not Applicable")</f>
        <v>Not Applicable</v>
      </c>
    </row>
    <row r="2177" spans="1:10" ht="19.25" hidden="1" customHeight="1" x14ac:dyDescent="0.3">
      <c r="A2177" s="8">
        <v>2518880</v>
      </c>
      <c r="B2177" s="6" t="s">
        <v>80</v>
      </c>
      <c r="C2177" s="1" t="s">
        <v>9</v>
      </c>
      <c r="D2177" s="1" t="s">
        <v>9</v>
      </c>
      <c r="E2177" s="1" t="s">
        <v>9</v>
      </c>
      <c r="F2177" s="6"/>
      <c r="G2177" s="6"/>
      <c r="H2177" s="11"/>
      <c r="I217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77" t="str">
        <f>IF(Table1[[#This Row],[Nationality]]="Nigeria",Table1[[#This Row],[EMJM Scholarship]],"Not Applicable")</f>
        <v>Not Applicable</v>
      </c>
    </row>
    <row r="2178" spans="1:10" ht="19.25" hidden="1" customHeight="1" x14ac:dyDescent="0.3">
      <c r="A2178" s="8">
        <v>2518882</v>
      </c>
      <c r="B2178" s="6" t="s">
        <v>80</v>
      </c>
      <c r="C2178" s="1" t="s">
        <v>9</v>
      </c>
      <c r="D2178" s="1" t="s">
        <v>9</v>
      </c>
      <c r="E2178" s="1" t="s">
        <v>9</v>
      </c>
      <c r="F2178" s="6"/>
      <c r="G2178" s="6"/>
      <c r="H2178" s="11"/>
      <c r="I217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78" t="str">
        <f>IF(Table1[[#This Row],[Nationality]]="Nigeria",Table1[[#This Row],[EMJM Scholarship]],"Not Applicable")</f>
        <v>Not Applicable</v>
      </c>
    </row>
    <row r="2179" spans="1:10" ht="19.25" hidden="1" customHeight="1" x14ac:dyDescent="0.3">
      <c r="A2179" s="8">
        <v>2518883</v>
      </c>
      <c r="B2179" s="6" t="s">
        <v>80</v>
      </c>
      <c r="C2179" s="1" t="s">
        <v>9</v>
      </c>
      <c r="D2179" s="1" t="s">
        <v>9</v>
      </c>
      <c r="E2179" s="1" t="s">
        <v>9</v>
      </c>
      <c r="F2179" s="6"/>
      <c r="G2179" s="6"/>
      <c r="H2179" s="11"/>
      <c r="I217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79" t="str">
        <f>IF(Table1[[#This Row],[Nationality]]="Nigeria",Table1[[#This Row],[EMJM Scholarship]],"Not Applicable")</f>
        <v>Not Applicable</v>
      </c>
    </row>
    <row r="2180" spans="1:10" ht="19.25" hidden="1" customHeight="1" x14ac:dyDescent="0.3">
      <c r="A2180" s="8">
        <v>2518918</v>
      </c>
      <c r="B2180" s="6" t="s">
        <v>80</v>
      </c>
      <c r="C2180" s="1" t="s">
        <v>9</v>
      </c>
      <c r="D2180" s="1" t="s">
        <v>9</v>
      </c>
      <c r="E2180" s="1" t="s">
        <v>9</v>
      </c>
      <c r="F2180" s="6"/>
      <c r="G2180" s="6"/>
      <c r="H2180" s="11"/>
      <c r="I218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80" t="str">
        <f>IF(Table1[[#This Row],[Nationality]]="Nigeria",Table1[[#This Row],[EMJM Scholarship]],"Not Applicable")</f>
        <v>Not Applicable</v>
      </c>
    </row>
    <row r="2181" spans="1:10" ht="19.25" hidden="1" customHeight="1" x14ac:dyDescent="0.3">
      <c r="A2181" s="8">
        <v>2518925</v>
      </c>
      <c r="B2181" s="6" t="s">
        <v>80</v>
      </c>
      <c r="C2181" s="1" t="s">
        <v>9</v>
      </c>
      <c r="D2181" s="1" t="s">
        <v>9</v>
      </c>
      <c r="E2181" s="1" t="s">
        <v>9</v>
      </c>
      <c r="F2181" s="6"/>
      <c r="G2181" s="6"/>
      <c r="H2181" s="11"/>
      <c r="I218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81" t="str">
        <f>IF(Table1[[#This Row],[Nationality]]="Nigeria",Table1[[#This Row],[EMJM Scholarship]],"Not Applicable")</f>
        <v>Not Applicable</v>
      </c>
    </row>
    <row r="2182" spans="1:10" ht="19.25" hidden="1" customHeight="1" x14ac:dyDescent="0.3">
      <c r="A2182" s="8">
        <v>2518939</v>
      </c>
      <c r="B2182" s="6" t="s">
        <v>80</v>
      </c>
      <c r="C2182" s="1" t="s">
        <v>9</v>
      </c>
      <c r="D2182" s="1" t="s">
        <v>9</v>
      </c>
      <c r="E2182" s="1" t="s">
        <v>9</v>
      </c>
      <c r="F2182" s="6"/>
      <c r="G2182" s="6"/>
      <c r="H2182" s="11"/>
      <c r="I218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82" t="str">
        <f>IF(Table1[[#This Row],[Nationality]]="Nigeria",Table1[[#This Row],[EMJM Scholarship]],"Not Applicable")</f>
        <v>Not Applicable</v>
      </c>
    </row>
    <row r="2183" spans="1:10" ht="19.25" hidden="1" customHeight="1" x14ac:dyDescent="0.3">
      <c r="A2183" s="8">
        <v>2518951</v>
      </c>
      <c r="B2183" s="6" t="s">
        <v>80</v>
      </c>
      <c r="C2183" s="1" t="s">
        <v>9</v>
      </c>
      <c r="D2183" s="1" t="s">
        <v>9</v>
      </c>
      <c r="E2183" s="1" t="s">
        <v>9</v>
      </c>
      <c r="F2183" s="6"/>
      <c r="G2183" s="6"/>
      <c r="H2183" s="11"/>
      <c r="I218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83" t="str">
        <f>IF(Table1[[#This Row],[Nationality]]="Nigeria",Table1[[#This Row],[EMJM Scholarship]],"Not Applicable")</f>
        <v>Not Applicable</v>
      </c>
    </row>
    <row r="2184" spans="1:10" ht="19.25" hidden="1" customHeight="1" x14ac:dyDescent="0.3">
      <c r="A2184" s="8">
        <v>2518961</v>
      </c>
      <c r="B2184" s="6" t="s">
        <v>80</v>
      </c>
      <c r="C2184" s="1" t="s">
        <v>9</v>
      </c>
      <c r="D2184" s="1" t="s">
        <v>9</v>
      </c>
      <c r="E2184" s="1" t="s">
        <v>9</v>
      </c>
      <c r="F2184" s="6"/>
      <c r="G2184" s="6"/>
      <c r="H2184" s="11"/>
      <c r="I218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84" t="str">
        <f>IF(Table1[[#This Row],[Nationality]]="Nigeria",Table1[[#This Row],[EMJM Scholarship]],"Not Applicable")</f>
        <v>Not Applicable</v>
      </c>
    </row>
    <row r="2185" spans="1:10" ht="19.25" hidden="1" customHeight="1" x14ac:dyDescent="0.3">
      <c r="A2185" s="8">
        <v>2518974</v>
      </c>
      <c r="B2185" s="6" t="s">
        <v>80</v>
      </c>
      <c r="C2185" s="1" t="s">
        <v>9</v>
      </c>
      <c r="D2185" s="1" t="s">
        <v>9</v>
      </c>
      <c r="E2185" s="1" t="s">
        <v>9</v>
      </c>
      <c r="F2185" s="6"/>
      <c r="G2185" s="6"/>
      <c r="H2185" s="11"/>
      <c r="I218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85" t="str">
        <f>IF(Table1[[#This Row],[Nationality]]="Nigeria",Table1[[#This Row],[EMJM Scholarship]],"Not Applicable")</f>
        <v>Not Applicable</v>
      </c>
    </row>
    <row r="2186" spans="1:10" ht="19.25" hidden="1" customHeight="1" x14ac:dyDescent="0.3">
      <c r="A2186" s="8">
        <v>2519056</v>
      </c>
      <c r="B2186" s="6" t="s">
        <v>80</v>
      </c>
      <c r="C2186" s="1" t="s">
        <v>9</v>
      </c>
      <c r="D2186" s="1" t="s">
        <v>9</v>
      </c>
      <c r="E2186" s="1" t="s">
        <v>9</v>
      </c>
      <c r="F2186" s="6"/>
      <c r="G2186" s="6"/>
      <c r="H2186" s="11"/>
      <c r="I218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86" t="str">
        <f>IF(Table1[[#This Row],[Nationality]]="Nigeria",Table1[[#This Row],[EMJM Scholarship]],"Not Applicable")</f>
        <v>Not Applicable</v>
      </c>
    </row>
    <row r="2187" spans="1:10" ht="19.25" hidden="1" customHeight="1" x14ac:dyDescent="0.3">
      <c r="A2187" s="8">
        <v>2519058</v>
      </c>
      <c r="B2187" s="6" t="s">
        <v>80</v>
      </c>
      <c r="C2187" s="1" t="s">
        <v>9</v>
      </c>
      <c r="D2187" s="1" t="s">
        <v>9</v>
      </c>
      <c r="E2187" s="1" t="s">
        <v>9</v>
      </c>
      <c r="F2187" s="6"/>
      <c r="G2187" s="6"/>
      <c r="H2187" s="11"/>
      <c r="I218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87" t="str">
        <f>IF(Table1[[#This Row],[Nationality]]="Nigeria",Table1[[#This Row],[EMJM Scholarship]],"Not Applicable")</f>
        <v>Not Applicable</v>
      </c>
    </row>
    <row r="2188" spans="1:10" ht="19.25" hidden="1" customHeight="1" x14ac:dyDescent="0.3">
      <c r="A2188" s="8">
        <v>2519066</v>
      </c>
      <c r="B2188" s="6" t="s">
        <v>80</v>
      </c>
      <c r="C2188" s="1" t="s">
        <v>9</v>
      </c>
      <c r="D2188" s="1" t="s">
        <v>9</v>
      </c>
      <c r="E2188" s="1" t="s">
        <v>9</v>
      </c>
      <c r="F2188" s="6"/>
      <c r="G2188" s="6"/>
      <c r="H2188" s="11"/>
      <c r="I218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88" t="str">
        <f>IF(Table1[[#This Row],[Nationality]]="Nigeria",Table1[[#This Row],[EMJM Scholarship]],"Not Applicable")</f>
        <v>Not Applicable</v>
      </c>
    </row>
    <row r="2189" spans="1:10" ht="19.25" hidden="1" customHeight="1" x14ac:dyDescent="0.3">
      <c r="A2189" s="8">
        <v>2519088</v>
      </c>
      <c r="B2189" s="6" t="s">
        <v>80</v>
      </c>
      <c r="C2189" s="1" t="s">
        <v>9</v>
      </c>
      <c r="D2189" s="1" t="s">
        <v>9</v>
      </c>
      <c r="E2189" s="1" t="s">
        <v>9</v>
      </c>
      <c r="F2189" s="6"/>
      <c r="G2189" s="6"/>
      <c r="H2189" s="11"/>
      <c r="I218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89" t="str">
        <f>IF(Table1[[#This Row],[Nationality]]="Nigeria",Table1[[#This Row],[EMJM Scholarship]],"Not Applicable")</f>
        <v>Not Applicable</v>
      </c>
    </row>
    <row r="2190" spans="1:10" ht="19.25" hidden="1" customHeight="1" x14ac:dyDescent="0.3">
      <c r="A2190" s="8">
        <v>2519160</v>
      </c>
      <c r="B2190" s="6" t="s">
        <v>80</v>
      </c>
      <c r="C2190" s="1" t="s">
        <v>9</v>
      </c>
      <c r="D2190" s="1" t="s">
        <v>9</v>
      </c>
      <c r="E2190" s="1" t="s">
        <v>9</v>
      </c>
      <c r="F2190" s="6"/>
      <c r="G2190" s="6"/>
      <c r="H2190" s="11"/>
      <c r="I219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90" t="str">
        <f>IF(Table1[[#This Row],[Nationality]]="Nigeria",Table1[[#This Row],[EMJM Scholarship]],"Not Applicable")</f>
        <v>Not Applicable</v>
      </c>
    </row>
    <row r="2191" spans="1:10" ht="19.25" hidden="1" customHeight="1" x14ac:dyDescent="0.3">
      <c r="A2191" s="8">
        <v>2519195</v>
      </c>
      <c r="B2191" s="6" t="s">
        <v>80</v>
      </c>
      <c r="C2191" s="1" t="s">
        <v>9</v>
      </c>
      <c r="D2191" s="1" t="s">
        <v>9</v>
      </c>
      <c r="E2191" s="1" t="s">
        <v>9</v>
      </c>
      <c r="F2191" s="6"/>
      <c r="G2191" s="6"/>
      <c r="H2191" s="11"/>
      <c r="I219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91" t="str">
        <f>IF(Table1[[#This Row],[Nationality]]="Nigeria",Table1[[#This Row],[EMJM Scholarship]],"Not Applicable")</f>
        <v>Not Applicable</v>
      </c>
    </row>
    <row r="2192" spans="1:10" ht="19.25" hidden="1" customHeight="1" x14ac:dyDescent="0.3">
      <c r="A2192" s="8">
        <v>2519200</v>
      </c>
      <c r="B2192" s="6" t="s">
        <v>80</v>
      </c>
      <c r="C2192" s="1" t="s">
        <v>9</v>
      </c>
      <c r="D2192" s="1" t="s">
        <v>9</v>
      </c>
      <c r="E2192" s="1" t="s">
        <v>9</v>
      </c>
      <c r="F2192" s="6"/>
      <c r="G2192" s="6"/>
      <c r="H2192" s="11"/>
      <c r="I219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92" t="str">
        <f>IF(Table1[[#This Row],[Nationality]]="Nigeria",Table1[[#This Row],[EMJM Scholarship]],"Not Applicable")</f>
        <v>Not Applicable</v>
      </c>
    </row>
    <row r="2193" spans="1:10" ht="19.25" hidden="1" customHeight="1" x14ac:dyDescent="0.3">
      <c r="A2193" s="8">
        <v>2519226</v>
      </c>
      <c r="B2193" s="6" t="s">
        <v>80</v>
      </c>
      <c r="C2193" s="1" t="s">
        <v>9</v>
      </c>
      <c r="D2193" s="1" t="s">
        <v>9</v>
      </c>
      <c r="E2193" s="1" t="s">
        <v>9</v>
      </c>
      <c r="F2193" s="6"/>
      <c r="G2193" s="6"/>
      <c r="H2193" s="11"/>
      <c r="I219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93" t="str">
        <f>IF(Table1[[#This Row],[Nationality]]="Nigeria",Table1[[#This Row],[EMJM Scholarship]],"Not Applicable")</f>
        <v>Not Applicable</v>
      </c>
    </row>
    <row r="2194" spans="1:10" ht="19.25" hidden="1" customHeight="1" x14ac:dyDescent="0.3">
      <c r="A2194" s="8">
        <v>2519259</v>
      </c>
      <c r="B2194" s="6" t="s">
        <v>80</v>
      </c>
      <c r="C2194" s="1" t="s">
        <v>9</v>
      </c>
      <c r="D2194" s="1" t="s">
        <v>9</v>
      </c>
      <c r="E2194" s="1" t="s">
        <v>9</v>
      </c>
      <c r="F2194" s="6"/>
      <c r="G2194" s="6"/>
      <c r="H2194" s="11"/>
      <c r="I219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94" t="str">
        <f>IF(Table1[[#This Row],[Nationality]]="Nigeria",Table1[[#This Row],[EMJM Scholarship]],"Not Applicable")</f>
        <v>Not Applicable</v>
      </c>
    </row>
    <row r="2195" spans="1:10" ht="19.25" hidden="1" customHeight="1" x14ac:dyDescent="0.3">
      <c r="A2195" s="8">
        <v>2519327</v>
      </c>
      <c r="B2195" s="6" t="s">
        <v>80</v>
      </c>
      <c r="C2195" s="1" t="s">
        <v>9</v>
      </c>
      <c r="D2195" s="1" t="s">
        <v>9</v>
      </c>
      <c r="E2195" s="1" t="s">
        <v>9</v>
      </c>
      <c r="F2195" s="6"/>
      <c r="G2195" s="6"/>
      <c r="H2195" s="11"/>
      <c r="I219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95" t="str">
        <f>IF(Table1[[#This Row],[Nationality]]="Nigeria",Table1[[#This Row],[EMJM Scholarship]],"Not Applicable")</f>
        <v>Not Applicable</v>
      </c>
    </row>
    <row r="2196" spans="1:10" ht="19.25" hidden="1" customHeight="1" x14ac:dyDescent="0.3">
      <c r="A2196" s="8">
        <v>2519435</v>
      </c>
      <c r="B2196" s="6" t="s">
        <v>80</v>
      </c>
      <c r="C2196" s="1" t="s">
        <v>9</v>
      </c>
      <c r="D2196" s="1" t="s">
        <v>9</v>
      </c>
      <c r="E2196" s="1" t="s">
        <v>9</v>
      </c>
      <c r="F2196" s="6"/>
      <c r="G2196" s="6"/>
      <c r="H2196" s="11"/>
      <c r="I219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96" t="str">
        <f>IF(Table1[[#This Row],[Nationality]]="Nigeria",Table1[[#This Row],[EMJM Scholarship]],"Not Applicable")</f>
        <v>Not Applicable</v>
      </c>
    </row>
    <row r="2197" spans="1:10" ht="19.25" hidden="1" customHeight="1" x14ac:dyDescent="0.3">
      <c r="A2197" s="8">
        <v>2519510</v>
      </c>
      <c r="B2197" s="6" t="s">
        <v>80</v>
      </c>
      <c r="C2197" s="1" t="s">
        <v>9</v>
      </c>
      <c r="D2197" s="1" t="s">
        <v>9</v>
      </c>
      <c r="E2197" s="1" t="s">
        <v>9</v>
      </c>
      <c r="F2197" s="6"/>
      <c r="G2197" s="6"/>
      <c r="H2197" s="11"/>
      <c r="I219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97" t="str">
        <f>IF(Table1[[#This Row],[Nationality]]="Nigeria",Table1[[#This Row],[EMJM Scholarship]],"Not Applicable")</f>
        <v>Not Applicable</v>
      </c>
    </row>
    <row r="2198" spans="1:10" ht="19.25" hidden="1" customHeight="1" x14ac:dyDescent="0.3">
      <c r="A2198" s="8">
        <v>2519557</v>
      </c>
      <c r="B2198" s="6" t="s">
        <v>80</v>
      </c>
      <c r="C2198" s="1" t="s">
        <v>9</v>
      </c>
      <c r="D2198" s="1" t="s">
        <v>9</v>
      </c>
      <c r="E2198" s="1" t="s">
        <v>9</v>
      </c>
      <c r="F2198" s="6"/>
      <c r="G2198" s="6"/>
      <c r="H2198" s="11"/>
      <c r="I219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98" t="str">
        <f>IF(Table1[[#This Row],[Nationality]]="Nigeria",Table1[[#This Row],[EMJM Scholarship]],"Not Applicable")</f>
        <v>Not Applicable</v>
      </c>
    </row>
    <row r="2199" spans="1:10" ht="19.25" hidden="1" customHeight="1" x14ac:dyDescent="0.3">
      <c r="A2199" s="8">
        <v>2519580</v>
      </c>
      <c r="B2199" s="6" t="s">
        <v>80</v>
      </c>
      <c r="C2199" s="1" t="s">
        <v>9</v>
      </c>
      <c r="D2199" s="1" t="s">
        <v>9</v>
      </c>
      <c r="E2199" s="1" t="s">
        <v>9</v>
      </c>
      <c r="F2199" s="6"/>
      <c r="G2199" s="6"/>
      <c r="H2199" s="11"/>
      <c r="I219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199" t="str">
        <f>IF(Table1[[#This Row],[Nationality]]="Nigeria",Table1[[#This Row],[EMJM Scholarship]],"Not Applicable")</f>
        <v>Not Applicable</v>
      </c>
    </row>
    <row r="2200" spans="1:10" ht="19.25" hidden="1" customHeight="1" x14ac:dyDescent="0.3">
      <c r="A2200" s="8">
        <v>2519601</v>
      </c>
      <c r="B2200" s="6" t="s">
        <v>80</v>
      </c>
      <c r="C2200" s="1" t="s">
        <v>9</v>
      </c>
      <c r="D2200" s="1" t="s">
        <v>9</v>
      </c>
      <c r="E2200" s="1" t="s">
        <v>9</v>
      </c>
      <c r="F2200" s="6"/>
      <c r="G2200" s="6"/>
      <c r="H2200" s="11"/>
      <c r="I220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00" t="str">
        <f>IF(Table1[[#This Row],[Nationality]]="Nigeria",Table1[[#This Row],[EMJM Scholarship]],"Not Applicable")</f>
        <v>Not Applicable</v>
      </c>
    </row>
    <row r="2201" spans="1:10" ht="19.25" hidden="1" customHeight="1" x14ac:dyDescent="0.3">
      <c r="A2201" s="8">
        <v>2519614</v>
      </c>
      <c r="B2201" s="6" t="s">
        <v>80</v>
      </c>
      <c r="C2201" s="1" t="s">
        <v>9</v>
      </c>
      <c r="D2201" s="1" t="s">
        <v>9</v>
      </c>
      <c r="E2201" s="1" t="s">
        <v>9</v>
      </c>
      <c r="F2201" s="6"/>
      <c r="G2201" s="6"/>
      <c r="H2201" s="11"/>
      <c r="I220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01" t="str">
        <f>IF(Table1[[#This Row],[Nationality]]="Nigeria",Table1[[#This Row],[EMJM Scholarship]],"Not Applicable")</f>
        <v>Not Applicable</v>
      </c>
    </row>
    <row r="2202" spans="1:10" ht="19.25" hidden="1" customHeight="1" x14ac:dyDescent="0.3">
      <c r="A2202" s="8">
        <v>2519642</v>
      </c>
      <c r="B2202" s="6" t="s">
        <v>80</v>
      </c>
      <c r="C2202" s="1" t="s">
        <v>9</v>
      </c>
      <c r="D2202" s="1" t="s">
        <v>9</v>
      </c>
      <c r="E2202" s="1" t="s">
        <v>9</v>
      </c>
      <c r="F2202" s="6"/>
      <c r="G2202" s="6"/>
      <c r="H2202" s="11"/>
      <c r="I220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02" t="str">
        <f>IF(Table1[[#This Row],[Nationality]]="Nigeria",Table1[[#This Row],[EMJM Scholarship]],"Not Applicable")</f>
        <v>Not Applicable</v>
      </c>
    </row>
    <row r="2203" spans="1:10" ht="19.25" hidden="1" customHeight="1" x14ac:dyDescent="0.3">
      <c r="A2203" s="8">
        <v>2519657</v>
      </c>
      <c r="B2203" s="6" t="s">
        <v>80</v>
      </c>
      <c r="C2203" s="1" t="s">
        <v>9</v>
      </c>
      <c r="D2203" s="1" t="s">
        <v>9</v>
      </c>
      <c r="E2203" s="1" t="s">
        <v>9</v>
      </c>
      <c r="F2203" s="6"/>
      <c r="G2203" s="6"/>
      <c r="H2203" s="11"/>
      <c r="I220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03" t="str">
        <f>IF(Table1[[#This Row],[Nationality]]="Nigeria",Table1[[#This Row],[EMJM Scholarship]],"Not Applicable")</f>
        <v>Not Applicable</v>
      </c>
    </row>
    <row r="2204" spans="1:10" ht="19.25" hidden="1" customHeight="1" x14ac:dyDescent="0.3">
      <c r="A2204" s="8">
        <v>2519688</v>
      </c>
      <c r="B2204" s="6" t="s">
        <v>80</v>
      </c>
      <c r="C2204" s="1" t="s">
        <v>9</v>
      </c>
      <c r="D2204" s="1" t="s">
        <v>9</v>
      </c>
      <c r="E2204" s="1" t="s">
        <v>9</v>
      </c>
      <c r="F2204" s="6"/>
      <c r="G2204" s="6"/>
      <c r="H2204" s="11"/>
      <c r="I220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04" t="str">
        <f>IF(Table1[[#This Row],[Nationality]]="Nigeria",Table1[[#This Row],[EMJM Scholarship]],"Not Applicable")</f>
        <v>Not Applicable</v>
      </c>
    </row>
    <row r="2205" spans="1:10" ht="19.25" hidden="1" customHeight="1" x14ac:dyDescent="0.3">
      <c r="A2205" s="8">
        <v>2519708</v>
      </c>
      <c r="B2205" s="6" t="s">
        <v>80</v>
      </c>
      <c r="C2205" s="1" t="s">
        <v>9</v>
      </c>
      <c r="D2205" s="1" t="s">
        <v>9</v>
      </c>
      <c r="E2205" s="1" t="s">
        <v>9</v>
      </c>
      <c r="F2205" s="6"/>
      <c r="G2205" s="6"/>
      <c r="H2205" s="11"/>
      <c r="I220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05" t="str">
        <f>IF(Table1[[#This Row],[Nationality]]="Nigeria",Table1[[#This Row],[EMJM Scholarship]],"Not Applicable")</f>
        <v>Not Applicable</v>
      </c>
    </row>
    <row r="2206" spans="1:10" ht="19.25" hidden="1" customHeight="1" x14ac:dyDescent="0.3">
      <c r="A2206" s="8">
        <v>2519736</v>
      </c>
      <c r="B2206" s="6" t="s">
        <v>80</v>
      </c>
      <c r="C2206" s="1" t="s">
        <v>9</v>
      </c>
      <c r="D2206" s="1" t="s">
        <v>9</v>
      </c>
      <c r="E2206" s="1" t="s">
        <v>9</v>
      </c>
      <c r="F2206" s="6"/>
      <c r="G2206" s="6"/>
      <c r="H2206" s="11"/>
      <c r="I220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06" t="str">
        <f>IF(Table1[[#This Row],[Nationality]]="Nigeria",Table1[[#This Row],[EMJM Scholarship]],"Not Applicable")</f>
        <v>Not Applicable</v>
      </c>
    </row>
    <row r="2207" spans="1:10" ht="19.25" hidden="1" customHeight="1" x14ac:dyDescent="0.3">
      <c r="A2207" s="8">
        <v>2519837</v>
      </c>
      <c r="B2207" s="6" t="s">
        <v>80</v>
      </c>
      <c r="C2207" s="1" t="s">
        <v>9</v>
      </c>
      <c r="D2207" s="1" t="s">
        <v>9</v>
      </c>
      <c r="E2207" s="1" t="s">
        <v>9</v>
      </c>
      <c r="F2207" s="6"/>
      <c r="G2207" s="6"/>
      <c r="H2207" s="11"/>
      <c r="I220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07" t="str">
        <f>IF(Table1[[#This Row],[Nationality]]="Nigeria",Table1[[#This Row],[EMJM Scholarship]],"Not Applicable")</f>
        <v>Not Applicable</v>
      </c>
    </row>
    <row r="2208" spans="1:10" ht="19.25" hidden="1" customHeight="1" x14ac:dyDescent="0.3">
      <c r="A2208" s="8">
        <v>2519866</v>
      </c>
      <c r="B2208" s="6" t="s">
        <v>80</v>
      </c>
      <c r="C2208" s="1" t="s">
        <v>9</v>
      </c>
      <c r="D2208" s="1" t="s">
        <v>9</v>
      </c>
      <c r="E2208" s="1" t="s">
        <v>9</v>
      </c>
      <c r="F2208" s="6"/>
      <c r="G2208" s="6"/>
      <c r="H2208" s="11"/>
      <c r="I220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08" t="str">
        <f>IF(Table1[[#This Row],[Nationality]]="Nigeria",Table1[[#This Row],[EMJM Scholarship]],"Not Applicable")</f>
        <v>Not Applicable</v>
      </c>
    </row>
    <row r="2209" spans="1:10" ht="19.25" hidden="1" customHeight="1" x14ac:dyDescent="0.3">
      <c r="A2209" s="8">
        <v>2519922</v>
      </c>
      <c r="B2209" s="6" t="s">
        <v>80</v>
      </c>
      <c r="C2209" s="1" t="s">
        <v>9</v>
      </c>
      <c r="D2209" s="1" t="s">
        <v>9</v>
      </c>
      <c r="E2209" s="1" t="s">
        <v>9</v>
      </c>
      <c r="F2209" s="6"/>
      <c r="G2209" s="6"/>
      <c r="H2209" s="11"/>
      <c r="I220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09" t="str">
        <f>IF(Table1[[#This Row],[Nationality]]="Nigeria",Table1[[#This Row],[EMJM Scholarship]],"Not Applicable")</f>
        <v>Not Applicable</v>
      </c>
    </row>
    <row r="2210" spans="1:10" ht="19.25" hidden="1" customHeight="1" x14ac:dyDescent="0.3">
      <c r="A2210" s="8">
        <v>2519938</v>
      </c>
      <c r="B2210" s="6" t="s">
        <v>80</v>
      </c>
      <c r="C2210" s="1" t="s">
        <v>9</v>
      </c>
      <c r="D2210" s="1" t="s">
        <v>9</v>
      </c>
      <c r="E2210" s="1" t="s">
        <v>9</v>
      </c>
      <c r="F2210" s="6"/>
      <c r="G2210" s="6"/>
      <c r="H2210" s="11"/>
      <c r="I221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10" t="str">
        <f>IF(Table1[[#This Row],[Nationality]]="Nigeria",Table1[[#This Row],[EMJM Scholarship]],"Not Applicable")</f>
        <v>Not Applicable</v>
      </c>
    </row>
    <row r="2211" spans="1:10" ht="19.25" hidden="1" customHeight="1" x14ac:dyDescent="0.3">
      <c r="A2211" s="8">
        <v>2519953</v>
      </c>
      <c r="B2211" s="6" t="s">
        <v>80</v>
      </c>
      <c r="C2211" s="1" t="s">
        <v>9</v>
      </c>
      <c r="D2211" s="1" t="s">
        <v>9</v>
      </c>
      <c r="E2211" s="1" t="s">
        <v>9</v>
      </c>
      <c r="F2211" s="6"/>
      <c r="G2211" s="6"/>
      <c r="H2211" s="11"/>
      <c r="I221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11" t="str">
        <f>IF(Table1[[#This Row],[Nationality]]="Nigeria",Table1[[#This Row],[EMJM Scholarship]],"Not Applicable")</f>
        <v>Not Applicable</v>
      </c>
    </row>
    <row r="2212" spans="1:10" ht="19.25" hidden="1" customHeight="1" x14ac:dyDescent="0.3">
      <c r="A2212" s="8">
        <v>2519973</v>
      </c>
      <c r="B2212" s="6" t="s">
        <v>80</v>
      </c>
      <c r="C2212" s="1" t="s">
        <v>9</v>
      </c>
      <c r="D2212" s="1" t="s">
        <v>9</v>
      </c>
      <c r="E2212" s="1" t="s">
        <v>9</v>
      </c>
      <c r="F2212" s="6"/>
      <c r="G2212" s="6"/>
      <c r="H2212" s="11"/>
      <c r="I221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12" t="str">
        <f>IF(Table1[[#This Row],[Nationality]]="Nigeria",Table1[[#This Row],[EMJM Scholarship]],"Not Applicable")</f>
        <v>Not Applicable</v>
      </c>
    </row>
    <row r="2213" spans="1:10" ht="19.25" hidden="1" customHeight="1" x14ac:dyDescent="0.3">
      <c r="A2213" s="8">
        <v>2519977</v>
      </c>
      <c r="B2213" s="6" t="s">
        <v>80</v>
      </c>
      <c r="C2213" s="1" t="s">
        <v>9</v>
      </c>
      <c r="D2213" s="1" t="s">
        <v>9</v>
      </c>
      <c r="E2213" s="1" t="s">
        <v>9</v>
      </c>
      <c r="F2213" s="6"/>
      <c r="G2213" s="6"/>
      <c r="H2213" s="11"/>
      <c r="I221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13" t="str">
        <f>IF(Table1[[#This Row],[Nationality]]="Nigeria",Table1[[#This Row],[EMJM Scholarship]],"Not Applicable")</f>
        <v>Not Applicable</v>
      </c>
    </row>
    <row r="2214" spans="1:10" ht="19.25" hidden="1" customHeight="1" x14ac:dyDescent="0.3">
      <c r="A2214" s="8">
        <v>2519991</v>
      </c>
      <c r="B2214" s="6" t="s">
        <v>80</v>
      </c>
      <c r="C2214" s="1" t="s">
        <v>9</v>
      </c>
      <c r="D2214" s="1" t="s">
        <v>9</v>
      </c>
      <c r="E2214" s="1" t="s">
        <v>9</v>
      </c>
      <c r="F2214" s="6"/>
      <c r="G2214" s="6"/>
      <c r="H2214" s="11"/>
      <c r="I221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14" t="str">
        <f>IF(Table1[[#This Row],[Nationality]]="Nigeria",Table1[[#This Row],[EMJM Scholarship]],"Not Applicable")</f>
        <v>Not Applicable</v>
      </c>
    </row>
    <row r="2215" spans="1:10" ht="19.25" hidden="1" customHeight="1" x14ac:dyDescent="0.3">
      <c r="A2215" s="8">
        <v>2520102</v>
      </c>
      <c r="B2215" s="6" t="s">
        <v>80</v>
      </c>
      <c r="C2215" s="1" t="s">
        <v>9</v>
      </c>
      <c r="D2215" s="1" t="s">
        <v>9</v>
      </c>
      <c r="E2215" s="1" t="s">
        <v>9</v>
      </c>
      <c r="F2215" s="6"/>
      <c r="G2215" s="6"/>
      <c r="H2215" s="11"/>
      <c r="I221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15" t="str">
        <f>IF(Table1[[#This Row],[Nationality]]="Nigeria",Table1[[#This Row],[EMJM Scholarship]],"Not Applicable")</f>
        <v>Not Applicable</v>
      </c>
    </row>
    <row r="2216" spans="1:10" ht="19.25" hidden="1" customHeight="1" x14ac:dyDescent="0.3">
      <c r="A2216" s="8">
        <v>2520149</v>
      </c>
      <c r="B2216" s="6" t="s">
        <v>80</v>
      </c>
      <c r="C2216" s="1" t="s">
        <v>9</v>
      </c>
      <c r="D2216" s="1" t="s">
        <v>9</v>
      </c>
      <c r="E2216" s="1" t="s">
        <v>9</v>
      </c>
      <c r="F2216" s="6"/>
      <c r="G2216" s="6"/>
      <c r="H2216" s="11"/>
      <c r="I221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16" t="str">
        <f>IF(Table1[[#This Row],[Nationality]]="Nigeria",Table1[[#This Row],[EMJM Scholarship]],"Not Applicable")</f>
        <v>Not Applicable</v>
      </c>
    </row>
    <row r="2217" spans="1:10" ht="19.25" hidden="1" customHeight="1" x14ac:dyDescent="0.3">
      <c r="A2217" s="8">
        <v>2520155</v>
      </c>
      <c r="B2217" s="6" t="s">
        <v>80</v>
      </c>
      <c r="C2217" s="1" t="s">
        <v>9</v>
      </c>
      <c r="D2217" s="1" t="s">
        <v>9</v>
      </c>
      <c r="E2217" s="1" t="s">
        <v>9</v>
      </c>
      <c r="F2217" s="6"/>
      <c r="G2217" s="6"/>
      <c r="H2217" s="11"/>
      <c r="I221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17" t="str">
        <f>IF(Table1[[#This Row],[Nationality]]="Nigeria",Table1[[#This Row],[EMJM Scholarship]],"Not Applicable")</f>
        <v>Not Applicable</v>
      </c>
    </row>
    <row r="2218" spans="1:10" ht="19.25" hidden="1" customHeight="1" x14ac:dyDescent="0.3">
      <c r="A2218" s="8">
        <v>2520163</v>
      </c>
      <c r="B2218" s="6" t="s">
        <v>80</v>
      </c>
      <c r="C2218" s="1" t="s">
        <v>9</v>
      </c>
      <c r="D2218" s="1" t="s">
        <v>9</v>
      </c>
      <c r="E2218" s="1" t="s">
        <v>9</v>
      </c>
      <c r="F2218" s="6"/>
      <c r="G2218" s="6"/>
      <c r="H2218" s="11"/>
      <c r="I221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18" t="str">
        <f>IF(Table1[[#This Row],[Nationality]]="Nigeria",Table1[[#This Row],[EMJM Scholarship]],"Not Applicable")</f>
        <v>Not Applicable</v>
      </c>
    </row>
    <row r="2219" spans="1:10" ht="19.25" hidden="1" customHeight="1" x14ac:dyDescent="0.3">
      <c r="A2219" s="8">
        <v>2520176</v>
      </c>
      <c r="B2219" s="6" t="s">
        <v>80</v>
      </c>
      <c r="C2219" s="1" t="s">
        <v>9</v>
      </c>
      <c r="D2219" s="1" t="s">
        <v>9</v>
      </c>
      <c r="E2219" s="1" t="s">
        <v>9</v>
      </c>
      <c r="F2219" s="6"/>
      <c r="G2219" s="6"/>
      <c r="H2219" s="11"/>
      <c r="I221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19" t="str">
        <f>IF(Table1[[#This Row],[Nationality]]="Nigeria",Table1[[#This Row],[EMJM Scholarship]],"Not Applicable")</f>
        <v>Not Applicable</v>
      </c>
    </row>
    <row r="2220" spans="1:10" ht="19.25" hidden="1" customHeight="1" x14ac:dyDescent="0.3">
      <c r="A2220" s="8">
        <v>2520199</v>
      </c>
      <c r="B2220" s="6" t="s">
        <v>80</v>
      </c>
      <c r="C2220" s="1" t="s">
        <v>9</v>
      </c>
      <c r="D2220" s="1" t="s">
        <v>9</v>
      </c>
      <c r="E2220" s="1" t="s">
        <v>9</v>
      </c>
      <c r="F2220" s="6"/>
      <c r="G2220" s="6"/>
      <c r="H2220" s="11"/>
      <c r="I222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20" t="str">
        <f>IF(Table1[[#This Row],[Nationality]]="Nigeria",Table1[[#This Row],[EMJM Scholarship]],"Not Applicable")</f>
        <v>Not Applicable</v>
      </c>
    </row>
    <row r="2221" spans="1:10" ht="19.25" hidden="1" customHeight="1" x14ac:dyDescent="0.3">
      <c r="A2221" s="8">
        <v>2520215</v>
      </c>
      <c r="B2221" s="6" t="s">
        <v>80</v>
      </c>
      <c r="C2221" s="1" t="s">
        <v>9</v>
      </c>
      <c r="D2221" s="1" t="s">
        <v>9</v>
      </c>
      <c r="E2221" s="1" t="s">
        <v>9</v>
      </c>
      <c r="F2221" s="6"/>
      <c r="G2221" s="6"/>
      <c r="H2221" s="11"/>
      <c r="I222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21" t="str">
        <f>IF(Table1[[#This Row],[Nationality]]="Nigeria",Table1[[#This Row],[EMJM Scholarship]],"Not Applicable")</f>
        <v>Not Applicable</v>
      </c>
    </row>
    <row r="2222" spans="1:10" ht="19.25" hidden="1" customHeight="1" x14ac:dyDescent="0.3">
      <c r="A2222" s="8">
        <v>2520298</v>
      </c>
      <c r="B2222" s="6" t="s">
        <v>80</v>
      </c>
      <c r="C2222" s="1" t="s">
        <v>9</v>
      </c>
      <c r="D2222" s="1" t="s">
        <v>9</v>
      </c>
      <c r="E2222" s="1" t="s">
        <v>9</v>
      </c>
      <c r="F2222" s="6"/>
      <c r="G2222" s="6"/>
      <c r="H2222" s="11"/>
      <c r="I222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22" t="str">
        <f>IF(Table1[[#This Row],[Nationality]]="Nigeria",Table1[[#This Row],[EMJM Scholarship]],"Not Applicable")</f>
        <v>Not Applicable</v>
      </c>
    </row>
    <row r="2223" spans="1:10" ht="19.25" hidden="1" customHeight="1" x14ac:dyDescent="0.3">
      <c r="A2223" s="8">
        <v>2520305</v>
      </c>
      <c r="B2223" s="6" t="s">
        <v>80</v>
      </c>
      <c r="C2223" s="1" t="s">
        <v>9</v>
      </c>
      <c r="D2223" s="1" t="s">
        <v>9</v>
      </c>
      <c r="E2223" s="1" t="s">
        <v>9</v>
      </c>
      <c r="F2223" s="6"/>
      <c r="G2223" s="6"/>
      <c r="H2223" s="11"/>
      <c r="I222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23" t="str">
        <f>IF(Table1[[#This Row],[Nationality]]="Nigeria",Table1[[#This Row],[EMJM Scholarship]],"Not Applicable")</f>
        <v>Not Applicable</v>
      </c>
    </row>
    <row r="2224" spans="1:10" ht="19.25" hidden="1" customHeight="1" x14ac:dyDescent="0.3">
      <c r="A2224" s="8">
        <v>2520316</v>
      </c>
      <c r="B2224" s="6" t="s">
        <v>80</v>
      </c>
      <c r="C2224" s="1" t="s">
        <v>9</v>
      </c>
      <c r="D2224" s="1" t="s">
        <v>9</v>
      </c>
      <c r="E2224" s="1" t="s">
        <v>9</v>
      </c>
      <c r="F2224" s="6"/>
      <c r="G2224" s="6"/>
      <c r="H2224" s="11"/>
      <c r="I222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24" t="str">
        <f>IF(Table1[[#This Row],[Nationality]]="Nigeria",Table1[[#This Row],[EMJM Scholarship]],"Not Applicable")</f>
        <v>Not Applicable</v>
      </c>
    </row>
    <row r="2225" spans="1:10" ht="19.25" hidden="1" customHeight="1" x14ac:dyDescent="0.3">
      <c r="A2225" s="8">
        <v>2520358</v>
      </c>
      <c r="B2225" s="6" t="s">
        <v>80</v>
      </c>
      <c r="C2225" s="1" t="s">
        <v>9</v>
      </c>
      <c r="D2225" s="1" t="s">
        <v>9</v>
      </c>
      <c r="E2225" s="1" t="s">
        <v>9</v>
      </c>
      <c r="F2225" s="6"/>
      <c r="G2225" s="6"/>
      <c r="H2225" s="11"/>
      <c r="I222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25" t="str">
        <f>IF(Table1[[#This Row],[Nationality]]="Nigeria",Table1[[#This Row],[EMJM Scholarship]],"Not Applicable")</f>
        <v>Not Applicable</v>
      </c>
    </row>
    <row r="2226" spans="1:10" ht="19.25" hidden="1" customHeight="1" x14ac:dyDescent="0.3">
      <c r="A2226" s="8">
        <v>2520400</v>
      </c>
      <c r="B2226" s="6" t="s">
        <v>80</v>
      </c>
      <c r="C2226" s="1" t="s">
        <v>9</v>
      </c>
      <c r="D2226" s="1" t="s">
        <v>9</v>
      </c>
      <c r="E2226" s="1" t="s">
        <v>9</v>
      </c>
      <c r="F2226" s="6"/>
      <c r="G2226" s="6"/>
      <c r="H2226" s="11"/>
      <c r="I222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26" t="str">
        <f>IF(Table1[[#This Row],[Nationality]]="Nigeria",Table1[[#This Row],[EMJM Scholarship]],"Not Applicable")</f>
        <v>Not Applicable</v>
      </c>
    </row>
    <row r="2227" spans="1:10" ht="19.25" hidden="1" customHeight="1" x14ac:dyDescent="0.3">
      <c r="A2227" s="8">
        <v>2520421</v>
      </c>
      <c r="B2227" s="6" t="s">
        <v>80</v>
      </c>
      <c r="C2227" s="1" t="s">
        <v>9</v>
      </c>
      <c r="D2227" s="1" t="s">
        <v>9</v>
      </c>
      <c r="E2227" s="1" t="s">
        <v>9</v>
      </c>
      <c r="F2227" s="6"/>
      <c r="G2227" s="6"/>
      <c r="H2227" s="11"/>
      <c r="I222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27" t="str">
        <f>IF(Table1[[#This Row],[Nationality]]="Nigeria",Table1[[#This Row],[EMJM Scholarship]],"Not Applicable")</f>
        <v>Not Applicable</v>
      </c>
    </row>
    <row r="2228" spans="1:10" ht="19.25" hidden="1" customHeight="1" x14ac:dyDescent="0.3">
      <c r="A2228" s="8">
        <v>2520438</v>
      </c>
      <c r="B2228" s="6" t="s">
        <v>80</v>
      </c>
      <c r="C2228" s="1" t="s">
        <v>9</v>
      </c>
      <c r="D2228" s="1" t="s">
        <v>9</v>
      </c>
      <c r="E2228" s="1" t="s">
        <v>9</v>
      </c>
      <c r="F2228" s="6"/>
      <c r="G2228" s="6"/>
      <c r="H2228" s="11"/>
      <c r="I222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28" t="str">
        <f>IF(Table1[[#This Row],[Nationality]]="Nigeria",Table1[[#This Row],[EMJM Scholarship]],"Not Applicable")</f>
        <v>Not Applicable</v>
      </c>
    </row>
    <row r="2229" spans="1:10" ht="19.25" hidden="1" customHeight="1" x14ac:dyDescent="0.3">
      <c r="A2229" s="8">
        <v>2520449</v>
      </c>
      <c r="B2229" s="6" t="s">
        <v>80</v>
      </c>
      <c r="C2229" s="1" t="s">
        <v>9</v>
      </c>
      <c r="D2229" s="1" t="s">
        <v>9</v>
      </c>
      <c r="E2229" s="1" t="s">
        <v>9</v>
      </c>
      <c r="F2229" s="6"/>
      <c r="G2229" s="6"/>
      <c r="H2229" s="11"/>
      <c r="I222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29" t="str">
        <f>IF(Table1[[#This Row],[Nationality]]="Nigeria",Table1[[#This Row],[EMJM Scholarship]],"Not Applicable")</f>
        <v>Not Applicable</v>
      </c>
    </row>
    <row r="2230" spans="1:10" ht="19.25" hidden="1" customHeight="1" x14ac:dyDescent="0.3">
      <c r="A2230" s="8">
        <v>2520474</v>
      </c>
      <c r="B2230" s="6" t="s">
        <v>80</v>
      </c>
      <c r="C2230" s="1" t="s">
        <v>9</v>
      </c>
      <c r="D2230" s="1" t="s">
        <v>9</v>
      </c>
      <c r="E2230" s="1" t="s">
        <v>9</v>
      </c>
      <c r="F2230" s="6"/>
      <c r="G2230" s="6"/>
      <c r="H2230" s="11"/>
      <c r="I223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30" t="str">
        <f>IF(Table1[[#This Row],[Nationality]]="Nigeria",Table1[[#This Row],[EMJM Scholarship]],"Not Applicable")</f>
        <v>Not Applicable</v>
      </c>
    </row>
    <row r="2231" spans="1:10" ht="19.25" hidden="1" customHeight="1" x14ac:dyDescent="0.3">
      <c r="A2231" s="8">
        <v>2520483</v>
      </c>
      <c r="B2231" s="6" t="s">
        <v>80</v>
      </c>
      <c r="C2231" s="1" t="s">
        <v>9</v>
      </c>
      <c r="D2231" s="1" t="s">
        <v>9</v>
      </c>
      <c r="E2231" s="1" t="s">
        <v>9</v>
      </c>
      <c r="F2231" s="6"/>
      <c r="G2231" s="6"/>
      <c r="H2231" s="11"/>
      <c r="I223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31" t="str">
        <f>IF(Table1[[#This Row],[Nationality]]="Nigeria",Table1[[#This Row],[EMJM Scholarship]],"Not Applicable")</f>
        <v>Not Applicable</v>
      </c>
    </row>
    <row r="2232" spans="1:10" ht="19.25" hidden="1" customHeight="1" x14ac:dyDescent="0.3">
      <c r="A2232" s="8">
        <v>2520522</v>
      </c>
      <c r="B2232" s="6" t="s">
        <v>80</v>
      </c>
      <c r="C2232" s="1" t="s">
        <v>9</v>
      </c>
      <c r="D2232" s="1" t="s">
        <v>9</v>
      </c>
      <c r="E2232" s="1" t="s">
        <v>9</v>
      </c>
      <c r="F2232" s="6"/>
      <c r="G2232" s="6"/>
      <c r="H2232" s="11"/>
      <c r="I223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32" t="str">
        <f>IF(Table1[[#This Row],[Nationality]]="Nigeria",Table1[[#This Row],[EMJM Scholarship]],"Not Applicable")</f>
        <v>Not Applicable</v>
      </c>
    </row>
    <row r="2233" spans="1:10" ht="19.25" hidden="1" customHeight="1" x14ac:dyDescent="0.3">
      <c r="A2233" s="8">
        <v>2520567</v>
      </c>
      <c r="B2233" s="6" t="s">
        <v>80</v>
      </c>
      <c r="C2233" s="1" t="s">
        <v>9</v>
      </c>
      <c r="D2233" s="1" t="s">
        <v>9</v>
      </c>
      <c r="E2233" s="1" t="s">
        <v>9</v>
      </c>
      <c r="F2233" s="6"/>
      <c r="G2233" s="6"/>
      <c r="H2233" s="11"/>
      <c r="I223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33" t="str">
        <f>IF(Table1[[#This Row],[Nationality]]="Nigeria",Table1[[#This Row],[EMJM Scholarship]],"Not Applicable")</f>
        <v>Not Applicable</v>
      </c>
    </row>
    <row r="2234" spans="1:10" ht="19.25" hidden="1" customHeight="1" x14ac:dyDescent="0.3">
      <c r="A2234" s="8">
        <v>2520568</v>
      </c>
      <c r="B2234" s="6" t="s">
        <v>80</v>
      </c>
      <c r="C2234" s="1" t="s">
        <v>9</v>
      </c>
      <c r="D2234" s="1" t="s">
        <v>9</v>
      </c>
      <c r="E2234" s="1" t="s">
        <v>9</v>
      </c>
      <c r="F2234" s="6"/>
      <c r="G2234" s="6"/>
      <c r="H2234" s="11"/>
      <c r="I223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34" t="str">
        <f>IF(Table1[[#This Row],[Nationality]]="Nigeria",Table1[[#This Row],[EMJM Scholarship]],"Not Applicable")</f>
        <v>Not Applicable</v>
      </c>
    </row>
    <row r="2235" spans="1:10" ht="19.25" hidden="1" customHeight="1" x14ac:dyDescent="0.3">
      <c r="A2235" s="8">
        <v>2520574</v>
      </c>
      <c r="B2235" s="6" t="s">
        <v>80</v>
      </c>
      <c r="C2235" s="1" t="s">
        <v>9</v>
      </c>
      <c r="D2235" s="1" t="s">
        <v>9</v>
      </c>
      <c r="E2235" s="1" t="s">
        <v>9</v>
      </c>
      <c r="F2235" s="6"/>
      <c r="G2235" s="6"/>
      <c r="H2235" s="11"/>
      <c r="I223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35" t="str">
        <f>IF(Table1[[#This Row],[Nationality]]="Nigeria",Table1[[#This Row],[EMJM Scholarship]],"Not Applicable")</f>
        <v>Not Applicable</v>
      </c>
    </row>
    <row r="2236" spans="1:10" ht="19.25" hidden="1" customHeight="1" x14ac:dyDescent="0.3">
      <c r="A2236" s="8">
        <v>2520581</v>
      </c>
      <c r="B2236" s="6" t="s">
        <v>80</v>
      </c>
      <c r="C2236" s="1" t="s">
        <v>9</v>
      </c>
      <c r="D2236" s="1" t="s">
        <v>9</v>
      </c>
      <c r="E2236" s="1" t="s">
        <v>9</v>
      </c>
      <c r="F2236" s="6"/>
      <c r="G2236" s="6"/>
      <c r="H2236" s="11"/>
      <c r="I223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36" t="str">
        <f>IF(Table1[[#This Row],[Nationality]]="Nigeria",Table1[[#This Row],[EMJM Scholarship]],"Not Applicable")</f>
        <v>Not Applicable</v>
      </c>
    </row>
    <row r="2237" spans="1:10" ht="19.25" hidden="1" customHeight="1" x14ac:dyDescent="0.3">
      <c r="A2237" s="8">
        <v>2520583</v>
      </c>
      <c r="B2237" s="6" t="s">
        <v>80</v>
      </c>
      <c r="C2237" s="1" t="s">
        <v>9</v>
      </c>
      <c r="D2237" s="1" t="s">
        <v>9</v>
      </c>
      <c r="E2237" s="1" t="s">
        <v>9</v>
      </c>
      <c r="F2237" s="6"/>
      <c r="G2237" s="6"/>
      <c r="H2237" s="11"/>
      <c r="I223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37" t="str">
        <f>IF(Table1[[#This Row],[Nationality]]="Nigeria",Table1[[#This Row],[EMJM Scholarship]],"Not Applicable")</f>
        <v>Not Applicable</v>
      </c>
    </row>
    <row r="2238" spans="1:10" ht="19.25" hidden="1" customHeight="1" x14ac:dyDescent="0.3">
      <c r="A2238" s="8">
        <v>2520590</v>
      </c>
      <c r="B2238" s="6" t="s">
        <v>80</v>
      </c>
      <c r="C2238" s="1" t="s">
        <v>9</v>
      </c>
      <c r="D2238" s="1" t="s">
        <v>9</v>
      </c>
      <c r="E2238" s="1" t="s">
        <v>9</v>
      </c>
      <c r="F2238" s="6"/>
      <c r="G2238" s="6"/>
      <c r="H2238" s="11"/>
      <c r="I223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38" t="str">
        <f>IF(Table1[[#This Row],[Nationality]]="Nigeria",Table1[[#This Row],[EMJM Scholarship]],"Not Applicable")</f>
        <v>Not Applicable</v>
      </c>
    </row>
    <row r="2239" spans="1:10" ht="19.25" hidden="1" customHeight="1" x14ac:dyDescent="0.3">
      <c r="A2239" s="8">
        <v>2520603</v>
      </c>
      <c r="B2239" s="6" t="s">
        <v>80</v>
      </c>
      <c r="C2239" s="1" t="s">
        <v>9</v>
      </c>
      <c r="D2239" s="1" t="s">
        <v>9</v>
      </c>
      <c r="E2239" s="1" t="s">
        <v>9</v>
      </c>
      <c r="F2239" s="6"/>
      <c r="G2239" s="6"/>
      <c r="H2239" s="11"/>
      <c r="I223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39" t="str">
        <f>IF(Table1[[#This Row],[Nationality]]="Nigeria",Table1[[#This Row],[EMJM Scholarship]],"Not Applicable")</f>
        <v>Not Applicable</v>
      </c>
    </row>
    <row r="2240" spans="1:10" ht="19.25" hidden="1" customHeight="1" x14ac:dyDescent="0.3">
      <c r="A2240" s="8">
        <v>2520643</v>
      </c>
      <c r="B2240" s="6" t="s">
        <v>80</v>
      </c>
      <c r="C2240" s="1" t="s">
        <v>9</v>
      </c>
      <c r="D2240" s="1" t="s">
        <v>9</v>
      </c>
      <c r="E2240" s="1" t="s">
        <v>9</v>
      </c>
      <c r="F2240" s="6"/>
      <c r="G2240" s="6"/>
      <c r="H2240" s="11"/>
      <c r="I224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40" t="str">
        <f>IF(Table1[[#This Row],[Nationality]]="Nigeria",Table1[[#This Row],[EMJM Scholarship]],"Not Applicable")</f>
        <v>Not Applicable</v>
      </c>
    </row>
    <row r="2241" spans="1:10" ht="19.25" hidden="1" customHeight="1" x14ac:dyDescent="0.3">
      <c r="A2241" s="8">
        <v>2520646</v>
      </c>
      <c r="B2241" s="6" t="s">
        <v>80</v>
      </c>
      <c r="C2241" s="1" t="s">
        <v>9</v>
      </c>
      <c r="D2241" s="1" t="s">
        <v>9</v>
      </c>
      <c r="E2241" s="1" t="s">
        <v>9</v>
      </c>
      <c r="F2241" s="6"/>
      <c r="G2241" s="6"/>
      <c r="H2241" s="11"/>
      <c r="I224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41" t="str">
        <f>IF(Table1[[#This Row],[Nationality]]="Nigeria",Table1[[#This Row],[EMJM Scholarship]],"Not Applicable")</f>
        <v>Not Applicable</v>
      </c>
    </row>
    <row r="2242" spans="1:10" ht="19.25" hidden="1" customHeight="1" x14ac:dyDescent="0.3">
      <c r="A2242" s="8">
        <v>2520653</v>
      </c>
      <c r="B2242" s="6" t="s">
        <v>80</v>
      </c>
      <c r="C2242" s="1" t="s">
        <v>9</v>
      </c>
      <c r="D2242" s="1" t="s">
        <v>9</v>
      </c>
      <c r="E2242" s="1" t="s">
        <v>9</v>
      </c>
      <c r="F2242" s="6"/>
      <c r="G2242" s="6"/>
      <c r="H2242" s="11"/>
      <c r="I224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42" t="str">
        <f>IF(Table1[[#This Row],[Nationality]]="Nigeria",Table1[[#This Row],[EMJM Scholarship]],"Not Applicable")</f>
        <v>Not Applicable</v>
      </c>
    </row>
    <row r="2243" spans="1:10" ht="19.25" hidden="1" customHeight="1" x14ac:dyDescent="0.3">
      <c r="A2243" s="8">
        <v>2520655</v>
      </c>
      <c r="B2243" s="6" t="s">
        <v>80</v>
      </c>
      <c r="C2243" s="1" t="s">
        <v>9</v>
      </c>
      <c r="D2243" s="1" t="s">
        <v>9</v>
      </c>
      <c r="E2243" s="1" t="s">
        <v>9</v>
      </c>
      <c r="F2243" s="6"/>
      <c r="G2243" s="6"/>
      <c r="H2243" s="11"/>
      <c r="I224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43" t="str">
        <f>IF(Table1[[#This Row],[Nationality]]="Nigeria",Table1[[#This Row],[EMJM Scholarship]],"Not Applicable")</f>
        <v>Not Applicable</v>
      </c>
    </row>
    <row r="2244" spans="1:10" ht="19.25" hidden="1" customHeight="1" x14ac:dyDescent="0.3">
      <c r="A2244" s="8">
        <v>2520673</v>
      </c>
      <c r="B2244" s="6" t="s">
        <v>80</v>
      </c>
      <c r="C2244" s="1" t="s">
        <v>9</v>
      </c>
      <c r="D2244" s="1" t="s">
        <v>9</v>
      </c>
      <c r="E2244" s="1" t="s">
        <v>9</v>
      </c>
      <c r="F2244" s="6"/>
      <c r="G2244" s="6"/>
      <c r="H2244" s="11"/>
      <c r="I224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44" t="str">
        <f>IF(Table1[[#This Row],[Nationality]]="Nigeria",Table1[[#This Row],[EMJM Scholarship]],"Not Applicable")</f>
        <v>Not Applicable</v>
      </c>
    </row>
    <row r="2245" spans="1:10" ht="19.25" hidden="1" customHeight="1" x14ac:dyDescent="0.3">
      <c r="A2245" s="8">
        <v>2520686</v>
      </c>
      <c r="B2245" s="6" t="s">
        <v>80</v>
      </c>
      <c r="C2245" s="1" t="s">
        <v>9</v>
      </c>
      <c r="D2245" s="1" t="s">
        <v>9</v>
      </c>
      <c r="E2245" s="1" t="s">
        <v>9</v>
      </c>
      <c r="F2245" s="6"/>
      <c r="G2245" s="6"/>
      <c r="H2245" s="11"/>
      <c r="I224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45" t="str">
        <f>IF(Table1[[#This Row],[Nationality]]="Nigeria",Table1[[#This Row],[EMJM Scholarship]],"Not Applicable")</f>
        <v>Not Applicable</v>
      </c>
    </row>
    <row r="2246" spans="1:10" ht="19.25" hidden="1" customHeight="1" x14ac:dyDescent="0.3">
      <c r="A2246" s="8">
        <v>2520689</v>
      </c>
      <c r="B2246" s="6" t="s">
        <v>80</v>
      </c>
      <c r="C2246" s="1" t="s">
        <v>9</v>
      </c>
      <c r="D2246" s="1" t="s">
        <v>9</v>
      </c>
      <c r="E2246" s="1" t="s">
        <v>9</v>
      </c>
      <c r="F2246" s="6"/>
      <c r="G2246" s="6"/>
      <c r="H2246" s="11"/>
      <c r="I224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46" t="str">
        <f>IF(Table1[[#This Row],[Nationality]]="Nigeria",Table1[[#This Row],[EMJM Scholarship]],"Not Applicable")</f>
        <v>Not Applicable</v>
      </c>
    </row>
    <row r="2247" spans="1:10" ht="19.25" hidden="1" customHeight="1" x14ac:dyDescent="0.3">
      <c r="A2247" s="8">
        <v>2520691</v>
      </c>
      <c r="B2247" s="6" t="s">
        <v>80</v>
      </c>
      <c r="C2247" s="1" t="s">
        <v>9</v>
      </c>
      <c r="D2247" s="1" t="s">
        <v>9</v>
      </c>
      <c r="E2247" s="1" t="s">
        <v>9</v>
      </c>
      <c r="F2247" s="6"/>
      <c r="G2247" s="6"/>
      <c r="H2247" s="11"/>
      <c r="I224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47" t="str">
        <f>IF(Table1[[#This Row],[Nationality]]="Nigeria",Table1[[#This Row],[EMJM Scholarship]],"Not Applicable")</f>
        <v>Not Applicable</v>
      </c>
    </row>
    <row r="2248" spans="1:10" ht="19.25" hidden="1" customHeight="1" x14ac:dyDescent="0.3">
      <c r="A2248" s="8">
        <v>2520706</v>
      </c>
      <c r="B2248" s="6" t="s">
        <v>80</v>
      </c>
      <c r="C2248" s="1" t="s">
        <v>9</v>
      </c>
      <c r="D2248" s="1" t="s">
        <v>9</v>
      </c>
      <c r="E2248" s="1" t="s">
        <v>9</v>
      </c>
      <c r="F2248" s="6"/>
      <c r="G2248" s="6"/>
      <c r="H2248" s="11"/>
      <c r="I224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48" t="str">
        <f>IF(Table1[[#This Row],[Nationality]]="Nigeria",Table1[[#This Row],[EMJM Scholarship]],"Not Applicable")</f>
        <v>Not Applicable</v>
      </c>
    </row>
    <row r="2249" spans="1:10" ht="19.25" hidden="1" customHeight="1" x14ac:dyDescent="0.3">
      <c r="A2249" s="8">
        <v>2520721</v>
      </c>
      <c r="B2249" s="6" t="s">
        <v>80</v>
      </c>
      <c r="C2249" s="1" t="s">
        <v>9</v>
      </c>
      <c r="D2249" s="1" t="s">
        <v>9</v>
      </c>
      <c r="E2249" s="1" t="s">
        <v>9</v>
      </c>
      <c r="F2249" s="6"/>
      <c r="G2249" s="6"/>
      <c r="H2249" s="11"/>
      <c r="I224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49" t="str">
        <f>IF(Table1[[#This Row],[Nationality]]="Nigeria",Table1[[#This Row],[EMJM Scholarship]],"Not Applicable")</f>
        <v>Not Applicable</v>
      </c>
    </row>
    <row r="2250" spans="1:10" ht="19.25" hidden="1" customHeight="1" x14ac:dyDescent="0.3">
      <c r="A2250" s="8">
        <v>2520722</v>
      </c>
      <c r="B2250" s="6" t="s">
        <v>80</v>
      </c>
      <c r="C2250" s="1" t="s">
        <v>9</v>
      </c>
      <c r="D2250" s="1" t="s">
        <v>9</v>
      </c>
      <c r="E2250" s="1" t="s">
        <v>9</v>
      </c>
      <c r="F2250" s="6"/>
      <c r="G2250" s="6"/>
      <c r="H2250" s="11"/>
      <c r="I225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50" t="str">
        <f>IF(Table1[[#This Row],[Nationality]]="Nigeria",Table1[[#This Row],[EMJM Scholarship]],"Not Applicable")</f>
        <v>Not Applicable</v>
      </c>
    </row>
    <row r="2251" spans="1:10" ht="19.25" hidden="1" customHeight="1" x14ac:dyDescent="0.3">
      <c r="A2251" s="8">
        <v>2520727</v>
      </c>
      <c r="B2251" s="6" t="s">
        <v>80</v>
      </c>
      <c r="C2251" s="1" t="s">
        <v>9</v>
      </c>
      <c r="D2251" s="1" t="s">
        <v>9</v>
      </c>
      <c r="E2251" s="1" t="s">
        <v>9</v>
      </c>
      <c r="F2251" s="6"/>
      <c r="G2251" s="6"/>
      <c r="H2251" s="11"/>
      <c r="I225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51" t="str">
        <f>IF(Table1[[#This Row],[Nationality]]="Nigeria",Table1[[#This Row],[EMJM Scholarship]],"Not Applicable")</f>
        <v>Not Applicable</v>
      </c>
    </row>
    <row r="2252" spans="1:10" ht="19.25" hidden="1" customHeight="1" x14ac:dyDescent="0.3">
      <c r="A2252" s="8">
        <v>2520774</v>
      </c>
      <c r="B2252" s="6" t="s">
        <v>80</v>
      </c>
      <c r="C2252" s="1" t="s">
        <v>9</v>
      </c>
      <c r="D2252" s="1" t="s">
        <v>9</v>
      </c>
      <c r="E2252" s="1" t="s">
        <v>9</v>
      </c>
      <c r="F2252" s="6"/>
      <c r="G2252" s="6"/>
      <c r="H2252" s="11"/>
      <c r="I225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52" t="str">
        <f>IF(Table1[[#This Row],[Nationality]]="Nigeria",Table1[[#This Row],[EMJM Scholarship]],"Not Applicable")</f>
        <v>Not Applicable</v>
      </c>
    </row>
    <row r="2253" spans="1:10" ht="19.25" hidden="1" customHeight="1" x14ac:dyDescent="0.3">
      <c r="A2253" s="8">
        <v>2520776</v>
      </c>
      <c r="B2253" s="6" t="s">
        <v>80</v>
      </c>
      <c r="C2253" s="1" t="s">
        <v>9</v>
      </c>
      <c r="D2253" s="1" t="s">
        <v>9</v>
      </c>
      <c r="E2253" s="1" t="s">
        <v>9</v>
      </c>
      <c r="F2253" s="6"/>
      <c r="G2253" s="6"/>
      <c r="H2253" s="11"/>
      <c r="I225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53" t="str">
        <f>IF(Table1[[#This Row],[Nationality]]="Nigeria",Table1[[#This Row],[EMJM Scholarship]],"Not Applicable")</f>
        <v>Not Applicable</v>
      </c>
    </row>
    <row r="2254" spans="1:10" ht="19.25" hidden="1" customHeight="1" x14ac:dyDescent="0.3">
      <c r="A2254" s="8">
        <v>2520783</v>
      </c>
      <c r="B2254" s="6" t="s">
        <v>80</v>
      </c>
      <c r="C2254" s="1" t="s">
        <v>9</v>
      </c>
      <c r="D2254" s="1" t="s">
        <v>9</v>
      </c>
      <c r="E2254" s="1" t="s">
        <v>9</v>
      </c>
      <c r="F2254" s="6"/>
      <c r="G2254" s="6"/>
      <c r="H2254" s="11"/>
      <c r="I225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54" t="str">
        <f>IF(Table1[[#This Row],[Nationality]]="Nigeria",Table1[[#This Row],[EMJM Scholarship]],"Not Applicable")</f>
        <v>Not Applicable</v>
      </c>
    </row>
    <row r="2255" spans="1:10" ht="19.25" hidden="1" customHeight="1" x14ac:dyDescent="0.3">
      <c r="A2255" s="8">
        <v>2520802</v>
      </c>
      <c r="B2255" s="6" t="s">
        <v>80</v>
      </c>
      <c r="C2255" s="1" t="s">
        <v>9</v>
      </c>
      <c r="D2255" s="1" t="s">
        <v>9</v>
      </c>
      <c r="E2255" s="1" t="s">
        <v>9</v>
      </c>
      <c r="F2255" s="6"/>
      <c r="G2255" s="6"/>
      <c r="H2255" s="11"/>
      <c r="I225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55" t="str">
        <f>IF(Table1[[#This Row],[Nationality]]="Nigeria",Table1[[#This Row],[EMJM Scholarship]],"Not Applicable")</f>
        <v>Not Applicable</v>
      </c>
    </row>
    <row r="2256" spans="1:10" ht="19.25" hidden="1" customHeight="1" x14ac:dyDescent="0.3">
      <c r="A2256" s="8">
        <v>2520814</v>
      </c>
      <c r="B2256" s="6" t="s">
        <v>80</v>
      </c>
      <c r="C2256" s="1" t="s">
        <v>9</v>
      </c>
      <c r="D2256" s="1" t="s">
        <v>9</v>
      </c>
      <c r="E2256" s="1" t="s">
        <v>9</v>
      </c>
      <c r="F2256" s="6"/>
      <c r="G2256" s="6"/>
      <c r="H2256" s="11"/>
      <c r="I225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56" t="str">
        <f>IF(Table1[[#This Row],[Nationality]]="Nigeria",Table1[[#This Row],[EMJM Scholarship]],"Not Applicable")</f>
        <v>Not Applicable</v>
      </c>
    </row>
    <row r="2257" spans="1:10" ht="19.25" hidden="1" customHeight="1" x14ac:dyDescent="0.3">
      <c r="A2257" s="8">
        <v>2520825</v>
      </c>
      <c r="B2257" s="6" t="s">
        <v>80</v>
      </c>
      <c r="C2257" s="1" t="s">
        <v>9</v>
      </c>
      <c r="D2257" s="1" t="s">
        <v>9</v>
      </c>
      <c r="E2257" s="1" t="s">
        <v>9</v>
      </c>
      <c r="F2257" s="6"/>
      <c r="G2257" s="6"/>
      <c r="H2257" s="11"/>
      <c r="I225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57" t="str">
        <f>IF(Table1[[#This Row],[Nationality]]="Nigeria",Table1[[#This Row],[EMJM Scholarship]],"Not Applicable")</f>
        <v>Not Applicable</v>
      </c>
    </row>
    <row r="2258" spans="1:10" ht="19.25" hidden="1" customHeight="1" x14ac:dyDescent="0.3">
      <c r="A2258" s="8">
        <v>2520841</v>
      </c>
      <c r="B2258" s="6" t="s">
        <v>80</v>
      </c>
      <c r="C2258" s="1" t="s">
        <v>9</v>
      </c>
      <c r="D2258" s="1" t="s">
        <v>9</v>
      </c>
      <c r="E2258" s="1" t="s">
        <v>9</v>
      </c>
      <c r="F2258" s="6"/>
      <c r="G2258" s="6"/>
      <c r="H2258" s="11"/>
      <c r="I225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58" t="str">
        <f>IF(Table1[[#This Row],[Nationality]]="Nigeria",Table1[[#This Row],[EMJM Scholarship]],"Not Applicable")</f>
        <v>Not Applicable</v>
      </c>
    </row>
    <row r="2259" spans="1:10" ht="19.25" hidden="1" customHeight="1" x14ac:dyDescent="0.3">
      <c r="A2259" s="8">
        <v>2520851</v>
      </c>
      <c r="B2259" s="6" t="s">
        <v>80</v>
      </c>
      <c r="C2259" s="1" t="s">
        <v>9</v>
      </c>
      <c r="D2259" s="1" t="s">
        <v>9</v>
      </c>
      <c r="E2259" s="1" t="s">
        <v>9</v>
      </c>
      <c r="F2259" s="6"/>
      <c r="G2259" s="6"/>
      <c r="H2259" s="11"/>
      <c r="I225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59" t="str">
        <f>IF(Table1[[#This Row],[Nationality]]="Nigeria",Table1[[#This Row],[EMJM Scholarship]],"Not Applicable")</f>
        <v>Not Applicable</v>
      </c>
    </row>
    <row r="2260" spans="1:10" ht="19.25" hidden="1" customHeight="1" x14ac:dyDescent="0.3">
      <c r="A2260" s="8">
        <v>2520859</v>
      </c>
      <c r="B2260" s="6" t="s">
        <v>80</v>
      </c>
      <c r="C2260" s="1" t="s">
        <v>9</v>
      </c>
      <c r="D2260" s="1" t="s">
        <v>9</v>
      </c>
      <c r="E2260" s="1" t="s">
        <v>9</v>
      </c>
      <c r="F2260" s="6"/>
      <c r="G2260" s="6"/>
      <c r="H2260" s="11"/>
      <c r="I226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60" t="str">
        <f>IF(Table1[[#This Row],[Nationality]]="Nigeria",Table1[[#This Row],[EMJM Scholarship]],"Not Applicable")</f>
        <v>Not Applicable</v>
      </c>
    </row>
    <row r="2261" spans="1:10" ht="19.25" hidden="1" customHeight="1" x14ac:dyDescent="0.3">
      <c r="A2261" s="8">
        <v>2520869</v>
      </c>
      <c r="B2261" s="6" t="s">
        <v>80</v>
      </c>
      <c r="C2261" s="1" t="s">
        <v>9</v>
      </c>
      <c r="D2261" s="1" t="s">
        <v>9</v>
      </c>
      <c r="E2261" s="1" t="s">
        <v>9</v>
      </c>
      <c r="F2261" s="6"/>
      <c r="G2261" s="6"/>
      <c r="H2261" s="11"/>
      <c r="I226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61" t="str">
        <f>IF(Table1[[#This Row],[Nationality]]="Nigeria",Table1[[#This Row],[EMJM Scholarship]],"Not Applicable")</f>
        <v>Not Applicable</v>
      </c>
    </row>
    <row r="2262" spans="1:10" ht="19.25" hidden="1" customHeight="1" x14ac:dyDescent="0.3">
      <c r="A2262" s="8">
        <v>2520870</v>
      </c>
      <c r="B2262" s="6" t="s">
        <v>80</v>
      </c>
      <c r="C2262" s="1" t="s">
        <v>9</v>
      </c>
      <c r="D2262" s="1" t="s">
        <v>9</v>
      </c>
      <c r="E2262" s="1" t="s">
        <v>9</v>
      </c>
      <c r="F2262" s="6"/>
      <c r="G2262" s="6"/>
      <c r="H2262" s="11"/>
      <c r="I226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62" t="str">
        <f>IF(Table1[[#This Row],[Nationality]]="Nigeria",Table1[[#This Row],[EMJM Scholarship]],"Not Applicable")</f>
        <v>Not Applicable</v>
      </c>
    </row>
    <row r="2263" spans="1:10" ht="19.25" hidden="1" customHeight="1" x14ac:dyDescent="0.3">
      <c r="A2263" s="8">
        <v>2520894</v>
      </c>
      <c r="B2263" s="6" t="s">
        <v>80</v>
      </c>
      <c r="C2263" s="1" t="s">
        <v>9</v>
      </c>
      <c r="D2263" s="1" t="s">
        <v>9</v>
      </c>
      <c r="E2263" s="1" t="s">
        <v>9</v>
      </c>
      <c r="F2263" s="6"/>
      <c r="G2263" s="6"/>
      <c r="H2263" s="11"/>
      <c r="I226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63" t="str">
        <f>IF(Table1[[#This Row],[Nationality]]="Nigeria",Table1[[#This Row],[EMJM Scholarship]],"Not Applicable")</f>
        <v>Not Applicable</v>
      </c>
    </row>
    <row r="2264" spans="1:10" ht="19.25" hidden="1" customHeight="1" x14ac:dyDescent="0.3">
      <c r="A2264" s="8">
        <v>2520898</v>
      </c>
      <c r="B2264" s="6" t="s">
        <v>80</v>
      </c>
      <c r="C2264" s="1" t="s">
        <v>9</v>
      </c>
      <c r="D2264" s="1" t="s">
        <v>9</v>
      </c>
      <c r="E2264" s="1" t="s">
        <v>9</v>
      </c>
      <c r="F2264" s="6"/>
      <c r="G2264" s="6"/>
      <c r="H2264" s="11"/>
      <c r="I226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64" t="str">
        <f>IF(Table1[[#This Row],[Nationality]]="Nigeria",Table1[[#This Row],[EMJM Scholarship]],"Not Applicable")</f>
        <v>Not Applicable</v>
      </c>
    </row>
    <row r="2265" spans="1:10" ht="19.25" hidden="1" customHeight="1" x14ac:dyDescent="0.3">
      <c r="A2265" s="8">
        <v>2520911</v>
      </c>
      <c r="B2265" s="6" t="s">
        <v>80</v>
      </c>
      <c r="C2265" s="1" t="s">
        <v>9</v>
      </c>
      <c r="D2265" s="1" t="s">
        <v>9</v>
      </c>
      <c r="E2265" s="1" t="s">
        <v>9</v>
      </c>
      <c r="F2265" s="6"/>
      <c r="G2265" s="6"/>
      <c r="H2265" s="11"/>
      <c r="I226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65" t="str">
        <f>IF(Table1[[#This Row],[Nationality]]="Nigeria",Table1[[#This Row],[EMJM Scholarship]],"Not Applicable")</f>
        <v>Not Applicable</v>
      </c>
    </row>
    <row r="2266" spans="1:10" ht="19.25" hidden="1" customHeight="1" x14ac:dyDescent="0.3">
      <c r="A2266" s="8">
        <v>2520923</v>
      </c>
      <c r="B2266" s="6" t="s">
        <v>80</v>
      </c>
      <c r="C2266" s="1" t="s">
        <v>9</v>
      </c>
      <c r="D2266" s="1" t="s">
        <v>9</v>
      </c>
      <c r="E2266" s="1" t="s">
        <v>9</v>
      </c>
      <c r="F2266" s="6"/>
      <c r="G2266" s="6"/>
      <c r="H2266" s="11"/>
      <c r="I226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66" t="str">
        <f>IF(Table1[[#This Row],[Nationality]]="Nigeria",Table1[[#This Row],[EMJM Scholarship]],"Not Applicable")</f>
        <v>Not Applicable</v>
      </c>
    </row>
    <row r="2267" spans="1:10" ht="19.25" hidden="1" customHeight="1" x14ac:dyDescent="0.3">
      <c r="A2267" s="8">
        <v>2520928</v>
      </c>
      <c r="B2267" s="6" t="s">
        <v>80</v>
      </c>
      <c r="C2267" s="1" t="s">
        <v>9</v>
      </c>
      <c r="D2267" s="1" t="s">
        <v>9</v>
      </c>
      <c r="E2267" s="1" t="s">
        <v>9</v>
      </c>
      <c r="F2267" s="6"/>
      <c r="G2267" s="6"/>
      <c r="H2267" s="11"/>
      <c r="I226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67" t="str">
        <f>IF(Table1[[#This Row],[Nationality]]="Nigeria",Table1[[#This Row],[EMJM Scholarship]],"Not Applicable")</f>
        <v>Not Applicable</v>
      </c>
    </row>
    <row r="2268" spans="1:10" ht="19.25" hidden="1" customHeight="1" x14ac:dyDescent="0.3">
      <c r="A2268" s="8">
        <v>2520930</v>
      </c>
      <c r="B2268" s="6" t="s">
        <v>80</v>
      </c>
      <c r="C2268" s="1" t="s">
        <v>9</v>
      </c>
      <c r="D2268" s="1" t="s">
        <v>9</v>
      </c>
      <c r="E2268" s="1" t="s">
        <v>9</v>
      </c>
      <c r="F2268" s="6"/>
      <c r="G2268" s="6"/>
      <c r="H2268" s="11"/>
      <c r="I226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68" t="str">
        <f>IF(Table1[[#This Row],[Nationality]]="Nigeria",Table1[[#This Row],[EMJM Scholarship]],"Not Applicable")</f>
        <v>Not Applicable</v>
      </c>
    </row>
    <row r="2269" spans="1:10" ht="19.25" hidden="1" customHeight="1" x14ac:dyDescent="0.3">
      <c r="A2269" s="8">
        <v>2520938</v>
      </c>
      <c r="B2269" s="6" t="s">
        <v>80</v>
      </c>
      <c r="C2269" s="1" t="s">
        <v>9</v>
      </c>
      <c r="D2269" s="1" t="s">
        <v>9</v>
      </c>
      <c r="E2269" s="1" t="s">
        <v>9</v>
      </c>
      <c r="F2269" s="6"/>
      <c r="G2269" s="6"/>
      <c r="H2269" s="11"/>
      <c r="I226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69" t="str">
        <f>IF(Table1[[#This Row],[Nationality]]="Nigeria",Table1[[#This Row],[EMJM Scholarship]],"Not Applicable")</f>
        <v>Not Applicable</v>
      </c>
    </row>
    <row r="2270" spans="1:10" ht="19.25" hidden="1" customHeight="1" x14ac:dyDescent="0.3">
      <c r="A2270" s="8">
        <v>2520952</v>
      </c>
      <c r="B2270" s="6" t="s">
        <v>80</v>
      </c>
      <c r="C2270" s="1" t="s">
        <v>9</v>
      </c>
      <c r="D2270" s="1" t="s">
        <v>9</v>
      </c>
      <c r="E2270" s="1" t="s">
        <v>9</v>
      </c>
      <c r="F2270" s="6"/>
      <c r="G2270" s="6"/>
      <c r="H2270" s="11"/>
      <c r="I227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70" t="str">
        <f>IF(Table1[[#This Row],[Nationality]]="Nigeria",Table1[[#This Row],[EMJM Scholarship]],"Not Applicable")</f>
        <v>Not Applicable</v>
      </c>
    </row>
    <row r="2271" spans="1:10" ht="19.25" hidden="1" customHeight="1" x14ac:dyDescent="0.3">
      <c r="A2271" s="8">
        <v>2520956</v>
      </c>
      <c r="B2271" s="6" t="s">
        <v>80</v>
      </c>
      <c r="C2271" s="1" t="s">
        <v>9</v>
      </c>
      <c r="D2271" s="1" t="s">
        <v>9</v>
      </c>
      <c r="E2271" s="1" t="s">
        <v>9</v>
      </c>
      <c r="F2271" s="6"/>
      <c r="G2271" s="6"/>
      <c r="H2271" s="11"/>
      <c r="I227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71" t="str">
        <f>IF(Table1[[#This Row],[Nationality]]="Nigeria",Table1[[#This Row],[EMJM Scholarship]],"Not Applicable")</f>
        <v>Not Applicable</v>
      </c>
    </row>
    <row r="2272" spans="1:10" ht="19.25" hidden="1" customHeight="1" x14ac:dyDescent="0.3">
      <c r="A2272" s="8">
        <v>2520960</v>
      </c>
      <c r="B2272" s="6" t="s">
        <v>80</v>
      </c>
      <c r="C2272" s="1" t="s">
        <v>9</v>
      </c>
      <c r="D2272" s="1" t="s">
        <v>9</v>
      </c>
      <c r="E2272" s="1" t="s">
        <v>9</v>
      </c>
      <c r="F2272" s="6"/>
      <c r="G2272" s="6"/>
      <c r="H2272" s="11"/>
      <c r="I227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72" t="str">
        <f>IF(Table1[[#This Row],[Nationality]]="Nigeria",Table1[[#This Row],[EMJM Scholarship]],"Not Applicable")</f>
        <v>Not Applicable</v>
      </c>
    </row>
    <row r="2273" spans="1:10" ht="19.25" hidden="1" customHeight="1" x14ac:dyDescent="0.3">
      <c r="A2273" s="8">
        <v>2520966</v>
      </c>
      <c r="B2273" s="6" t="s">
        <v>80</v>
      </c>
      <c r="C2273" s="1" t="s">
        <v>9</v>
      </c>
      <c r="D2273" s="1" t="s">
        <v>9</v>
      </c>
      <c r="E2273" s="1" t="s">
        <v>9</v>
      </c>
      <c r="F2273" s="6"/>
      <c r="G2273" s="6"/>
      <c r="H2273" s="11"/>
      <c r="I227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73" t="str">
        <f>IF(Table1[[#This Row],[Nationality]]="Nigeria",Table1[[#This Row],[EMJM Scholarship]],"Not Applicable")</f>
        <v>Not Applicable</v>
      </c>
    </row>
    <row r="2274" spans="1:10" ht="19.25" hidden="1" customHeight="1" x14ac:dyDescent="0.3">
      <c r="A2274" s="8">
        <v>2520977</v>
      </c>
      <c r="B2274" s="6" t="s">
        <v>80</v>
      </c>
      <c r="C2274" s="1" t="s">
        <v>9</v>
      </c>
      <c r="D2274" s="1" t="s">
        <v>9</v>
      </c>
      <c r="E2274" s="1" t="s">
        <v>9</v>
      </c>
      <c r="F2274" s="6"/>
      <c r="G2274" s="6"/>
      <c r="H2274" s="11"/>
      <c r="I227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74" t="str">
        <f>IF(Table1[[#This Row],[Nationality]]="Nigeria",Table1[[#This Row],[EMJM Scholarship]],"Not Applicable")</f>
        <v>Not Applicable</v>
      </c>
    </row>
    <row r="2275" spans="1:10" ht="19.25" hidden="1" customHeight="1" x14ac:dyDescent="0.3">
      <c r="A2275" s="8">
        <v>2520981</v>
      </c>
      <c r="B2275" s="6" t="s">
        <v>80</v>
      </c>
      <c r="C2275" s="1" t="s">
        <v>9</v>
      </c>
      <c r="D2275" s="1" t="s">
        <v>9</v>
      </c>
      <c r="E2275" s="1" t="s">
        <v>9</v>
      </c>
      <c r="F2275" s="6"/>
      <c r="G2275" s="6"/>
      <c r="H2275" s="11"/>
      <c r="I227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75" t="str">
        <f>IF(Table1[[#This Row],[Nationality]]="Nigeria",Table1[[#This Row],[EMJM Scholarship]],"Not Applicable")</f>
        <v>Not Applicable</v>
      </c>
    </row>
    <row r="2276" spans="1:10" ht="19.25" hidden="1" customHeight="1" x14ac:dyDescent="0.3">
      <c r="A2276" s="8">
        <v>2520992</v>
      </c>
      <c r="B2276" s="6" t="s">
        <v>80</v>
      </c>
      <c r="C2276" s="1" t="s">
        <v>9</v>
      </c>
      <c r="D2276" s="1" t="s">
        <v>9</v>
      </c>
      <c r="E2276" s="1" t="s">
        <v>9</v>
      </c>
      <c r="F2276" s="6"/>
      <c r="G2276" s="6"/>
      <c r="H2276" s="11"/>
      <c r="I227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76" t="str">
        <f>IF(Table1[[#This Row],[Nationality]]="Nigeria",Table1[[#This Row],[EMJM Scholarship]],"Not Applicable")</f>
        <v>Not Applicable</v>
      </c>
    </row>
    <row r="2277" spans="1:10" ht="19.25" hidden="1" customHeight="1" x14ac:dyDescent="0.3">
      <c r="A2277" s="8">
        <v>2520993</v>
      </c>
      <c r="B2277" s="6" t="s">
        <v>80</v>
      </c>
      <c r="C2277" s="1" t="s">
        <v>9</v>
      </c>
      <c r="D2277" s="1" t="s">
        <v>9</v>
      </c>
      <c r="E2277" s="1" t="s">
        <v>9</v>
      </c>
      <c r="F2277" s="6"/>
      <c r="G2277" s="6"/>
      <c r="H2277" s="11"/>
      <c r="I227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77" t="str">
        <f>IF(Table1[[#This Row],[Nationality]]="Nigeria",Table1[[#This Row],[EMJM Scholarship]],"Not Applicable")</f>
        <v>Not Applicable</v>
      </c>
    </row>
    <row r="2278" spans="1:10" ht="19.25" hidden="1" customHeight="1" x14ac:dyDescent="0.3">
      <c r="A2278" s="8">
        <v>2520999</v>
      </c>
      <c r="B2278" s="6" t="s">
        <v>80</v>
      </c>
      <c r="C2278" s="1" t="s">
        <v>9</v>
      </c>
      <c r="D2278" s="1" t="s">
        <v>9</v>
      </c>
      <c r="E2278" s="1" t="s">
        <v>9</v>
      </c>
      <c r="F2278" s="6"/>
      <c r="G2278" s="6"/>
      <c r="H2278" s="11"/>
      <c r="I227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78" t="str">
        <f>IF(Table1[[#This Row],[Nationality]]="Nigeria",Table1[[#This Row],[EMJM Scholarship]],"Not Applicable")</f>
        <v>Not Applicable</v>
      </c>
    </row>
    <row r="2279" spans="1:10" ht="19.25" hidden="1" customHeight="1" x14ac:dyDescent="0.3">
      <c r="A2279" s="8">
        <v>2521002</v>
      </c>
      <c r="B2279" s="6" t="s">
        <v>80</v>
      </c>
      <c r="C2279" s="1" t="s">
        <v>9</v>
      </c>
      <c r="D2279" s="1" t="s">
        <v>9</v>
      </c>
      <c r="E2279" s="1" t="s">
        <v>9</v>
      </c>
      <c r="F2279" s="6"/>
      <c r="G2279" s="6"/>
      <c r="H2279" s="11"/>
      <c r="I227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79" t="str">
        <f>IF(Table1[[#This Row],[Nationality]]="Nigeria",Table1[[#This Row],[EMJM Scholarship]],"Not Applicable")</f>
        <v>Not Applicable</v>
      </c>
    </row>
    <row r="2280" spans="1:10" ht="19.25" hidden="1" customHeight="1" x14ac:dyDescent="0.3">
      <c r="A2280" s="8">
        <v>2521007</v>
      </c>
      <c r="B2280" s="6" t="s">
        <v>80</v>
      </c>
      <c r="C2280" s="1" t="s">
        <v>9</v>
      </c>
      <c r="D2280" s="1" t="s">
        <v>9</v>
      </c>
      <c r="E2280" s="1" t="s">
        <v>9</v>
      </c>
      <c r="F2280" s="6"/>
      <c r="G2280" s="6"/>
      <c r="H2280" s="11"/>
      <c r="I228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80" t="str">
        <f>IF(Table1[[#This Row],[Nationality]]="Nigeria",Table1[[#This Row],[EMJM Scholarship]],"Not Applicable")</f>
        <v>Not Applicable</v>
      </c>
    </row>
    <row r="2281" spans="1:10" ht="19.25" hidden="1" customHeight="1" x14ac:dyDescent="0.3">
      <c r="A2281" s="8">
        <v>2521029</v>
      </c>
      <c r="B2281" s="6" t="s">
        <v>80</v>
      </c>
      <c r="C2281" s="1" t="s">
        <v>9</v>
      </c>
      <c r="D2281" s="1" t="s">
        <v>9</v>
      </c>
      <c r="E2281" s="1" t="s">
        <v>9</v>
      </c>
      <c r="F2281" s="6"/>
      <c r="G2281" s="6"/>
      <c r="H2281" s="11"/>
      <c r="I228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81" t="str">
        <f>IF(Table1[[#This Row],[Nationality]]="Nigeria",Table1[[#This Row],[EMJM Scholarship]],"Not Applicable")</f>
        <v>Not Applicable</v>
      </c>
    </row>
    <row r="2282" spans="1:10" ht="19.25" hidden="1" customHeight="1" x14ac:dyDescent="0.3">
      <c r="A2282" s="8">
        <v>2521034</v>
      </c>
      <c r="B2282" s="6" t="s">
        <v>80</v>
      </c>
      <c r="C2282" s="1" t="s">
        <v>9</v>
      </c>
      <c r="D2282" s="1" t="s">
        <v>9</v>
      </c>
      <c r="E2282" s="1" t="s">
        <v>9</v>
      </c>
      <c r="F2282" s="6"/>
      <c r="G2282" s="6"/>
      <c r="H2282" s="11"/>
      <c r="I228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82" t="str">
        <f>IF(Table1[[#This Row],[Nationality]]="Nigeria",Table1[[#This Row],[EMJM Scholarship]],"Not Applicable")</f>
        <v>Not Applicable</v>
      </c>
    </row>
    <row r="2283" spans="1:10" ht="19.25" hidden="1" customHeight="1" x14ac:dyDescent="0.3">
      <c r="A2283" s="8">
        <v>2521040</v>
      </c>
      <c r="B2283" s="6" t="s">
        <v>80</v>
      </c>
      <c r="C2283" s="1" t="s">
        <v>9</v>
      </c>
      <c r="D2283" s="1" t="s">
        <v>9</v>
      </c>
      <c r="E2283" s="1" t="s">
        <v>9</v>
      </c>
      <c r="F2283" s="6"/>
      <c r="G2283" s="6"/>
      <c r="H2283" s="11"/>
      <c r="I228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83" t="str">
        <f>IF(Table1[[#This Row],[Nationality]]="Nigeria",Table1[[#This Row],[EMJM Scholarship]],"Not Applicable")</f>
        <v>Not Applicable</v>
      </c>
    </row>
    <row r="2284" spans="1:10" ht="19.25" hidden="1" customHeight="1" x14ac:dyDescent="0.3">
      <c r="A2284" s="8">
        <v>2521050</v>
      </c>
      <c r="B2284" s="6" t="s">
        <v>80</v>
      </c>
      <c r="C2284" s="1" t="s">
        <v>9</v>
      </c>
      <c r="D2284" s="1" t="s">
        <v>9</v>
      </c>
      <c r="E2284" s="1" t="s">
        <v>9</v>
      </c>
      <c r="F2284" s="6"/>
      <c r="G2284" s="6"/>
      <c r="H2284" s="11"/>
      <c r="I228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84" t="str">
        <f>IF(Table1[[#This Row],[Nationality]]="Nigeria",Table1[[#This Row],[EMJM Scholarship]],"Not Applicable")</f>
        <v>Not Applicable</v>
      </c>
    </row>
    <row r="2285" spans="1:10" ht="19.25" hidden="1" customHeight="1" x14ac:dyDescent="0.3">
      <c r="A2285" s="8">
        <v>2521055</v>
      </c>
      <c r="B2285" s="6" t="s">
        <v>80</v>
      </c>
      <c r="C2285" s="1" t="s">
        <v>9</v>
      </c>
      <c r="D2285" s="1" t="s">
        <v>9</v>
      </c>
      <c r="E2285" s="1" t="s">
        <v>9</v>
      </c>
      <c r="F2285" s="6"/>
      <c r="G2285" s="6"/>
      <c r="H2285" s="11"/>
      <c r="I228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85" t="str">
        <f>IF(Table1[[#This Row],[Nationality]]="Nigeria",Table1[[#This Row],[EMJM Scholarship]],"Not Applicable")</f>
        <v>Not Applicable</v>
      </c>
    </row>
    <row r="2286" spans="1:10" ht="19.25" hidden="1" customHeight="1" x14ac:dyDescent="0.3">
      <c r="A2286" s="8">
        <v>2521066</v>
      </c>
      <c r="B2286" s="6" t="s">
        <v>80</v>
      </c>
      <c r="C2286" s="1" t="s">
        <v>9</v>
      </c>
      <c r="D2286" s="1" t="s">
        <v>9</v>
      </c>
      <c r="E2286" s="1" t="s">
        <v>9</v>
      </c>
      <c r="F2286" s="6"/>
      <c r="G2286" s="6"/>
      <c r="H2286" s="11"/>
      <c r="I228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86" t="str">
        <f>IF(Table1[[#This Row],[Nationality]]="Nigeria",Table1[[#This Row],[EMJM Scholarship]],"Not Applicable")</f>
        <v>Not Applicable</v>
      </c>
    </row>
    <row r="2287" spans="1:10" ht="19.25" hidden="1" customHeight="1" x14ac:dyDescent="0.3">
      <c r="A2287" s="8">
        <v>2521070</v>
      </c>
      <c r="B2287" s="6" t="s">
        <v>80</v>
      </c>
      <c r="C2287" s="1" t="s">
        <v>9</v>
      </c>
      <c r="D2287" s="1" t="s">
        <v>9</v>
      </c>
      <c r="E2287" s="1" t="s">
        <v>9</v>
      </c>
      <c r="F2287" s="6"/>
      <c r="G2287" s="6"/>
      <c r="H2287" s="11"/>
      <c r="I228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87" t="str">
        <f>IF(Table1[[#This Row],[Nationality]]="Nigeria",Table1[[#This Row],[EMJM Scholarship]],"Not Applicable")</f>
        <v>Not Applicable</v>
      </c>
    </row>
    <row r="2288" spans="1:10" ht="19.25" hidden="1" customHeight="1" x14ac:dyDescent="0.3">
      <c r="A2288" s="8">
        <v>2521102</v>
      </c>
      <c r="B2288" s="6" t="s">
        <v>80</v>
      </c>
      <c r="C2288" s="1" t="s">
        <v>9</v>
      </c>
      <c r="D2288" s="1" t="s">
        <v>9</v>
      </c>
      <c r="E2288" s="1" t="s">
        <v>9</v>
      </c>
      <c r="F2288" s="6"/>
      <c r="G2288" s="6"/>
      <c r="H2288" s="11"/>
      <c r="I228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88" t="str">
        <f>IF(Table1[[#This Row],[Nationality]]="Nigeria",Table1[[#This Row],[EMJM Scholarship]],"Not Applicable")</f>
        <v>Not Applicable</v>
      </c>
    </row>
    <row r="2289" spans="1:10" ht="19.25" hidden="1" customHeight="1" x14ac:dyDescent="0.3">
      <c r="A2289" s="8">
        <v>2521110</v>
      </c>
      <c r="B2289" s="6" t="s">
        <v>80</v>
      </c>
      <c r="C2289" s="1" t="s">
        <v>9</v>
      </c>
      <c r="D2289" s="1" t="s">
        <v>9</v>
      </c>
      <c r="E2289" s="1" t="s">
        <v>9</v>
      </c>
      <c r="F2289" s="6"/>
      <c r="G2289" s="6"/>
      <c r="H2289" s="11"/>
      <c r="I228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89" t="str">
        <f>IF(Table1[[#This Row],[Nationality]]="Nigeria",Table1[[#This Row],[EMJM Scholarship]],"Not Applicable")</f>
        <v>Not Applicable</v>
      </c>
    </row>
    <row r="2290" spans="1:10" ht="19.25" hidden="1" customHeight="1" x14ac:dyDescent="0.3">
      <c r="A2290" s="8">
        <v>2521122</v>
      </c>
      <c r="B2290" s="6" t="s">
        <v>80</v>
      </c>
      <c r="C2290" s="1" t="s">
        <v>9</v>
      </c>
      <c r="D2290" s="1" t="s">
        <v>9</v>
      </c>
      <c r="E2290" s="1" t="s">
        <v>9</v>
      </c>
      <c r="F2290" s="6"/>
      <c r="G2290" s="6"/>
      <c r="H2290" s="11"/>
      <c r="I229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90" t="str">
        <f>IF(Table1[[#This Row],[Nationality]]="Nigeria",Table1[[#This Row],[EMJM Scholarship]],"Not Applicable")</f>
        <v>Not Applicable</v>
      </c>
    </row>
    <row r="2291" spans="1:10" ht="19.25" hidden="1" customHeight="1" x14ac:dyDescent="0.3">
      <c r="A2291" s="8">
        <v>2521134</v>
      </c>
      <c r="B2291" s="6" t="s">
        <v>80</v>
      </c>
      <c r="C2291" s="1" t="s">
        <v>9</v>
      </c>
      <c r="D2291" s="1" t="s">
        <v>9</v>
      </c>
      <c r="E2291" s="1" t="s">
        <v>9</v>
      </c>
      <c r="F2291" s="6"/>
      <c r="G2291" s="6"/>
      <c r="H2291" s="11"/>
      <c r="I229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91" t="str">
        <f>IF(Table1[[#This Row],[Nationality]]="Nigeria",Table1[[#This Row],[EMJM Scholarship]],"Not Applicable")</f>
        <v>Not Applicable</v>
      </c>
    </row>
    <row r="2292" spans="1:10" ht="19.25" hidden="1" customHeight="1" x14ac:dyDescent="0.3">
      <c r="A2292" s="8">
        <v>2521138</v>
      </c>
      <c r="B2292" s="6" t="s">
        <v>80</v>
      </c>
      <c r="C2292" s="1" t="s">
        <v>9</v>
      </c>
      <c r="D2292" s="1" t="s">
        <v>9</v>
      </c>
      <c r="E2292" s="1" t="s">
        <v>9</v>
      </c>
      <c r="F2292" s="6"/>
      <c r="G2292" s="6"/>
      <c r="H2292" s="11"/>
      <c r="I229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92" t="str">
        <f>IF(Table1[[#This Row],[Nationality]]="Nigeria",Table1[[#This Row],[EMJM Scholarship]],"Not Applicable")</f>
        <v>Not Applicable</v>
      </c>
    </row>
    <row r="2293" spans="1:10" ht="19.25" hidden="1" customHeight="1" x14ac:dyDescent="0.3">
      <c r="A2293" s="8">
        <v>2521151</v>
      </c>
      <c r="B2293" s="6" t="s">
        <v>80</v>
      </c>
      <c r="C2293" s="1" t="s">
        <v>9</v>
      </c>
      <c r="D2293" s="1" t="s">
        <v>9</v>
      </c>
      <c r="E2293" s="1" t="s">
        <v>9</v>
      </c>
      <c r="F2293" s="6"/>
      <c r="G2293" s="6"/>
      <c r="H2293" s="11"/>
      <c r="I229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93" t="str">
        <f>IF(Table1[[#This Row],[Nationality]]="Nigeria",Table1[[#This Row],[EMJM Scholarship]],"Not Applicable")</f>
        <v>Not Applicable</v>
      </c>
    </row>
    <row r="2294" spans="1:10" ht="19.25" hidden="1" customHeight="1" x14ac:dyDescent="0.3">
      <c r="A2294" s="8">
        <v>2521184</v>
      </c>
      <c r="B2294" s="6" t="s">
        <v>80</v>
      </c>
      <c r="C2294" s="1" t="s">
        <v>9</v>
      </c>
      <c r="D2294" s="1" t="s">
        <v>9</v>
      </c>
      <c r="E2294" s="1" t="s">
        <v>9</v>
      </c>
      <c r="F2294" s="6"/>
      <c r="G2294" s="6"/>
      <c r="H2294" s="11"/>
      <c r="I229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94" t="str">
        <f>IF(Table1[[#This Row],[Nationality]]="Nigeria",Table1[[#This Row],[EMJM Scholarship]],"Not Applicable")</f>
        <v>Not Applicable</v>
      </c>
    </row>
    <row r="2295" spans="1:10" ht="19.25" hidden="1" customHeight="1" x14ac:dyDescent="0.3">
      <c r="A2295" s="8">
        <v>2521199</v>
      </c>
      <c r="B2295" s="6" t="s">
        <v>80</v>
      </c>
      <c r="C2295" s="1" t="s">
        <v>9</v>
      </c>
      <c r="D2295" s="1" t="s">
        <v>9</v>
      </c>
      <c r="E2295" s="1" t="s">
        <v>9</v>
      </c>
      <c r="F2295" s="6"/>
      <c r="G2295" s="6"/>
      <c r="H2295" s="11"/>
      <c r="I229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95" t="str">
        <f>IF(Table1[[#This Row],[Nationality]]="Nigeria",Table1[[#This Row],[EMJM Scholarship]],"Not Applicable")</f>
        <v>Not Applicable</v>
      </c>
    </row>
    <row r="2296" spans="1:10" ht="19.25" hidden="1" customHeight="1" x14ac:dyDescent="0.3">
      <c r="A2296" s="8">
        <v>2521204</v>
      </c>
      <c r="B2296" s="6" t="s">
        <v>80</v>
      </c>
      <c r="C2296" s="1" t="s">
        <v>9</v>
      </c>
      <c r="D2296" s="1" t="s">
        <v>9</v>
      </c>
      <c r="E2296" s="1" t="s">
        <v>9</v>
      </c>
      <c r="F2296" s="6"/>
      <c r="G2296" s="6"/>
      <c r="H2296" s="11"/>
      <c r="I229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96" t="str">
        <f>IF(Table1[[#This Row],[Nationality]]="Nigeria",Table1[[#This Row],[EMJM Scholarship]],"Not Applicable")</f>
        <v>Not Applicable</v>
      </c>
    </row>
    <row r="2297" spans="1:10" ht="19.25" hidden="1" customHeight="1" x14ac:dyDescent="0.3">
      <c r="A2297" s="8">
        <v>2521222</v>
      </c>
      <c r="B2297" s="6" t="s">
        <v>80</v>
      </c>
      <c r="C2297" s="1" t="s">
        <v>9</v>
      </c>
      <c r="D2297" s="1" t="s">
        <v>9</v>
      </c>
      <c r="E2297" s="1" t="s">
        <v>9</v>
      </c>
      <c r="F2297" s="6"/>
      <c r="G2297" s="6"/>
      <c r="H2297" s="11"/>
      <c r="I229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97" t="str">
        <f>IF(Table1[[#This Row],[Nationality]]="Nigeria",Table1[[#This Row],[EMJM Scholarship]],"Not Applicable")</f>
        <v>Not Applicable</v>
      </c>
    </row>
    <row r="2298" spans="1:10" ht="19.25" hidden="1" customHeight="1" x14ac:dyDescent="0.3">
      <c r="A2298" s="8">
        <v>2521228</v>
      </c>
      <c r="B2298" s="6" t="s">
        <v>80</v>
      </c>
      <c r="C2298" s="1" t="s">
        <v>9</v>
      </c>
      <c r="D2298" s="1" t="s">
        <v>9</v>
      </c>
      <c r="E2298" s="1" t="s">
        <v>9</v>
      </c>
      <c r="F2298" s="6"/>
      <c r="G2298" s="6"/>
      <c r="H2298" s="11"/>
      <c r="I229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98" t="str">
        <f>IF(Table1[[#This Row],[Nationality]]="Nigeria",Table1[[#This Row],[EMJM Scholarship]],"Not Applicable")</f>
        <v>Not Applicable</v>
      </c>
    </row>
    <row r="2299" spans="1:10" ht="19.25" hidden="1" customHeight="1" x14ac:dyDescent="0.3">
      <c r="A2299" s="8">
        <v>2521246</v>
      </c>
      <c r="B2299" s="6" t="s">
        <v>80</v>
      </c>
      <c r="C2299" s="1" t="s">
        <v>9</v>
      </c>
      <c r="D2299" s="1" t="s">
        <v>9</v>
      </c>
      <c r="E2299" s="1" t="s">
        <v>9</v>
      </c>
      <c r="F2299" s="6"/>
      <c r="G2299" s="6"/>
      <c r="H2299" s="11"/>
      <c r="I229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299" t="str">
        <f>IF(Table1[[#This Row],[Nationality]]="Nigeria",Table1[[#This Row],[EMJM Scholarship]],"Not Applicable")</f>
        <v>Not Applicable</v>
      </c>
    </row>
    <row r="2300" spans="1:10" ht="19.25" hidden="1" customHeight="1" x14ac:dyDescent="0.3">
      <c r="A2300" s="8">
        <v>2521270</v>
      </c>
      <c r="B2300" s="6" t="s">
        <v>80</v>
      </c>
      <c r="C2300" s="1" t="s">
        <v>9</v>
      </c>
      <c r="D2300" s="1" t="s">
        <v>9</v>
      </c>
      <c r="E2300" s="1" t="s">
        <v>9</v>
      </c>
      <c r="F2300" s="6"/>
      <c r="G2300" s="6"/>
      <c r="H2300" s="11"/>
      <c r="I230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00" t="str">
        <f>IF(Table1[[#This Row],[Nationality]]="Nigeria",Table1[[#This Row],[EMJM Scholarship]],"Not Applicable")</f>
        <v>Not Applicable</v>
      </c>
    </row>
    <row r="2301" spans="1:10" ht="19.25" hidden="1" customHeight="1" x14ac:dyDescent="0.3">
      <c r="A2301" s="8">
        <v>2521271</v>
      </c>
      <c r="B2301" s="6" t="s">
        <v>80</v>
      </c>
      <c r="C2301" s="1" t="s">
        <v>9</v>
      </c>
      <c r="D2301" s="1" t="s">
        <v>9</v>
      </c>
      <c r="E2301" s="1" t="s">
        <v>9</v>
      </c>
      <c r="F2301" s="6"/>
      <c r="G2301" s="6"/>
      <c r="H2301" s="11"/>
      <c r="I230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01" t="str">
        <f>IF(Table1[[#This Row],[Nationality]]="Nigeria",Table1[[#This Row],[EMJM Scholarship]],"Not Applicable")</f>
        <v>Not Applicable</v>
      </c>
    </row>
    <row r="2302" spans="1:10" ht="19.25" hidden="1" customHeight="1" x14ac:dyDescent="0.3">
      <c r="A2302" s="8">
        <v>2521307</v>
      </c>
      <c r="B2302" s="6" t="s">
        <v>80</v>
      </c>
      <c r="C2302" s="1" t="s">
        <v>9</v>
      </c>
      <c r="D2302" s="1" t="s">
        <v>9</v>
      </c>
      <c r="E2302" s="1" t="s">
        <v>9</v>
      </c>
      <c r="F2302" s="6"/>
      <c r="G2302" s="6"/>
      <c r="H2302" s="11"/>
      <c r="I230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02" t="str">
        <f>IF(Table1[[#This Row],[Nationality]]="Nigeria",Table1[[#This Row],[EMJM Scholarship]],"Not Applicable")</f>
        <v>Not Applicable</v>
      </c>
    </row>
    <row r="2303" spans="1:10" ht="19.25" hidden="1" customHeight="1" x14ac:dyDescent="0.3">
      <c r="A2303" s="8">
        <v>2521314</v>
      </c>
      <c r="B2303" s="6" t="s">
        <v>80</v>
      </c>
      <c r="C2303" s="1" t="s">
        <v>9</v>
      </c>
      <c r="D2303" s="1" t="s">
        <v>9</v>
      </c>
      <c r="E2303" s="1" t="s">
        <v>9</v>
      </c>
      <c r="F2303" s="6"/>
      <c r="G2303" s="6"/>
      <c r="H2303" s="11"/>
      <c r="I230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03" t="str">
        <f>IF(Table1[[#This Row],[Nationality]]="Nigeria",Table1[[#This Row],[EMJM Scholarship]],"Not Applicable")</f>
        <v>Not Applicable</v>
      </c>
    </row>
    <row r="2304" spans="1:10" ht="19.25" hidden="1" customHeight="1" x14ac:dyDescent="0.3">
      <c r="A2304" s="8">
        <v>2521347</v>
      </c>
      <c r="B2304" s="6" t="s">
        <v>80</v>
      </c>
      <c r="C2304" s="1" t="s">
        <v>9</v>
      </c>
      <c r="D2304" s="1" t="s">
        <v>9</v>
      </c>
      <c r="E2304" s="1" t="s">
        <v>9</v>
      </c>
      <c r="F2304" s="6"/>
      <c r="G2304" s="6"/>
      <c r="H2304" s="11"/>
      <c r="I230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04" t="str">
        <f>IF(Table1[[#This Row],[Nationality]]="Nigeria",Table1[[#This Row],[EMJM Scholarship]],"Not Applicable")</f>
        <v>Not Applicable</v>
      </c>
    </row>
    <row r="2305" spans="1:10" ht="19.25" hidden="1" customHeight="1" x14ac:dyDescent="0.3">
      <c r="A2305" s="8">
        <v>2521369</v>
      </c>
      <c r="B2305" s="6" t="s">
        <v>80</v>
      </c>
      <c r="C2305" s="1" t="s">
        <v>9</v>
      </c>
      <c r="D2305" s="1" t="s">
        <v>9</v>
      </c>
      <c r="E2305" s="1" t="s">
        <v>9</v>
      </c>
      <c r="F2305" s="6"/>
      <c r="G2305" s="6"/>
      <c r="H2305" s="11"/>
      <c r="I230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05" t="str">
        <f>IF(Table1[[#This Row],[Nationality]]="Nigeria",Table1[[#This Row],[EMJM Scholarship]],"Not Applicable")</f>
        <v>Not Applicable</v>
      </c>
    </row>
    <row r="2306" spans="1:10" ht="19.25" hidden="1" customHeight="1" x14ac:dyDescent="0.3">
      <c r="A2306" s="8">
        <v>2521384</v>
      </c>
      <c r="B2306" s="6" t="s">
        <v>80</v>
      </c>
      <c r="C2306" s="1" t="s">
        <v>9</v>
      </c>
      <c r="D2306" s="1" t="s">
        <v>9</v>
      </c>
      <c r="E2306" s="1" t="s">
        <v>9</v>
      </c>
      <c r="F2306" s="6"/>
      <c r="G2306" s="6"/>
      <c r="H2306" s="11"/>
      <c r="I230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06" t="str">
        <f>IF(Table1[[#This Row],[Nationality]]="Nigeria",Table1[[#This Row],[EMJM Scholarship]],"Not Applicable")</f>
        <v>Not Applicable</v>
      </c>
    </row>
    <row r="2307" spans="1:10" ht="19.25" hidden="1" customHeight="1" x14ac:dyDescent="0.3">
      <c r="A2307" s="8">
        <v>2521386</v>
      </c>
      <c r="B2307" s="6" t="s">
        <v>80</v>
      </c>
      <c r="C2307" s="1" t="s">
        <v>9</v>
      </c>
      <c r="D2307" s="1" t="s">
        <v>9</v>
      </c>
      <c r="E2307" s="1" t="s">
        <v>9</v>
      </c>
      <c r="F2307" s="6"/>
      <c r="G2307" s="6"/>
      <c r="H2307" s="11"/>
      <c r="I230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07" t="str">
        <f>IF(Table1[[#This Row],[Nationality]]="Nigeria",Table1[[#This Row],[EMJM Scholarship]],"Not Applicable")</f>
        <v>Not Applicable</v>
      </c>
    </row>
    <row r="2308" spans="1:10" ht="19.25" hidden="1" customHeight="1" x14ac:dyDescent="0.3">
      <c r="A2308" s="8">
        <v>2521389</v>
      </c>
      <c r="B2308" s="6" t="s">
        <v>80</v>
      </c>
      <c r="C2308" s="1" t="s">
        <v>9</v>
      </c>
      <c r="D2308" s="1" t="s">
        <v>9</v>
      </c>
      <c r="E2308" s="1" t="s">
        <v>9</v>
      </c>
      <c r="F2308" s="6"/>
      <c r="G2308" s="6"/>
      <c r="H2308" s="11"/>
      <c r="I230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08" t="str">
        <f>IF(Table1[[#This Row],[Nationality]]="Nigeria",Table1[[#This Row],[EMJM Scholarship]],"Not Applicable")</f>
        <v>Not Applicable</v>
      </c>
    </row>
    <row r="2309" spans="1:10" ht="19.25" hidden="1" customHeight="1" x14ac:dyDescent="0.3">
      <c r="A2309" s="8">
        <v>2521419</v>
      </c>
      <c r="B2309" s="6" t="s">
        <v>80</v>
      </c>
      <c r="C2309" s="1" t="s">
        <v>9</v>
      </c>
      <c r="D2309" s="1" t="s">
        <v>9</v>
      </c>
      <c r="E2309" s="1" t="s">
        <v>9</v>
      </c>
      <c r="F2309" s="6"/>
      <c r="G2309" s="6"/>
      <c r="H2309" s="11"/>
      <c r="I230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09" t="str">
        <f>IF(Table1[[#This Row],[Nationality]]="Nigeria",Table1[[#This Row],[EMJM Scholarship]],"Not Applicable")</f>
        <v>Not Applicable</v>
      </c>
    </row>
    <row r="2310" spans="1:10" ht="19.25" hidden="1" customHeight="1" x14ac:dyDescent="0.3">
      <c r="A2310" s="8">
        <v>2521427</v>
      </c>
      <c r="B2310" s="6" t="s">
        <v>80</v>
      </c>
      <c r="C2310" s="1" t="s">
        <v>9</v>
      </c>
      <c r="D2310" s="1" t="s">
        <v>9</v>
      </c>
      <c r="E2310" s="1" t="s">
        <v>9</v>
      </c>
      <c r="F2310" s="6"/>
      <c r="G2310" s="6"/>
      <c r="H2310" s="11"/>
      <c r="I231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10" t="str">
        <f>IF(Table1[[#This Row],[Nationality]]="Nigeria",Table1[[#This Row],[EMJM Scholarship]],"Not Applicable")</f>
        <v>Not Applicable</v>
      </c>
    </row>
    <row r="2311" spans="1:10" ht="19.25" hidden="1" customHeight="1" x14ac:dyDescent="0.3">
      <c r="A2311" s="8">
        <v>2521517</v>
      </c>
      <c r="B2311" s="6" t="s">
        <v>80</v>
      </c>
      <c r="C2311" s="1" t="s">
        <v>9</v>
      </c>
      <c r="D2311" s="1" t="s">
        <v>9</v>
      </c>
      <c r="E2311" s="1" t="s">
        <v>9</v>
      </c>
      <c r="F2311" s="6"/>
      <c r="G2311" s="6"/>
      <c r="H2311" s="11"/>
      <c r="I231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11" t="str">
        <f>IF(Table1[[#This Row],[Nationality]]="Nigeria",Table1[[#This Row],[EMJM Scholarship]],"Not Applicable")</f>
        <v>Not Applicable</v>
      </c>
    </row>
    <row r="2312" spans="1:10" ht="19.25" hidden="1" customHeight="1" x14ac:dyDescent="0.3">
      <c r="A2312" s="8">
        <v>2521570</v>
      </c>
      <c r="B2312" s="6" t="s">
        <v>80</v>
      </c>
      <c r="C2312" s="1" t="s">
        <v>9</v>
      </c>
      <c r="D2312" s="1" t="s">
        <v>9</v>
      </c>
      <c r="E2312" s="1" t="s">
        <v>9</v>
      </c>
      <c r="F2312" s="6"/>
      <c r="G2312" s="6"/>
      <c r="H2312" s="11"/>
      <c r="I231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12" t="str">
        <f>IF(Table1[[#This Row],[Nationality]]="Nigeria",Table1[[#This Row],[EMJM Scholarship]],"Not Applicable")</f>
        <v>Not Applicable</v>
      </c>
    </row>
    <row r="2313" spans="1:10" ht="19.25" hidden="1" customHeight="1" x14ac:dyDescent="0.3">
      <c r="A2313" s="8">
        <v>2521589</v>
      </c>
      <c r="B2313" s="6" t="s">
        <v>80</v>
      </c>
      <c r="C2313" s="1" t="s">
        <v>9</v>
      </c>
      <c r="D2313" s="1" t="s">
        <v>9</v>
      </c>
      <c r="E2313" s="1" t="s">
        <v>9</v>
      </c>
      <c r="F2313" s="6"/>
      <c r="G2313" s="6"/>
      <c r="H2313" s="11"/>
      <c r="I231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13" t="str">
        <f>IF(Table1[[#This Row],[Nationality]]="Nigeria",Table1[[#This Row],[EMJM Scholarship]],"Not Applicable")</f>
        <v>Not Applicable</v>
      </c>
    </row>
    <row r="2314" spans="1:10" ht="19.25" hidden="1" customHeight="1" x14ac:dyDescent="0.3">
      <c r="A2314" s="8">
        <v>2521611</v>
      </c>
      <c r="B2314" s="6" t="s">
        <v>80</v>
      </c>
      <c r="C2314" s="1" t="s">
        <v>9</v>
      </c>
      <c r="D2314" s="1" t="s">
        <v>9</v>
      </c>
      <c r="E2314" s="1" t="s">
        <v>9</v>
      </c>
      <c r="F2314" s="6"/>
      <c r="G2314" s="6"/>
      <c r="H2314" s="11"/>
      <c r="I231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14" t="str">
        <f>IF(Table1[[#This Row],[Nationality]]="Nigeria",Table1[[#This Row],[EMJM Scholarship]],"Not Applicable")</f>
        <v>Not Applicable</v>
      </c>
    </row>
    <row r="2315" spans="1:10" ht="19.25" hidden="1" customHeight="1" x14ac:dyDescent="0.3">
      <c r="A2315" s="8">
        <v>2521615</v>
      </c>
      <c r="B2315" s="6" t="s">
        <v>80</v>
      </c>
      <c r="C2315" s="1" t="s">
        <v>9</v>
      </c>
      <c r="D2315" s="1" t="s">
        <v>9</v>
      </c>
      <c r="E2315" s="1" t="s">
        <v>9</v>
      </c>
      <c r="F2315" s="6"/>
      <c r="G2315" s="6"/>
      <c r="H2315" s="11"/>
      <c r="I231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15" t="str">
        <f>IF(Table1[[#This Row],[Nationality]]="Nigeria",Table1[[#This Row],[EMJM Scholarship]],"Not Applicable")</f>
        <v>Not Applicable</v>
      </c>
    </row>
    <row r="2316" spans="1:10" ht="19.25" hidden="1" customHeight="1" x14ac:dyDescent="0.3">
      <c r="A2316" s="8">
        <v>2521627</v>
      </c>
      <c r="B2316" s="6" t="s">
        <v>80</v>
      </c>
      <c r="C2316" s="1" t="s">
        <v>9</v>
      </c>
      <c r="D2316" s="1" t="s">
        <v>9</v>
      </c>
      <c r="E2316" s="1" t="s">
        <v>9</v>
      </c>
      <c r="F2316" s="6"/>
      <c r="G2316" s="6"/>
      <c r="H2316" s="11"/>
      <c r="I231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16" t="str">
        <f>IF(Table1[[#This Row],[Nationality]]="Nigeria",Table1[[#This Row],[EMJM Scholarship]],"Not Applicable")</f>
        <v>Not Applicable</v>
      </c>
    </row>
    <row r="2317" spans="1:10" ht="19.25" hidden="1" customHeight="1" x14ac:dyDescent="0.3">
      <c r="A2317" s="8">
        <v>2521685</v>
      </c>
      <c r="B2317" s="6" t="s">
        <v>80</v>
      </c>
      <c r="C2317" s="1" t="s">
        <v>9</v>
      </c>
      <c r="D2317" s="1" t="s">
        <v>9</v>
      </c>
      <c r="E2317" s="1" t="s">
        <v>9</v>
      </c>
      <c r="F2317" s="6"/>
      <c r="G2317" s="6"/>
      <c r="H2317" s="11"/>
      <c r="I231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17" t="str">
        <f>IF(Table1[[#This Row],[Nationality]]="Nigeria",Table1[[#This Row],[EMJM Scholarship]],"Not Applicable")</f>
        <v>Not Applicable</v>
      </c>
    </row>
    <row r="2318" spans="1:10" ht="19.25" hidden="1" customHeight="1" x14ac:dyDescent="0.3">
      <c r="A2318" s="8">
        <v>2521689</v>
      </c>
      <c r="B2318" s="6" t="s">
        <v>80</v>
      </c>
      <c r="C2318" s="1" t="s">
        <v>9</v>
      </c>
      <c r="D2318" s="1" t="s">
        <v>9</v>
      </c>
      <c r="E2318" s="1" t="s">
        <v>9</v>
      </c>
      <c r="F2318" s="6"/>
      <c r="G2318" s="6"/>
      <c r="H2318" s="11"/>
      <c r="I231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18" t="str">
        <f>IF(Table1[[#This Row],[Nationality]]="Nigeria",Table1[[#This Row],[EMJM Scholarship]],"Not Applicable")</f>
        <v>Not Applicable</v>
      </c>
    </row>
    <row r="2319" spans="1:10" ht="19.25" hidden="1" customHeight="1" x14ac:dyDescent="0.3">
      <c r="A2319" s="8">
        <v>2521693</v>
      </c>
      <c r="B2319" s="6" t="s">
        <v>80</v>
      </c>
      <c r="C2319" s="1" t="s">
        <v>9</v>
      </c>
      <c r="D2319" s="1" t="s">
        <v>9</v>
      </c>
      <c r="E2319" s="1" t="s">
        <v>9</v>
      </c>
      <c r="F2319" s="6"/>
      <c r="G2319" s="6"/>
      <c r="H2319" s="11"/>
      <c r="I231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19" t="str">
        <f>IF(Table1[[#This Row],[Nationality]]="Nigeria",Table1[[#This Row],[EMJM Scholarship]],"Not Applicable")</f>
        <v>Not Applicable</v>
      </c>
    </row>
    <row r="2320" spans="1:10" ht="19.25" hidden="1" customHeight="1" x14ac:dyDescent="0.3">
      <c r="A2320" s="8">
        <v>2521738</v>
      </c>
      <c r="B2320" s="6" t="s">
        <v>80</v>
      </c>
      <c r="C2320" s="1" t="s">
        <v>9</v>
      </c>
      <c r="D2320" s="1" t="s">
        <v>9</v>
      </c>
      <c r="E2320" s="1" t="s">
        <v>9</v>
      </c>
      <c r="F2320" s="6"/>
      <c r="G2320" s="6"/>
      <c r="H2320" s="11"/>
      <c r="I232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20" t="str">
        <f>IF(Table1[[#This Row],[Nationality]]="Nigeria",Table1[[#This Row],[EMJM Scholarship]],"Not Applicable")</f>
        <v>Not Applicable</v>
      </c>
    </row>
    <row r="2321" spans="1:10" ht="19.25" hidden="1" customHeight="1" x14ac:dyDescent="0.3">
      <c r="A2321" s="8">
        <v>2521755</v>
      </c>
      <c r="B2321" s="6" t="s">
        <v>80</v>
      </c>
      <c r="C2321" s="1" t="s">
        <v>9</v>
      </c>
      <c r="D2321" s="1" t="s">
        <v>9</v>
      </c>
      <c r="E2321" s="1" t="s">
        <v>9</v>
      </c>
      <c r="F2321" s="6"/>
      <c r="G2321" s="6"/>
      <c r="H2321" s="11"/>
      <c r="I232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21" t="str">
        <f>IF(Table1[[#This Row],[Nationality]]="Nigeria",Table1[[#This Row],[EMJM Scholarship]],"Not Applicable")</f>
        <v>Not Applicable</v>
      </c>
    </row>
    <row r="2322" spans="1:10" ht="19.25" hidden="1" customHeight="1" x14ac:dyDescent="0.3">
      <c r="A2322" s="8">
        <v>2521773</v>
      </c>
      <c r="B2322" s="6" t="s">
        <v>80</v>
      </c>
      <c r="C2322" s="1" t="s">
        <v>9</v>
      </c>
      <c r="D2322" s="1" t="s">
        <v>9</v>
      </c>
      <c r="E2322" s="1" t="s">
        <v>9</v>
      </c>
      <c r="F2322" s="6"/>
      <c r="G2322" s="6"/>
      <c r="H2322" s="11"/>
      <c r="I232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22" t="str">
        <f>IF(Table1[[#This Row],[Nationality]]="Nigeria",Table1[[#This Row],[EMJM Scholarship]],"Not Applicable")</f>
        <v>Not Applicable</v>
      </c>
    </row>
    <row r="2323" spans="1:10" ht="19.25" hidden="1" customHeight="1" x14ac:dyDescent="0.3">
      <c r="A2323" s="8">
        <v>2521774</v>
      </c>
      <c r="B2323" s="6" t="s">
        <v>80</v>
      </c>
      <c r="C2323" s="1" t="s">
        <v>9</v>
      </c>
      <c r="D2323" s="1" t="s">
        <v>9</v>
      </c>
      <c r="E2323" s="1" t="s">
        <v>9</v>
      </c>
      <c r="F2323" s="6"/>
      <c r="G2323" s="6"/>
      <c r="H2323" s="11"/>
      <c r="I232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23" t="str">
        <f>IF(Table1[[#This Row],[Nationality]]="Nigeria",Table1[[#This Row],[EMJM Scholarship]],"Not Applicable")</f>
        <v>Not Applicable</v>
      </c>
    </row>
    <row r="2324" spans="1:10" ht="19.25" hidden="1" customHeight="1" x14ac:dyDescent="0.3">
      <c r="A2324" s="8">
        <v>2521787</v>
      </c>
      <c r="B2324" s="6" t="s">
        <v>80</v>
      </c>
      <c r="C2324" s="1" t="s">
        <v>9</v>
      </c>
      <c r="D2324" s="1" t="s">
        <v>9</v>
      </c>
      <c r="E2324" s="1" t="s">
        <v>9</v>
      </c>
      <c r="F2324" s="6"/>
      <c r="G2324" s="6"/>
      <c r="H2324" s="11"/>
      <c r="I232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24" t="str">
        <f>IF(Table1[[#This Row],[Nationality]]="Nigeria",Table1[[#This Row],[EMJM Scholarship]],"Not Applicable")</f>
        <v>Not Applicable</v>
      </c>
    </row>
    <row r="2325" spans="1:10" ht="19.25" hidden="1" customHeight="1" x14ac:dyDescent="0.3">
      <c r="A2325" s="8">
        <v>2521789</v>
      </c>
      <c r="B2325" s="6" t="s">
        <v>80</v>
      </c>
      <c r="C2325" s="1" t="s">
        <v>9</v>
      </c>
      <c r="D2325" s="1" t="s">
        <v>9</v>
      </c>
      <c r="E2325" s="1" t="s">
        <v>9</v>
      </c>
      <c r="F2325" s="6"/>
      <c r="G2325" s="6"/>
      <c r="H2325" s="11"/>
      <c r="I232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25" t="str">
        <f>IF(Table1[[#This Row],[Nationality]]="Nigeria",Table1[[#This Row],[EMJM Scholarship]],"Not Applicable")</f>
        <v>Not Applicable</v>
      </c>
    </row>
    <row r="2326" spans="1:10" ht="19.25" hidden="1" customHeight="1" x14ac:dyDescent="0.3">
      <c r="A2326" s="8">
        <v>2521829</v>
      </c>
      <c r="B2326" s="6" t="s">
        <v>80</v>
      </c>
      <c r="C2326" s="1" t="s">
        <v>9</v>
      </c>
      <c r="D2326" s="1" t="s">
        <v>9</v>
      </c>
      <c r="E2326" s="1" t="s">
        <v>9</v>
      </c>
      <c r="F2326" s="6"/>
      <c r="G2326" s="6"/>
      <c r="H2326" s="11"/>
      <c r="I232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26" t="str">
        <f>IF(Table1[[#This Row],[Nationality]]="Nigeria",Table1[[#This Row],[EMJM Scholarship]],"Not Applicable")</f>
        <v>Not Applicable</v>
      </c>
    </row>
    <row r="2327" spans="1:10" ht="19.25" hidden="1" customHeight="1" x14ac:dyDescent="0.3">
      <c r="A2327" s="8">
        <v>2521840</v>
      </c>
      <c r="B2327" s="6" t="s">
        <v>80</v>
      </c>
      <c r="C2327" s="1" t="s">
        <v>9</v>
      </c>
      <c r="D2327" s="1" t="s">
        <v>9</v>
      </c>
      <c r="E2327" s="1" t="s">
        <v>9</v>
      </c>
      <c r="F2327" s="6"/>
      <c r="G2327" s="6"/>
      <c r="H2327" s="11"/>
      <c r="I232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27" t="str">
        <f>IF(Table1[[#This Row],[Nationality]]="Nigeria",Table1[[#This Row],[EMJM Scholarship]],"Not Applicable")</f>
        <v>Not Applicable</v>
      </c>
    </row>
    <row r="2328" spans="1:10" ht="19.25" hidden="1" customHeight="1" x14ac:dyDescent="0.3">
      <c r="A2328" s="8">
        <v>2521842</v>
      </c>
      <c r="B2328" s="6" t="s">
        <v>80</v>
      </c>
      <c r="C2328" s="1" t="s">
        <v>9</v>
      </c>
      <c r="D2328" s="1" t="s">
        <v>9</v>
      </c>
      <c r="E2328" s="1" t="s">
        <v>9</v>
      </c>
      <c r="F2328" s="6"/>
      <c r="G2328" s="6"/>
      <c r="H2328" s="11"/>
      <c r="I232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28" t="str">
        <f>IF(Table1[[#This Row],[Nationality]]="Nigeria",Table1[[#This Row],[EMJM Scholarship]],"Not Applicable")</f>
        <v>Not Applicable</v>
      </c>
    </row>
    <row r="2329" spans="1:10" ht="19.25" hidden="1" customHeight="1" x14ac:dyDescent="0.3">
      <c r="A2329" s="8">
        <v>2521910</v>
      </c>
      <c r="B2329" s="6" t="s">
        <v>80</v>
      </c>
      <c r="C2329" s="1" t="s">
        <v>9</v>
      </c>
      <c r="D2329" s="1" t="s">
        <v>9</v>
      </c>
      <c r="E2329" s="1" t="s">
        <v>9</v>
      </c>
      <c r="F2329" s="6"/>
      <c r="G2329" s="6"/>
      <c r="H2329" s="11"/>
      <c r="I232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29" t="str">
        <f>IF(Table1[[#This Row],[Nationality]]="Nigeria",Table1[[#This Row],[EMJM Scholarship]],"Not Applicable")</f>
        <v>Not Applicable</v>
      </c>
    </row>
    <row r="2330" spans="1:10" ht="19.25" hidden="1" customHeight="1" x14ac:dyDescent="0.3">
      <c r="A2330" s="8">
        <v>2521920</v>
      </c>
      <c r="B2330" s="6" t="s">
        <v>80</v>
      </c>
      <c r="C2330" s="1" t="s">
        <v>9</v>
      </c>
      <c r="D2330" s="1" t="s">
        <v>9</v>
      </c>
      <c r="E2330" s="1" t="s">
        <v>9</v>
      </c>
      <c r="F2330" s="6"/>
      <c r="G2330" s="6"/>
      <c r="H2330" s="11"/>
      <c r="I233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30" t="str">
        <f>IF(Table1[[#This Row],[Nationality]]="Nigeria",Table1[[#This Row],[EMJM Scholarship]],"Not Applicable")</f>
        <v>Not Applicable</v>
      </c>
    </row>
    <row r="2331" spans="1:10" ht="19.25" hidden="1" customHeight="1" x14ac:dyDescent="0.3">
      <c r="A2331" s="8">
        <v>2521931</v>
      </c>
      <c r="B2331" s="6" t="s">
        <v>80</v>
      </c>
      <c r="C2331" s="1" t="s">
        <v>9</v>
      </c>
      <c r="D2331" s="1" t="s">
        <v>9</v>
      </c>
      <c r="E2331" s="1" t="s">
        <v>9</v>
      </c>
      <c r="F2331" s="6"/>
      <c r="G2331" s="6"/>
      <c r="H2331" s="11"/>
      <c r="I233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31" t="str">
        <f>IF(Table1[[#This Row],[Nationality]]="Nigeria",Table1[[#This Row],[EMJM Scholarship]],"Not Applicable")</f>
        <v>Not Applicable</v>
      </c>
    </row>
    <row r="2332" spans="1:10" ht="19.25" hidden="1" customHeight="1" x14ac:dyDescent="0.3">
      <c r="A2332" s="8">
        <v>2521942</v>
      </c>
      <c r="B2332" s="6" t="s">
        <v>80</v>
      </c>
      <c r="C2332" s="1" t="s">
        <v>9</v>
      </c>
      <c r="D2332" s="1" t="s">
        <v>9</v>
      </c>
      <c r="E2332" s="1" t="s">
        <v>9</v>
      </c>
      <c r="F2332" s="6"/>
      <c r="G2332" s="6"/>
      <c r="H2332" s="11"/>
      <c r="I233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32" t="str">
        <f>IF(Table1[[#This Row],[Nationality]]="Nigeria",Table1[[#This Row],[EMJM Scholarship]],"Not Applicable")</f>
        <v>Not Applicable</v>
      </c>
    </row>
    <row r="2333" spans="1:10" ht="19.25" hidden="1" customHeight="1" x14ac:dyDescent="0.3">
      <c r="A2333" s="8">
        <v>2521970</v>
      </c>
      <c r="B2333" s="6" t="s">
        <v>80</v>
      </c>
      <c r="C2333" s="1" t="s">
        <v>9</v>
      </c>
      <c r="D2333" s="1" t="s">
        <v>9</v>
      </c>
      <c r="E2333" s="1" t="s">
        <v>9</v>
      </c>
      <c r="F2333" s="6"/>
      <c r="G2333" s="6"/>
      <c r="H2333" s="11"/>
      <c r="I233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33" t="str">
        <f>IF(Table1[[#This Row],[Nationality]]="Nigeria",Table1[[#This Row],[EMJM Scholarship]],"Not Applicable")</f>
        <v>Not Applicable</v>
      </c>
    </row>
    <row r="2334" spans="1:10" ht="19.25" hidden="1" customHeight="1" x14ac:dyDescent="0.3">
      <c r="A2334" s="8">
        <v>2522007</v>
      </c>
      <c r="B2334" s="6" t="s">
        <v>80</v>
      </c>
      <c r="C2334" s="1" t="s">
        <v>9</v>
      </c>
      <c r="D2334" s="1" t="s">
        <v>9</v>
      </c>
      <c r="E2334" s="1" t="s">
        <v>9</v>
      </c>
      <c r="F2334" s="6"/>
      <c r="G2334" s="6"/>
      <c r="H2334" s="11"/>
      <c r="I233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34" t="str">
        <f>IF(Table1[[#This Row],[Nationality]]="Nigeria",Table1[[#This Row],[EMJM Scholarship]],"Not Applicable")</f>
        <v>Not Applicable</v>
      </c>
    </row>
    <row r="2335" spans="1:10" ht="19.25" hidden="1" customHeight="1" x14ac:dyDescent="0.3">
      <c r="A2335" s="8">
        <v>2522041</v>
      </c>
      <c r="B2335" s="6" t="s">
        <v>80</v>
      </c>
      <c r="C2335" s="1" t="s">
        <v>9</v>
      </c>
      <c r="D2335" s="1" t="s">
        <v>9</v>
      </c>
      <c r="E2335" s="1" t="s">
        <v>9</v>
      </c>
      <c r="F2335" s="6"/>
      <c r="G2335" s="6"/>
      <c r="H2335" s="11"/>
      <c r="I233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35" t="str">
        <f>IF(Table1[[#This Row],[Nationality]]="Nigeria",Table1[[#This Row],[EMJM Scholarship]],"Not Applicable")</f>
        <v>Not Applicable</v>
      </c>
    </row>
    <row r="2336" spans="1:10" ht="19.25" hidden="1" customHeight="1" x14ac:dyDescent="0.3">
      <c r="A2336" s="8">
        <v>2522046</v>
      </c>
      <c r="B2336" s="6" t="s">
        <v>80</v>
      </c>
      <c r="C2336" s="1" t="s">
        <v>9</v>
      </c>
      <c r="D2336" s="1" t="s">
        <v>9</v>
      </c>
      <c r="E2336" s="1" t="s">
        <v>9</v>
      </c>
      <c r="F2336" s="6"/>
      <c r="G2336" s="6"/>
      <c r="H2336" s="11"/>
      <c r="I233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36" t="str">
        <f>IF(Table1[[#This Row],[Nationality]]="Nigeria",Table1[[#This Row],[EMJM Scholarship]],"Not Applicable")</f>
        <v>Not Applicable</v>
      </c>
    </row>
    <row r="2337" spans="1:10" ht="19.25" hidden="1" customHeight="1" x14ac:dyDescent="0.3">
      <c r="A2337" s="8">
        <v>2522129</v>
      </c>
      <c r="B2337" s="6" t="s">
        <v>80</v>
      </c>
      <c r="C2337" s="1" t="s">
        <v>9</v>
      </c>
      <c r="D2337" s="1" t="s">
        <v>9</v>
      </c>
      <c r="E2337" s="1" t="s">
        <v>9</v>
      </c>
      <c r="F2337" s="6"/>
      <c r="G2337" s="6"/>
      <c r="H2337" s="11"/>
      <c r="I233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37" t="str">
        <f>IF(Table1[[#This Row],[Nationality]]="Nigeria",Table1[[#This Row],[EMJM Scholarship]],"Not Applicable")</f>
        <v>Not Applicable</v>
      </c>
    </row>
    <row r="2338" spans="1:10" ht="19.25" hidden="1" customHeight="1" x14ac:dyDescent="0.3">
      <c r="A2338" s="8">
        <v>2522138</v>
      </c>
      <c r="B2338" s="6" t="s">
        <v>80</v>
      </c>
      <c r="C2338" s="1" t="s">
        <v>9</v>
      </c>
      <c r="D2338" s="1" t="s">
        <v>9</v>
      </c>
      <c r="E2338" s="1" t="s">
        <v>9</v>
      </c>
      <c r="F2338" s="6"/>
      <c r="G2338" s="6"/>
      <c r="H2338" s="11"/>
      <c r="I233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38" t="str">
        <f>IF(Table1[[#This Row],[Nationality]]="Nigeria",Table1[[#This Row],[EMJM Scholarship]],"Not Applicable")</f>
        <v>Not Applicable</v>
      </c>
    </row>
    <row r="2339" spans="1:10" ht="19.25" hidden="1" customHeight="1" x14ac:dyDescent="0.3">
      <c r="A2339" s="8">
        <v>2522149</v>
      </c>
      <c r="B2339" s="6" t="s">
        <v>80</v>
      </c>
      <c r="C2339" s="1" t="s">
        <v>9</v>
      </c>
      <c r="D2339" s="1" t="s">
        <v>9</v>
      </c>
      <c r="E2339" s="1" t="s">
        <v>9</v>
      </c>
      <c r="F2339" s="6"/>
      <c r="G2339" s="6"/>
      <c r="H2339" s="11"/>
      <c r="I233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39" t="str">
        <f>IF(Table1[[#This Row],[Nationality]]="Nigeria",Table1[[#This Row],[EMJM Scholarship]],"Not Applicable")</f>
        <v>Not Applicable</v>
      </c>
    </row>
    <row r="2340" spans="1:10" ht="19.25" hidden="1" customHeight="1" x14ac:dyDescent="0.3">
      <c r="A2340" s="8">
        <v>2522165</v>
      </c>
      <c r="B2340" s="6" t="s">
        <v>80</v>
      </c>
      <c r="C2340" s="1" t="s">
        <v>9</v>
      </c>
      <c r="D2340" s="1" t="s">
        <v>9</v>
      </c>
      <c r="E2340" s="1" t="s">
        <v>9</v>
      </c>
      <c r="F2340" s="6"/>
      <c r="G2340" s="6"/>
      <c r="H2340" s="11"/>
      <c r="I234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40" t="str">
        <f>IF(Table1[[#This Row],[Nationality]]="Nigeria",Table1[[#This Row],[EMJM Scholarship]],"Not Applicable")</f>
        <v>Not Applicable</v>
      </c>
    </row>
    <row r="2341" spans="1:10" ht="19.25" hidden="1" customHeight="1" x14ac:dyDescent="0.3">
      <c r="A2341" s="8">
        <v>2522203</v>
      </c>
      <c r="B2341" s="6" t="s">
        <v>80</v>
      </c>
      <c r="C2341" s="1" t="s">
        <v>9</v>
      </c>
      <c r="D2341" s="1" t="s">
        <v>9</v>
      </c>
      <c r="E2341" s="1" t="s">
        <v>9</v>
      </c>
      <c r="F2341" s="6"/>
      <c r="G2341" s="6"/>
      <c r="H2341" s="11"/>
      <c r="I234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41" t="str">
        <f>IF(Table1[[#This Row],[Nationality]]="Nigeria",Table1[[#This Row],[EMJM Scholarship]],"Not Applicable")</f>
        <v>Not Applicable</v>
      </c>
    </row>
    <row r="2342" spans="1:10" ht="19.25" hidden="1" customHeight="1" x14ac:dyDescent="0.3">
      <c r="A2342" s="8">
        <v>2522214</v>
      </c>
      <c r="B2342" s="6" t="s">
        <v>80</v>
      </c>
      <c r="C2342" s="1" t="s">
        <v>9</v>
      </c>
      <c r="D2342" s="1" t="s">
        <v>9</v>
      </c>
      <c r="E2342" s="1" t="s">
        <v>9</v>
      </c>
      <c r="F2342" s="6"/>
      <c r="G2342" s="6"/>
      <c r="H2342" s="11"/>
      <c r="I234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42" t="str">
        <f>IF(Table1[[#This Row],[Nationality]]="Nigeria",Table1[[#This Row],[EMJM Scholarship]],"Not Applicable")</f>
        <v>Not Applicable</v>
      </c>
    </row>
    <row r="2343" spans="1:10" ht="19.25" hidden="1" customHeight="1" x14ac:dyDescent="0.3">
      <c r="A2343" s="8">
        <v>2522255</v>
      </c>
      <c r="B2343" s="6" t="s">
        <v>80</v>
      </c>
      <c r="C2343" s="1" t="s">
        <v>9</v>
      </c>
      <c r="D2343" s="1" t="s">
        <v>9</v>
      </c>
      <c r="E2343" s="1" t="s">
        <v>9</v>
      </c>
      <c r="F2343" s="6"/>
      <c r="G2343" s="6"/>
      <c r="H2343" s="11"/>
      <c r="I234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43" t="str">
        <f>IF(Table1[[#This Row],[Nationality]]="Nigeria",Table1[[#This Row],[EMJM Scholarship]],"Not Applicable")</f>
        <v>Not Applicable</v>
      </c>
    </row>
    <row r="2344" spans="1:10" ht="19.25" hidden="1" customHeight="1" x14ac:dyDescent="0.3">
      <c r="A2344" s="8">
        <v>2522259</v>
      </c>
      <c r="B2344" s="6" t="s">
        <v>80</v>
      </c>
      <c r="C2344" s="1" t="s">
        <v>9</v>
      </c>
      <c r="D2344" s="1" t="s">
        <v>9</v>
      </c>
      <c r="E2344" s="1" t="s">
        <v>9</v>
      </c>
      <c r="F2344" s="6"/>
      <c r="G2344" s="6"/>
      <c r="H2344" s="11"/>
      <c r="I234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44" t="str">
        <f>IF(Table1[[#This Row],[Nationality]]="Nigeria",Table1[[#This Row],[EMJM Scholarship]],"Not Applicable")</f>
        <v>Not Applicable</v>
      </c>
    </row>
    <row r="2345" spans="1:10" ht="19.25" hidden="1" customHeight="1" x14ac:dyDescent="0.3">
      <c r="A2345" s="8">
        <v>2522265</v>
      </c>
      <c r="B2345" s="6" t="s">
        <v>80</v>
      </c>
      <c r="C2345" s="1" t="s">
        <v>9</v>
      </c>
      <c r="D2345" s="1" t="s">
        <v>9</v>
      </c>
      <c r="E2345" s="1" t="s">
        <v>9</v>
      </c>
      <c r="F2345" s="6"/>
      <c r="G2345" s="6"/>
      <c r="H2345" s="11"/>
      <c r="I234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45" t="str">
        <f>IF(Table1[[#This Row],[Nationality]]="Nigeria",Table1[[#This Row],[EMJM Scholarship]],"Not Applicable")</f>
        <v>Not Applicable</v>
      </c>
    </row>
    <row r="2346" spans="1:10" ht="19.25" hidden="1" customHeight="1" x14ac:dyDescent="0.3">
      <c r="A2346" s="8">
        <v>2522292</v>
      </c>
      <c r="B2346" s="6" t="s">
        <v>80</v>
      </c>
      <c r="C2346" s="1" t="s">
        <v>9</v>
      </c>
      <c r="D2346" s="1" t="s">
        <v>9</v>
      </c>
      <c r="E2346" s="1" t="s">
        <v>9</v>
      </c>
      <c r="F2346" s="6"/>
      <c r="G2346" s="6"/>
      <c r="H2346" s="11"/>
      <c r="I234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46" t="str">
        <f>IF(Table1[[#This Row],[Nationality]]="Nigeria",Table1[[#This Row],[EMJM Scholarship]],"Not Applicable")</f>
        <v>Not Applicable</v>
      </c>
    </row>
    <row r="2347" spans="1:10" ht="19.25" hidden="1" customHeight="1" x14ac:dyDescent="0.3">
      <c r="A2347" s="8">
        <v>2522305</v>
      </c>
      <c r="B2347" s="6" t="s">
        <v>80</v>
      </c>
      <c r="C2347" s="1" t="s">
        <v>9</v>
      </c>
      <c r="D2347" s="1" t="s">
        <v>9</v>
      </c>
      <c r="E2347" s="1" t="s">
        <v>9</v>
      </c>
      <c r="F2347" s="6"/>
      <c r="G2347" s="6"/>
      <c r="H2347" s="11"/>
      <c r="I234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47" t="str">
        <f>IF(Table1[[#This Row],[Nationality]]="Nigeria",Table1[[#This Row],[EMJM Scholarship]],"Not Applicable")</f>
        <v>Not Applicable</v>
      </c>
    </row>
    <row r="2348" spans="1:10" ht="19.25" hidden="1" customHeight="1" x14ac:dyDescent="0.3">
      <c r="A2348" s="8">
        <v>2522320</v>
      </c>
      <c r="B2348" s="6" t="s">
        <v>80</v>
      </c>
      <c r="C2348" s="1" t="s">
        <v>9</v>
      </c>
      <c r="D2348" s="1" t="s">
        <v>9</v>
      </c>
      <c r="E2348" s="1" t="s">
        <v>9</v>
      </c>
      <c r="F2348" s="6"/>
      <c r="G2348" s="6"/>
      <c r="H2348" s="11"/>
      <c r="I234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48" t="str">
        <f>IF(Table1[[#This Row],[Nationality]]="Nigeria",Table1[[#This Row],[EMJM Scholarship]],"Not Applicable")</f>
        <v>Not Applicable</v>
      </c>
    </row>
    <row r="2349" spans="1:10" ht="19.25" hidden="1" customHeight="1" x14ac:dyDescent="0.3">
      <c r="A2349" s="8">
        <v>2522338</v>
      </c>
      <c r="B2349" s="6" t="s">
        <v>80</v>
      </c>
      <c r="C2349" s="1" t="s">
        <v>9</v>
      </c>
      <c r="D2349" s="1" t="s">
        <v>9</v>
      </c>
      <c r="E2349" s="1" t="s">
        <v>9</v>
      </c>
      <c r="F2349" s="6"/>
      <c r="G2349" s="6"/>
      <c r="H2349" s="11"/>
      <c r="I234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49" t="str">
        <f>IF(Table1[[#This Row],[Nationality]]="Nigeria",Table1[[#This Row],[EMJM Scholarship]],"Not Applicable")</f>
        <v>Not Applicable</v>
      </c>
    </row>
    <row r="2350" spans="1:10" ht="19.25" hidden="1" customHeight="1" x14ac:dyDescent="0.3">
      <c r="A2350" s="8">
        <v>2522340</v>
      </c>
      <c r="B2350" s="6" t="s">
        <v>80</v>
      </c>
      <c r="C2350" s="1" t="s">
        <v>9</v>
      </c>
      <c r="D2350" s="1" t="s">
        <v>9</v>
      </c>
      <c r="E2350" s="1" t="s">
        <v>9</v>
      </c>
      <c r="F2350" s="6"/>
      <c r="G2350" s="6"/>
      <c r="H2350" s="11"/>
      <c r="I235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50" t="str">
        <f>IF(Table1[[#This Row],[Nationality]]="Nigeria",Table1[[#This Row],[EMJM Scholarship]],"Not Applicable")</f>
        <v>Not Applicable</v>
      </c>
    </row>
    <row r="2351" spans="1:10" ht="19.25" hidden="1" customHeight="1" x14ac:dyDescent="0.3">
      <c r="A2351" s="8">
        <v>2522355</v>
      </c>
      <c r="B2351" s="6" t="s">
        <v>80</v>
      </c>
      <c r="C2351" s="1" t="s">
        <v>9</v>
      </c>
      <c r="D2351" s="1" t="s">
        <v>9</v>
      </c>
      <c r="E2351" s="1" t="s">
        <v>9</v>
      </c>
      <c r="F2351" s="6"/>
      <c r="G2351" s="6"/>
      <c r="H2351" s="11"/>
      <c r="I235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51" t="str">
        <f>IF(Table1[[#This Row],[Nationality]]="Nigeria",Table1[[#This Row],[EMJM Scholarship]],"Not Applicable")</f>
        <v>Not Applicable</v>
      </c>
    </row>
    <row r="2352" spans="1:10" ht="19.25" hidden="1" customHeight="1" x14ac:dyDescent="0.3">
      <c r="A2352" s="8">
        <v>2522358</v>
      </c>
      <c r="B2352" s="6" t="s">
        <v>80</v>
      </c>
      <c r="C2352" s="1" t="s">
        <v>9</v>
      </c>
      <c r="D2352" s="1" t="s">
        <v>9</v>
      </c>
      <c r="E2352" s="1" t="s">
        <v>9</v>
      </c>
      <c r="F2352" s="6"/>
      <c r="G2352" s="6"/>
      <c r="H2352" s="11"/>
      <c r="I235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52" t="str">
        <f>IF(Table1[[#This Row],[Nationality]]="Nigeria",Table1[[#This Row],[EMJM Scholarship]],"Not Applicable")</f>
        <v>Not Applicable</v>
      </c>
    </row>
    <row r="2353" spans="1:10" ht="19.25" hidden="1" customHeight="1" x14ac:dyDescent="0.3">
      <c r="A2353" s="8">
        <v>2522361</v>
      </c>
      <c r="B2353" s="6" t="s">
        <v>80</v>
      </c>
      <c r="C2353" s="1" t="s">
        <v>9</v>
      </c>
      <c r="D2353" s="1" t="s">
        <v>9</v>
      </c>
      <c r="E2353" s="1" t="s">
        <v>9</v>
      </c>
      <c r="F2353" s="6"/>
      <c r="G2353" s="6"/>
      <c r="H2353" s="11"/>
      <c r="I235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53" t="str">
        <f>IF(Table1[[#This Row],[Nationality]]="Nigeria",Table1[[#This Row],[EMJM Scholarship]],"Not Applicable")</f>
        <v>Not Applicable</v>
      </c>
    </row>
    <row r="2354" spans="1:10" ht="19.25" hidden="1" customHeight="1" x14ac:dyDescent="0.3">
      <c r="A2354" s="8">
        <v>2522373</v>
      </c>
      <c r="B2354" s="6" t="s">
        <v>80</v>
      </c>
      <c r="C2354" s="1" t="s">
        <v>9</v>
      </c>
      <c r="D2354" s="1" t="s">
        <v>9</v>
      </c>
      <c r="E2354" s="1" t="s">
        <v>9</v>
      </c>
      <c r="F2354" s="6"/>
      <c r="G2354" s="6"/>
      <c r="H2354" s="11"/>
      <c r="I235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54" t="str">
        <f>IF(Table1[[#This Row],[Nationality]]="Nigeria",Table1[[#This Row],[EMJM Scholarship]],"Not Applicable")</f>
        <v>Not Applicable</v>
      </c>
    </row>
    <row r="2355" spans="1:10" ht="19.25" hidden="1" customHeight="1" x14ac:dyDescent="0.3">
      <c r="A2355" s="8">
        <v>2522380</v>
      </c>
      <c r="B2355" s="6" t="s">
        <v>80</v>
      </c>
      <c r="C2355" s="1" t="s">
        <v>9</v>
      </c>
      <c r="D2355" s="1" t="s">
        <v>9</v>
      </c>
      <c r="E2355" s="1" t="s">
        <v>9</v>
      </c>
      <c r="F2355" s="6"/>
      <c r="G2355" s="6"/>
      <c r="H2355" s="11"/>
      <c r="I235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55" t="str">
        <f>IF(Table1[[#This Row],[Nationality]]="Nigeria",Table1[[#This Row],[EMJM Scholarship]],"Not Applicable")</f>
        <v>Not Applicable</v>
      </c>
    </row>
    <row r="2356" spans="1:10" ht="19.25" hidden="1" customHeight="1" x14ac:dyDescent="0.3">
      <c r="A2356" s="8">
        <v>2522394</v>
      </c>
      <c r="B2356" s="6" t="s">
        <v>80</v>
      </c>
      <c r="C2356" s="1" t="s">
        <v>9</v>
      </c>
      <c r="D2356" s="1" t="s">
        <v>9</v>
      </c>
      <c r="E2356" s="1" t="s">
        <v>9</v>
      </c>
      <c r="F2356" s="6"/>
      <c r="G2356" s="6"/>
      <c r="H2356" s="11"/>
      <c r="I235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56" t="str">
        <f>IF(Table1[[#This Row],[Nationality]]="Nigeria",Table1[[#This Row],[EMJM Scholarship]],"Not Applicable")</f>
        <v>Not Applicable</v>
      </c>
    </row>
    <row r="2357" spans="1:10" ht="19.25" hidden="1" customHeight="1" x14ac:dyDescent="0.3">
      <c r="A2357" s="8">
        <v>2522396</v>
      </c>
      <c r="B2357" s="6" t="s">
        <v>80</v>
      </c>
      <c r="C2357" s="1" t="s">
        <v>9</v>
      </c>
      <c r="D2357" s="1" t="s">
        <v>9</v>
      </c>
      <c r="E2357" s="1" t="s">
        <v>9</v>
      </c>
      <c r="F2357" s="6"/>
      <c r="G2357" s="6"/>
      <c r="H2357" s="11"/>
      <c r="I235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57" t="str">
        <f>IF(Table1[[#This Row],[Nationality]]="Nigeria",Table1[[#This Row],[EMJM Scholarship]],"Not Applicable")</f>
        <v>Not Applicable</v>
      </c>
    </row>
    <row r="2358" spans="1:10" ht="19.25" hidden="1" customHeight="1" x14ac:dyDescent="0.3">
      <c r="A2358" s="8">
        <v>2522398</v>
      </c>
      <c r="B2358" s="6" t="s">
        <v>80</v>
      </c>
      <c r="C2358" s="1" t="s">
        <v>9</v>
      </c>
      <c r="D2358" s="1" t="s">
        <v>9</v>
      </c>
      <c r="E2358" s="1" t="s">
        <v>9</v>
      </c>
      <c r="F2358" s="6"/>
      <c r="G2358" s="6"/>
      <c r="H2358" s="11"/>
      <c r="I235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58" t="str">
        <f>IF(Table1[[#This Row],[Nationality]]="Nigeria",Table1[[#This Row],[EMJM Scholarship]],"Not Applicable")</f>
        <v>Not Applicable</v>
      </c>
    </row>
    <row r="2359" spans="1:10" ht="19.25" hidden="1" customHeight="1" x14ac:dyDescent="0.3">
      <c r="A2359" s="8">
        <v>2522407</v>
      </c>
      <c r="B2359" s="6" t="s">
        <v>80</v>
      </c>
      <c r="C2359" s="1" t="s">
        <v>9</v>
      </c>
      <c r="D2359" s="1" t="s">
        <v>9</v>
      </c>
      <c r="E2359" s="1" t="s">
        <v>9</v>
      </c>
      <c r="F2359" s="6"/>
      <c r="G2359" s="6"/>
      <c r="H2359" s="11"/>
      <c r="I235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59" t="str">
        <f>IF(Table1[[#This Row],[Nationality]]="Nigeria",Table1[[#This Row],[EMJM Scholarship]],"Not Applicable")</f>
        <v>Not Applicable</v>
      </c>
    </row>
    <row r="2360" spans="1:10" ht="19.25" hidden="1" customHeight="1" x14ac:dyDescent="0.3">
      <c r="A2360" s="8">
        <v>2522408</v>
      </c>
      <c r="B2360" s="6" t="s">
        <v>80</v>
      </c>
      <c r="C2360" s="1" t="s">
        <v>9</v>
      </c>
      <c r="D2360" s="1" t="s">
        <v>9</v>
      </c>
      <c r="E2360" s="1" t="s">
        <v>9</v>
      </c>
      <c r="F2360" s="6"/>
      <c r="G2360" s="6"/>
      <c r="H2360" s="11"/>
      <c r="I236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60" t="str">
        <f>IF(Table1[[#This Row],[Nationality]]="Nigeria",Table1[[#This Row],[EMJM Scholarship]],"Not Applicable")</f>
        <v>Not Applicable</v>
      </c>
    </row>
    <row r="2361" spans="1:10" ht="19.25" hidden="1" customHeight="1" x14ac:dyDescent="0.3">
      <c r="A2361" s="8">
        <v>2522420</v>
      </c>
      <c r="B2361" s="6" t="s">
        <v>80</v>
      </c>
      <c r="C2361" s="1" t="s">
        <v>9</v>
      </c>
      <c r="D2361" s="1" t="s">
        <v>9</v>
      </c>
      <c r="E2361" s="1" t="s">
        <v>9</v>
      </c>
      <c r="F2361" s="6"/>
      <c r="G2361" s="6"/>
      <c r="H2361" s="11"/>
      <c r="I236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61" t="str">
        <f>IF(Table1[[#This Row],[Nationality]]="Nigeria",Table1[[#This Row],[EMJM Scholarship]],"Not Applicable")</f>
        <v>Not Applicable</v>
      </c>
    </row>
    <row r="2362" spans="1:10" ht="19.25" hidden="1" customHeight="1" x14ac:dyDescent="0.3">
      <c r="A2362" s="8">
        <v>2522445</v>
      </c>
      <c r="B2362" s="6" t="s">
        <v>80</v>
      </c>
      <c r="C2362" s="1" t="s">
        <v>9</v>
      </c>
      <c r="D2362" s="1" t="s">
        <v>9</v>
      </c>
      <c r="E2362" s="1" t="s">
        <v>9</v>
      </c>
      <c r="F2362" s="6"/>
      <c r="G2362" s="6"/>
      <c r="H2362" s="11"/>
      <c r="I236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62" t="str">
        <f>IF(Table1[[#This Row],[Nationality]]="Nigeria",Table1[[#This Row],[EMJM Scholarship]],"Not Applicable")</f>
        <v>Not Applicable</v>
      </c>
    </row>
    <row r="2363" spans="1:10" ht="19.25" hidden="1" customHeight="1" x14ac:dyDescent="0.3">
      <c r="A2363" s="8">
        <v>2522452</v>
      </c>
      <c r="B2363" s="6" t="s">
        <v>80</v>
      </c>
      <c r="C2363" s="1" t="s">
        <v>9</v>
      </c>
      <c r="D2363" s="1" t="s">
        <v>9</v>
      </c>
      <c r="E2363" s="1" t="s">
        <v>9</v>
      </c>
      <c r="F2363" s="6"/>
      <c r="G2363" s="6"/>
      <c r="H2363" s="11"/>
      <c r="I236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63" t="str">
        <f>IF(Table1[[#This Row],[Nationality]]="Nigeria",Table1[[#This Row],[EMJM Scholarship]],"Not Applicable")</f>
        <v>Not Applicable</v>
      </c>
    </row>
    <row r="2364" spans="1:10" ht="19.25" hidden="1" customHeight="1" x14ac:dyDescent="0.3">
      <c r="A2364" s="8">
        <v>2522455</v>
      </c>
      <c r="B2364" s="6" t="s">
        <v>80</v>
      </c>
      <c r="C2364" s="1" t="s">
        <v>9</v>
      </c>
      <c r="D2364" s="1" t="s">
        <v>9</v>
      </c>
      <c r="E2364" s="1" t="s">
        <v>9</v>
      </c>
      <c r="F2364" s="6"/>
      <c r="G2364" s="6"/>
      <c r="H2364" s="11"/>
      <c r="I236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64" t="str">
        <f>IF(Table1[[#This Row],[Nationality]]="Nigeria",Table1[[#This Row],[EMJM Scholarship]],"Not Applicable")</f>
        <v>Not Applicable</v>
      </c>
    </row>
    <row r="2365" spans="1:10" ht="19.25" hidden="1" customHeight="1" x14ac:dyDescent="0.3">
      <c r="A2365" s="8">
        <v>2522470</v>
      </c>
      <c r="B2365" s="6" t="s">
        <v>80</v>
      </c>
      <c r="C2365" s="1" t="s">
        <v>9</v>
      </c>
      <c r="D2365" s="1" t="s">
        <v>9</v>
      </c>
      <c r="E2365" s="1" t="s">
        <v>9</v>
      </c>
      <c r="F2365" s="6"/>
      <c r="G2365" s="6"/>
      <c r="H2365" s="11"/>
      <c r="I236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65" t="str">
        <f>IF(Table1[[#This Row],[Nationality]]="Nigeria",Table1[[#This Row],[EMJM Scholarship]],"Not Applicable")</f>
        <v>Not Applicable</v>
      </c>
    </row>
    <row r="2366" spans="1:10" ht="19.25" hidden="1" customHeight="1" x14ac:dyDescent="0.3">
      <c r="A2366" s="8">
        <v>2522473</v>
      </c>
      <c r="B2366" s="6" t="s">
        <v>80</v>
      </c>
      <c r="C2366" s="1" t="s">
        <v>9</v>
      </c>
      <c r="D2366" s="1" t="s">
        <v>9</v>
      </c>
      <c r="E2366" s="1" t="s">
        <v>9</v>
      </c>
      <c r="F2366" s="6"/>
      <c r="G2366" s="6"/>
      <c r="H2366" s="11"/>
      <c r="I236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66" t="str">
        <f>IF(Table1[[#This Row],[Nationality]]="Nigeria",Table1[[#This Row],[EMJM Scholarship]],"Not Applicable")</f>
        <v>Not Applicable</v>
      </c>
    </row>
    <row r="2367" spans="1:10" ht="19.25" hidden="1" customHeight="1" x14ac:dyDescent="0.3">
      <c r="A2367" s="8">
        <v>2522478</v>
      </c>
      <c r="B2367" s="6" t="s">
        <v>80</v>
      </c>
      <c r="C2367" s="1" t="s">
        <v>9</v>
      </c>
      <c r="D2367" s="1" t="s">
        <v>9</v>
      </c>
      <c r="E2367" s="1" t="s">
        <v>9</v>
      </c>
      <c r="F2367" s="6"/>
      <c r="G2367" s="6"/>
      <c r="H2367" s="11"/>
      <c r="I236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67" t="str">
        <f>IF(Table1[[#This Row],[Nationality]]="Nigeria",Table1[[#This Row],[EMJM Scholarship]],"Not Applicable")</f>
        <v>Not Applicable</v>
      </c>
    </row>
    <row r="2368" spans="1:10" ht="19.25" hidden="1" customHeight="1" x14ac:dyDescent="0.3">
      <c r="A2368" s="8">
        <v>2522497</v>
      </c>
      <c r="B2368" s="6" t="s">
        <v>80</v>
      </c>
      <c r="C2368" s="1" t="s">
        <v>9</v>
      </c>
      <c r="D2368" s="1" t="s">
        <v>9</v>
      </c>
      <c r="E2368" s="1" t="s">
        <v>9</v>
      </c>
      <c r="F2368" s="6"/>
      <c r="G2368" s="6"/>
      <c r="H2368" s="11"/>
      <c r="I236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68" t="str">
        <f>IF(Table1[[#This Row],[Nationality]]="Nigeria",Table1[[#This Row],[EMJM Scholarship]],"Not Applicable")</f>
        <v>Not Applicable</v>
      </c>
    </row>
    <row r="2369" spans="1:10" ht="19.25" hidden="1" customHeight="1" x14ac:dyDescent="0.3">
      <c r="A2369" s="8">
        <v>2522502</v>
      </c>
      <c r="B2369" s="6" t="s">
        <v>80</v>
      </c>
      <c r="C2369" s="1" t="s">
        <v>9</v>
      </c>
      <c r="D2369" s="1" t="s">
        <v>9</v>
      </c>
      <c r="E2369" s="1" t="s">
        <v>9</v>
      </c>
      <c r="F2369" s="6"/>
      <c r="G2369" s="6"/>
      <c r="H2369" s="11"/>
      <c r="I236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69" t="str">
        <f>IF(Table1[[#This Row],[Nationality]]="Nigeria",Table1[[#This Row],[EMJM Scholarship]],"Not Applicable")</f>
        <v>Not Applicable</v>
      </c>
    </row>
    <row r="2370" spans="1:10" ht="19.25" hidden="1" customHeight="1" x14ac:dyDescent="0.3">
      <c r="A2370" s="8">
        <v>2522509</v>
      </c>
      <c r="B2370" s="6" t="s">
        <v>80</v>
      </c>
      <c r="C2370" s="1" t="s">
        <v>9</v>
      </c>
      <c r="D2370" s="1" t="s">
        <v>9</v>
      </c>
      <c r="E2370" s="1" t="s">
        <v>9</v>
      </c>
      <c r="F2370" s="6"/>
      <c r="G2370" s="6"/>
      <c r="H2370" s="11"/>
      <c r="I237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70" t="str">
        <f>IF(Table1[[#This Row],[Nationality]]="Nigeria",Table1[[#This Row],[EMJM Scholarship]],"Not Applicable")</f>
        <v>Not Applicable</v>
      </c>
    </row>
    <row r="2371" spans="1:10" ht="19.25" hidden="1" customHeight="1" x14ac:dyDescent="0.3">
      <c r="A2371" s="8">
        <v>2522513</v>
      </c>
      <c r="B2371" s="6" t="s">
        <v>80</v>
      </c>
      <c r="C2371" s="1" t="s">
        <v>9</v>
      </c>
      <c r="D2371" s="1" t="s">
        <v>9</v>
      </c>
      <c r="E2371" s="1" t="s">
        <v>9</v>
      </c>
      <c r="F2371" s="6"/>
      <c r="G2371" s="6"/>
      <c r="H2371" s="11"/>
      <c r="I237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71" t="str">
        <f>IF(Table1[[#This Row],[Nationality]]="Nigeria",Table1[[#This Row],[EMJM Scholarship]],"Not Applicable")</f>
        <v>Not Applicable</v>
      </c>
    </row>
    <row r="2372" spans="1:10" ht="19.25" hidden="1" customHeight="1" x14ac:dyDescent="0.3">
      <c r="A2372" s="8">
        <v>2522532</v>
      </c>
      <c r="B2372" s="6" t="s">
        <v>80</v>
      </c>
      <c r="C2372" s="1" t="s">
        <v>9</v>
      </c>
      <c r="D2372" s="1" t="s">
        <v>9</v>
      </c>
      <c r="E2372" s="1" t="s">
        <v>9</v>
      </c>
      <c r="F2372" s="6"/>
      <c r="G2372" s="6"/>
      <c r="H2372" s="11"/>
      <c r="I237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72" t="str">
        <f>IF(Table1[[#This Row],[Nationality]]="Nigeria",Table1[[#This Row],[EMJM Scholarship]],"Not Applicable")</f>
        <v>Not Applicable</v>
      </c>
    </row>
    <row r="2373" spans="1:10" ht="19.25" hidden="1" customHeight="1" x14ac:dyDescent="0.3">
      <c r="A2373" s="8">
        <v>2522547</v>
      </c>
      <c r="B2373" s="6" t="s">
        <v>80</v>
      </c>
      <c r="C2373" s="1" t="s">
        <v>9</v>
      </c>
      <c r="D2373" s="1" t="s">
        <v>9</v>
      </c>
      <c r="E2373" s="1" t="s">
        <v>9</v>
      </c>
      <c r="F2373" s="6"/>
      <c r="G2373" s="6"/>
      <c r="H2373" s="11"/>
      <c r="I237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73" t="str">
        <f>IF(Table1[[#This Row],[Nationality]]="Nigeria",Table1[[#This Row],[EMJM Scholarship]],"Not Applicable")</f>
        <v>Not Applicable</v>
      </c>
    </row>
    <row r="2374" spans="1:10" ht="19.25" hidden="1" customHeight="1" x14ac:dyDescent="0.3">
      <c r="A2374" s="8">
        <v>2522560</v>
      </c>
      <c r="B2374" s="6" t="s">
        <v>80</v>
      </c>
      <c r="C2374" s="1" t="s">
        <v>9</v>
      </c>
      <c r="D2374" s="1" t="s">
        <v>9</v>
      </c>
      <c r="E2374" s="1" t="s">
        <v>9</v>
      </c>
      <c r="F2374" s="6"/>
      <c r="G2374" s="6"/>
      <c r="H2374" s="11"/>
      <c r="I237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74" t="str">
        <f>IF(Table1[[#This Row],[Nationality]]="Nigeria",Table1[[#This Row],[EMJM Scholarship]],"Not Applicable")</f>
        <v>Not Applicable</v>
      </c>
    </row>
    <row r="2375" spans="1:10" ht="19.25" hidden="1" customHeight="1" x14ac:dyDescent="0.3">
      <c r="A2375" s="8">
        <v>2522570</v>
      </c>
      <c r="B2375" s="6" t="s">
        <v>80</v>
      </c>
      <c r="C2375" s="1" t="s">
        <v>9</v>
      </c>
      <c r="D2375" s="1" t="s">
        <v>9</v>
      </c>
      <c r="E2375" s="1" t="s">
        <v>9</v>
      </c>
      <c r="F2375" s="6"/>
      <c r="G2375" s="6"/>
      <c r="H2375" s="11"/>
      <c r="I237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75" t="str">
        <f>IF(Table1[[#This Row],[Nationality]]="Nigeria",Table1[[#This Row],[EMJM Scholarship]],"Not Applicable")</f>
        <v>Not Applicable</v>
      </c>
    </row>
    <row r="2376" spans="1:10" ht="19.25" hidden="1" customHeight="1" x14ac:dyDescent="0.3">
      <c r="A2376" s="8">
        <v>2522575</v>
      </c>
      <c r="B2376" s="6" t="s">
        <v>80</v>
      </c>
      <c r="C2376" s="1" t="s">
        <v>9</v>
      </c>
      <c r="D2376" s="1" t="s">
        <v>9</v>
      </c>
      <c r="E2376" s="1" t="s">
        <v>9</v>
      </c>
      <c r="F2376" s="6"/>
      <c r="G2376" s="6"/>
      <c r="H2376" s="11"/>
      <c r="I237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76" t="str">
        <f>IF(Table1[[#This Row],[Nationality]]="Nigeria",Table1[[#This Row],[EMJM Scholarship]],"Not Applicable")</f>
        <v>Not Applicable</v>
      </c>
    </row>
    <row r="2377" spans="1:10" ht="19.25" hidden="1" customHeight="1" x14ac:dyDescent="0.3">
      <c r="A2377" s="8">
        <v>2522577</v>
      </c>
      <c r="B2377" s="6" t="s">
        <v>80</v>
      </c>
      <c r="C2377" s="1" t="s">
        <v>9</v>
      </c>
      <c r="D2377" s="1" t="s">
        <v>9</v>
      </c>
      <c r="E2377" s="1" t="s">
        <v>9</v>
      </c>
      <c r="F2377" s="6"/>
      <c r="G2377" s="6"/>
      <c r="H2377" s="11"/>
      <c r="I237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77" t="str">
        <f>IF(Table1[[#This Row],[Nationality]]="Nigeria",Table1[[#This Row],[EMJM Scholarship]],"Not Applicable")</f>
        <v>Not Applicable</v>
      </c>
    </row>
    <row r="2378" spans="1:10" ht="19.25" hidden="1" customHeight="1" x14ac:dyDescent="0.3">
      <c r="A2378" s="8">
        <v>2522578</v>
      </c>
      <c r="B2378" s="6" t="s">
        <v>80</v>
      </c>
      <c r="C2378" s="1" t="s">
        <v>9</v>
      </c>
      <c r="D2378" s="1" t="s">
        <v>9</v>
      </c>
      <c r="E2378" s="1" t="s">
        <v>9</v>
      </c>
      <c r="F2378" s="6"/>
      <c r="G2378" s="6"/>
      <c r="H2378" s="11"/>
      <c r="I237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78" t="str">
        <f>IF(Table1[[#This Row],[Nationality]]="Nigeria",Table1[[#This Row],[EMJM Scholarship]],"Not Applicable")</f>
        <v>Not Applicable</v>
      </c>
    </row>
    <row r="2379" spans="1:10" ht="19.25" hidden="1" customHeight="1" x14ac:dyDescent="0.3">
      <c r="A2379" s="8">
        <v>2522587</v>
      </c>
      <c r="B2379" s="6" t="s">
        <v>80</v>
      </c>
      <c r="C2379" s="1" t="s">
        <v>9</v>
      </c>
      <c r="D2379" s="1" t="s">
        <v>9</v>
      </c>
      <c r="E2379" s="1" t="s">
        <v>9</v>
      </c>
      <c r="F2379" s="6"/>
      <c r="G2379" s="6"/>
      <c r="H2379" s="11"/>
      <c r="I237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79" t="str">
        <f>IF(Table1[[#This Row],[Nationality]]="Nigeria",Table1[[#This Row],[EMJM Scholarship]],"Not Applicable")</f>
        <v>Not Applicable</v>
      </c>
    </row>
    <row r="2380" spans="1:10" ht="19.25" hidden="1" customHeight="1" x14ac:dyDescent="0.3">
      <c r="A2380" s="8">
        <v>2522596</v>
      </c>
      <c r="B2380" s="6" t="s">
        <v>80</v>
      </c>
      <c r="C2380" s="1" t="s">
        <v>9</v>
      </c>
      <c r="D2380" s="1" t="s">
        <v>9</v>
      </c>
      <c r="E2380" s="1" t="s">
        <v>9</v>
      </c>
      <c r="F2380" s="6"/>
      <c r="G2380" s="6"/>
      <c r="H2380" s="11"/>
      <c r="I238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80" t="str">
        <f>IF(Table1[[#This Row],[Nationality]]="Nigeria",Table1[[#This Row],[EMJM Scholarship]],"Not Applicable")</f>
        <v>Not Applicable</v>
      </c>
    </row>
    <row r="2381" spans="1:10" ht="19.25" hidden="1" customHeight="1" x14ac:dyDescent="0.3">
      <c r="A2381" s="8">
        <v>2522602</v>
      </c>
      <c r="B2381" s="6" t="s">
        <v>80</v>
      </c>
      <c r="C2381" s="1" t="s">
        <v>9</v>
      </c>
      <c r="D2381" s="1" t="s">
        <v>9</v>
      </c>
      <c r="E2381" s="1" t="s">
        <v>9</v>
      </c>
      <c r="F2381" s="6"/>
      <c r="G2381" s="6"/>
      <c r="H2381" s="11"/>
      <c r="I238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81" t="str">
        <f>IF(Table1[[#This Row],[Nationality]]="Nigeria",Table1[[#This Row],[EMJM Scholarship]],"Not Applicable")</f>
        <v>Not Applicable</v>
      </c>
    </row>
    <row r="2382" spans="1:10" ht="19.25" hidden="1" customHeight="1" x14ac:dyDescent="0.3">
      <c r="A2382" s="8">
        <v>2522603</v>
      </c>
      <c r="B2382" s="6" t="s">
        <v>80</v>
      </c>
      <c r="C2382" s="1" t="s">
        <v>9</v>
      </c>
      <c r="D2382" s="1" t="s">
        <v>9</v>
      </c>
      <c r="E2382" s="1" t="s">
        <v>9</v>
      </c>
      <c r="F2382" s="6"/>
      <c r="G2382" s="6"/>
      <c r="H2382" s="11"/>
      <c r="I238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82" t="str">
        <f>IF(Table1[[#This Row],[Nationality]]="Nigeria",Table1[[#This Row],[EMJM Scholarship]],"Not Applicable")</f>
        <v>Not Applicable</v>
      </c>
    </row>
    <row r="2383" spans="1:10" ht="19.25" hidden="1" customHeight="1" x14ac:dyDescent="0.3">
      <c r="A2383" s="8">
        <v>2522610</v>
      </c>
      <c r="B2383" s="6" t="s">
        <v>80</v>
      </c>
      <c r="C2383" s="1" t="s">
        <v>9</v>
      </c>
      <c r="D2383" s="1" t="s">
        <v>9</v>
      </c>
      <c r="E2383" s="1" t="s">
        <v>9</v>
      </c>
      <c r="F2383" s="6"/>
      <c r="G2383" s="6"/>
      <c r="H2383" s="11"/>
      <c r="I238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83" t="str">
        <f>IF(Table1[[#This Row],[Nationality]]="Nigeria",Table1[[#This Row],[EMJM Scholarship]],"Not Applicable")</f>
        <v>Not Applicable</v>
      </c>
    </row>
    <row r="2384" spans="1:10" ht="19.25" hidden="1" customHeight="1" x14ac:dyDescent="0.3">
      <c r="A2384" s="8">
        <v>2522615</v>
      </c>
      <c r="B2384" s="6" t="s">
        <v>80</v>
      </c>
      <c r="C2384" s="1" t="s">
        <v>9</v>
      </c>
      <c r="D2384" s="1" t="s">
        <v>9</v>
      </c>
      <c r="E2384" s="1" t="s">
        <v>9</v>
      </c>
      <c r="F2384" s="6"/>
      <c r="G2384" s="6"/>
      <c r="H2384" s="11"/>
      <c r="I238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84" t="str">
        <f>IF(Table1[[#This Row],[Nationality]]="Nigeria",Table1[[#This Row],[EMJM Scholarship]],"Not Applicable")</f>
        <v>Not Applicable</v>
      </c>
    </row>
    <row r="2385" spans="1:10" ht="19.25" hidden="1" customHeight="1" x14ac:dyDescent="0.3">
      <c r="A2385" s="8">
        <v>2522624</v>
      </c>
      <c r="B2385" s="6" t="s">
        <v>80</v>
      </c>
      <c r="C2385" s="1" t="s">
        <v>9</v>
      </c>
      <c r="D2385" s="1" t="s">
        <v>9</v>
      </c>
      <c r="E2385" s="1" t="s">
        <v>9</v>
      </c>
      <c r="F2385" s="6"/>
      <c r="G2385" s="6"/>
      <c r="H2385" s="11"/>
      <c r="I238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85" t="str">
        <f>IF(Table1[[#This Row],[Nationality]]="Nigeria",Table1[[#This Row],[EMJM Scholarship]],"Not Applicable")</f>
        <v>Not Applicable</v>
      </c>
    </row>
    <row r="2386" spans="1:10" ht="19.25" hidden="1" customHeight="1" x14ac:dyDescent="0.3">
      <c r="A2386" s="8">
        <v>2522636</v>
      </c>
      <c r="B2386" s="6" t="s">
        <v>80</v>
      </c>
      <c r="C2386" s="1" t="s">
        <v>9</v>
      </c>
      <c r="D2386" s="1" t="s">
        <v>9</v>
      </c>
      <c r="E2386" s="1" t="s">
        <v>9</v>
      </c>
      <c r="F2386" s="6"/>
      <c r="G2386" s="6"/>
      <c r="H2386" s="11"/>
      <c r="I238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86" t="str">
        <f>IF(Table1[[#This Row],[Nationality]]="Nigeria",Table1[[#This Row],[EMJM Scholarship]],"Not Applicable")</f>
        <v>Not Applicable</v>
      </c>
    </row>
    <row r="2387" spans="1:10" ht="19.25" hidden="1" customHeight="1" x14ac:dyDescent="0.3">
      <c r="A2387" s="8">
        <v>2522667</v>
      </c>
      <c r="B2387" s="6" t="s">
        <v>80</v>
      </c>
      <c r="C2387" s="1" t="s">
        <v>9</v>
      </c>
      <c r="D2387" s="1" t="s">
        <v>9</v>
      </c>
      <c r="E2387" s="1" t="s">
        <v>9</v>
      </c>
      <c r="F2387" s="6"/>
      <c r="G2387" s="6"/>
      <c r="H2387" s="11"/>
      <c r="I238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87" t="str">
        <f>IF(Table1[[#This Row],[Nationality]]="Nigeria",Table1[[#This Row],[EMJM Scholarship]],"Not Applicable")</f>
        <v>Not Applicable</v>
      </c>
    </row>
    <row r="2388" spans="1:10" ht="19.25" hidden="1" customHeight="1" x14ac:dyDescent="0.3">
      <c r="A2388" s="8">
        <v>2522673</v>
      </c>
      <c r="B2388" s="6" t="s">
        <v>80</v>
      </c>
      <c r="C2388" s="1" t="s">
        <v>9</v>
      </c>
      <c r="D2388" s="1" t="s">
        <v>9</v>
      </c>
      <c r="E2388" s="1" t="s">
        <v>9</v>
      </c>
      <c r="F2388" s="6"/>
      <c r="G2388" s="6"/>
      <c r="H2388" s="11"/>
      <c r="I238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88" t="str">
        <f>IF(Table1[[#This Row],[Nationality]]="Nigeria",Table1[[#This Row],[EMJM Scholarship]],"Not Applicable")</f>
        <v>Not Applicable</v>
      </c>
    </row>
    <row r="2389" spans="1:10" ht="19.25" hidden="1" customHeight="1" x14ac:dyDescent="0.3">
      <c r="A2389" s="8">
        <v>2522674</v>
      </c>
      <c r="B2389" s="6" t="s">
        <v>80</v>
      </c>
      <c r="C2389" s="1" t="s">
        <v>9</v>
      </c>
      <c r="D2389" s="1" t="s">
        <v>9</v>
      </c>
      <c r="E2389" s="1" t="s">
        <v>9</v>
      </c>
      <c r="F2389" s="6"/>
      <c r="G2389" s="6"/>
      <c r="H2389" s="11"/>
      <c r="I238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89" t="str">
        <f>IF(Table1[[#This Row],[Nationality]]="Nigeria",Table1[[#This Row],[EMJM Scholarship]],"Not Applicable")</f>
        <v>Not Applicable</v>
      </c>
    </row>
    <row r="2390" spans="1:10" ht="19.25" hidden="1" customHeight="1" x14ac:dyDescent="0.3">
      <c r="A2390" s="8">
        <v>2522707</v>
      </c>
      <c r="B2390" s="6" t="s">
        <v>80</v>
      </c>
      <c r="C2390" s="1" t="s">
        <v>9</v>
      </c>
      <c r="D2390" s="1" t="s">
        <v>9</v>
      </c>
      <c r="E2390" s="1" t="s">
        <v>9</v>
      </c>
      <c r="F2390" s="6"/>
      <c r="G2390" s="6"/>
      <c r="H2390" s="11"/>
      <c r="I239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90" t="str">
        <f>IF(Table1[[#This Row],[Nationality]]="Nigeria",Table1[[#This Row],[EMJM Scholarship]],"Not Applicable")</f>
        <v>Not Applicable</v>
      </c>
    </row>
    <row r="2391" spans="1:10" ht="19.25" hidden="1" customHeight="1" x14ac:dyDescent="0.3">
      <c r="A2391" s="8">
        <v>2522715</v>
      </c>
      <c r="B2391" s="6" t="s">
        <v>80</v>
      </c>
      <c r="C2391" s="1" t="s">
        <v>9</v>
      </c>
      <c r="D2391" s="1" t="s">
        <v>9</v>
      </c>
      <c r="E2391" s="1" t="s">
        <v>9</v>
      </c>
      <c r="F2391" s="6"/>
      <c r="G2391" s="6"/>
      <c r="H2391" s="11"/>
      <c r="I239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91" t="str">
        <f>IF(Table1[[#This Row],[Nationality]]="Nigeria",Table1[[#This Row],[EMJM Scholarship]],"Not Applicable")</f>
        <v>Not Applicable</v>
      </c>
    </row>
    <row r="2392" spans="1:10" ht="19.25" hidden="1" customHeight="1" x14ac:dyDescent="0.3">
      <c r="A2392" s="8">
        <v>2522717</v>
      </c>
      <c r="B2392" s="6" t="s">
        <v>80</v>
      </c>
      <c r="C2392" s="1" t="s">
        <v>9</v>
      </c>
      <c r="D2392" s="1" t="s">
        <v>9</v>
      </c>
      <c r="E2392" s="1" t="s">
        <v>9</v>
      </c>
      <c r="F2392" s="6"/>
      <c r="G2392" s="6"/>
      <c r="H2392" s="11"/>
      <c r="I239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92" t="str">
        <f>IF(Table1[[#This Row],[Nationality]]="Nigeria",Table1[[#This Row],[EMJM Scholarship]],"Not Applicable")</f>
        <v>Not Applicable</v>
      </c>
    </row>
    <row r="2393" spans="1:10" ht="19.25" hidden="1" customHeight="1" x14ac:dyDescent="0.3">
      <c r="A2393" s="8">
        <v>2522724</v>
      </c>
      <c r="B2393" s="6" t="s">
        <v>80</v>
      </c>
      <c r="C2393" s="1" t="s">
        <v>9</v>
      </c>
      <c r="D2393" s="1" t="s">
        <v>9</v>
      </c>
      <c r="E2393" s="1" t="s">
        <v>9</v>
      </c>
      <c r="F2393" s="6"/>
      <c r="G2393" s="6"/>
      <c r="H2393" s="11"/>
      <c r="I239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93" t="str">
        <f>IF(Table1[[#This Row],[Nationality]]="Nigeria",Table1[[#This Row],[EMJM Scholarship]],"Not Applicable")</f>
        <v>Not Applicable</v>
      </c>
    </row>
    <row r="2394" spans="1:10" ht="19.25" hidden="1" customHeight="1" x14ac:dyDescent="0.3">
      <c r="A2394" s="8">
        <v>2522727</v>
      </c>
      <c r="B2394" s="6" t="s">
        <v>80</v>
      </c>
      <c r="C2394" s="1" t="s">
        <v>9</v>
      </c>
      <c r="D2394" s="1" t="s">
        <v>9</v>
      </c>
      <c r="E2394" s="1" t="s">
        <v>9</v>
      </c>
      <c r="F2394" s="6"/>
      <c r="G2394" s="6"/>
      <c r="H2394" s="11"/>
      <c r="I239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94" t="str">
        <f>IF(Table1[[#This Row],[Nationality]]="Nigeria",Table1[[#This Row],[EMJM Scholarship]],"Not Applicable")</f>
        <v>Not Applicable</v>
      </c>
    </row>
    <row r="2395" spans="1:10" ht="19.25" hidden="1" customHeight="1" x14ac:dyDescent="0.3">
      <c r="A2395" s="8">
        <v>2522732</v>
      </c>
      <c r="B2395" s="6" t="s">
        <v>80</v>
      </c>
      <c r="C2395" s="1" t="s">
        <v>9</v>
      </c>
      <c r="D2395" s="1" t="s">
        <v>9</v>
      </c>
      <c r="E2395" s="1" t="s">
        <v>9</v>
      </c>
      <c r="F2395" s="6"/>
      <c r="G2395" s="6"/>
      <c r="H2395" s="11"/>
      <c r="I239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95" t="str">
        <f>IF(Table1[[#This Row],[Nationality]]="Nigeria",Table1[[#This Row],[EMJM Scholarship]],"Not Applicable")</f>
        <v>Not Applicable</v>
      </c>
    </row>
    <row r="2396" spans="1:10" ht="19.25" hidden="1" customHeight="1" x14ac:dyDescent="0.3">
      <c r="A2396" s="8">
        <v>2522737</v>
      </c>
      <c r="B2396" s="6" t="s">
        <v>80</v>
      </c>
      <c r="C2396" s="1" t="s">
        <v>9</v>
      </c>
      <c r="D2396" s="1" t="s">
        <v>9</v>
      </c>
      <c r="E2396" s="1" t="s">
        <v>9</v>
      </c>
      <c r="F2396" s="6"/>
      <c r="G2396" s="6"/>
      <c r="H2396" s="11"/>
      <c r="I239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96" t="str">
        <f>IF(Table1[[#This Row],[Nationality]]="Nigeria",Table1[[#This Row],[EMJM Scholarship]],"Not Applicable")</f>
        <v>Not Applicable</v>
      </c>
    </row>
    <row r="2397" spans="1:10" ht="19.25" hidden="1" customHeight="1" x14ac:dyDescent="0.3">
      <c r="A2397" s="8">
        <v>2522758</v>
      </c>
      <c r="B2397" s="6" t="s">
        <v>80</v>
      </c>
      <c r="C2397" s="1" t="s">
        <v>9</v>
      </c>
      <c r="D2397" s="1" t="s">
        <v>9</v>
      </c>
      <c r="E2397" s="1" t="s">
        <v>9</v>
      </c>
      <c r="F2397" s="6"/>
      <c r="G2397" s="6"/>
      <c r="H2397" s="11"/>
      <c r="I239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97" t="str">
        <f>IF(Table1[[#This Row],[Nationality]]="Nigeria",Table1[[#This Row],[EMJM Scholarship]],"Not Applicable")</f>
        <v>Not Applicable</v>
      </c>
    </row>
    <row r="2398" spans="1:10" ht="19.25" hidden="1" customHeight="1" x14ac:dyDescent="0.3">
      <c r="A2398" s="8">
        <v>2522776</v>
      </c>
      <c r="B2398" s="6" t="s">
        <v>80</v>
      </c>
      <c r="C2398" s="1" t="s">
        <v>9</v>
      </c>
      <c r="D2398" s="1" t="s">
        <v>9</v>
      </c>
      <c r="E2398" s="1" t="s">
        <v>9</v>
      </c>
      <c r="F2398" s="6"/>
      <c r="G2398" s="6"/>
      <c r="H2398" s="11"/>
      <c r="I239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98" t="str">
        <f>IF(Table1[[#This Row],[Nationality]]="Nigeria",Table1[[#This Row],[EMJM Scholarship]],"Not Applicable")</f>
        <v>Not Applicable</v>
      </c>
    </row>
    <row r="2399" spans="1:10" ht="19.25" hidden="1" customHeight="1" x14ac:dyDescent="0.3">
      <c r="A2399" s="8">
        <v>2522777</v>
      </c>
      <c r="B2399" s="6" t="s">
        <v>80</v>
      </c>
      <c r="C2399" s="1" t="s">
        <v>9</v>
      </c>
      <c r="D2399" s="1" t="s">
        <v>9</v>
      </c>
      <c r="E2399" s="1" t="s">
        <v>9</v>
      </c>
      <c r="F2399" s="6"/>
      <c r="G2399" s="6"/>
      <c r="H2399" s="11"/>
      <c r="I239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399" t="str">
        <f>IF(Table1[[#This Row],[Nationality]]="Nigeria",Table1[[#This Row],[EMJM Scholarship]],"Not Applicable")</f>
        <v>Not Applicable</v>
      </c>
    </row>
    <row r="2400" spans="1:10" ht="19.25" hidden="1" customHeight="1" x14ac:dyDescent="0.3">
      <c r="A2400" s="8">
        <v>2522780</v>
      </c>
      <c r="B2400" s="6" t="s">
        <v>80</v>
      </c>
      <c r="C2400" s="1" t="s">
        <v>9</v>
      </c>
      <c r="D2400" s="1" t="s">
        <v>9</v>
      </c>
      <c r="E2400" s="1" t="s">
        <v>9</v>
      </c>
      <c r="F2400" s="6"/>
      <c r="G2400" s="6"/>
      <c r="H2400" s="11"/>
      <c r="I240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00" t="str">
        <f>IF(Table1[[#This Row],[Nationality]]="Nigeria",Table1[[#This Row],[EMJM Scholarship]],"Not Applicable")</f>
        <v>Not Applicable</v>
      </c>
    </row>
    <row r="2401" spans="1:10" ht="19.25" hidden="1" customHeight="1" x14ac:dyDescent="0.3">
      <c r="A2401" s="8">
        <v>2522784</v>
      </c>
      <c r="B2401" s="6" t="s">
        <v>80</v>
      </c>
      <c r="C2401" s="1" t="s">
        <v>9</v>
      </c>
      <c r="D2401" s="1" t="s">
        <v>9</v>
      </c>
      <c r="E2401" s="1" t="s">
        <v>9</v>
      </c>
      <c r="F2401" s="6"/>
      <c r="G2401" s="6"/>
      <c r="H2401" s="11"/>
      <c r="I240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01" t="str">
        <f>IF(Table1[[#This Row],[Nationality]]="Nigeria",Table1[[#This Row],[EMJM Scholarship]],"Not Applicable")</f>
        <v>Not Applicable</v>
      </c>
    </row>
    <row r="2402" spans="1:10" ht="19.25" hidden="1" customHeight="1" x14ac:dyDescent="0.3">
      <c r="A2402" s="8">
        <v>2522800</v>
      </c>
      <c r="B2402" s="6" t="s">
        <v>80</v>
      </c>
      <c r="C2402" s="1" t="s">
        <v>9</v>
      </c>
      <c r="D2402" s="1" t="s">
        <v>9</v>
      </c>
      <c r="E2402" s="1" t="s">
        <v>9</v>
      </c>
      <c r="F2402" s="6"/>
      <c r="G2402" s="6"/>
      <c r="H2402" s="11"/>
      <c r="I240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02" t="str">
        <f>IF(Table1[[#This Row],[Nationality]]="Nigeria",Table1[[#This Row],[EMJM Scholarship]],"Not Applicable")</f>
        <v>Not Applicable</v>
      </c>
    </row>
    <row r="2403" spans="1:10" ht="19.25" hidden="1" customHeight="1" x14ac:dyDescent="0.3">
      <c r="A2403" s="8">
        <v>2522818</v>
      </c>
      <c r="B2403" s="6" t="s">
        <v>80</v>
      </c>
      <c r="C2403" s="1" t="s">
        <v>9</v>
      </c>
      <c r="D2403" s="1" t="s">
        <v>9</v>
      </c>
      <c r="E2403" s="1" t="s">
        <v>9</v>
      </c>
      <c r="F2403" s="6"/>
      <c r="G2403" s="6"/>
      <c r="H2403" s="11"/>
      <c r="I240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03" t="str">
        <f>IF(Table1[[#This Row],[Nationality]]="Nigeria",Table1[[#This Row],[EMJM Scholarship]],"Not Applicable")</f>
        <v>Not Applicable</v>
      </c>
    </row>
    <row r="2404" spans="1:10" ht="19.25" hidden="1" customHeight="1" x14ac:dyDescent="0.3">
      <c r="A2404" s="8">
        <v>2522870</v>
      </c>
      <c r="B2404" s="6" t="s">
        <v>80</v>
      </c>
      <c r="C2404" s="1" t="s">
        <v>9</v>
      </c>
      <c r="D2404" s="1" t="s">
        <v>9</v>
      </c>
      <c r="E2404" s="1" t="s">
        <v>9</v>
      </c>
      <c r="F2404" s="6"/>
      <c r="G2404" s="6"/>
      <c r="H2404" s="11"/>
      <c r="I240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04" t="str">
        <f>IF(Table1[[#This Row],[Nationality]]="Nigeria",Table1[[#This Row],[EMJM Scholarship]],"Not Applicable")</f>
        <v>Not Applicable</v>
      </c>
    </row>
    <row r="2405" spans="1:10" ht="19.25" hidden="1" customHeight="1" x14ac:dyDescent="0.3">
      <c r="A2405" s="8">
        <v>2522894</v>
      </c>
      <c r="B2405" s="6" t="s">
        <v>80</v>
      </c>
      <c r="C2405" s="1" t="s">
        <v>9</v>
      </c>
      <c r="D2405" s="1" t="s">
        <v>9</v>
      </c>
      <c r="E2405" s="1" t="s">
        <v>9</v>
      </c>
      <c r="F2405" s="6"/>
      <c r="G2405" s="6"/>
      <c r="H2405" s="11"/>
      <c r="I240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05" t="str">
        <f>IF(Table1[[#This Row],[Nationality]]="Nigeria",Table1[[#This Row],[EMJM Scholarship]],"Not Applicable")</f>
        <v>Not Applicable</v>
      </c>
    </row>
    <row r="2406" spans="1:10" ht="19.25" hidden="1" customHeight="1" x14ac:dyDescent="0.3">
      <c r="A2406" s="8">
        <v>2522913</v>
      </c>
      <c r="B2406" s="6" t="s">
        <v>80</v>
      </c>
      <c r="C2406" s="1" t="s">
        <v>9</v>
      </c>
      <c r="D2406" s="1" t="s">
        <v>9</v>
      </c>
      <c r="E2406" s="1" t="s">
        <v>9</v>
      </c>
      <c r="F2406" s="6"/>
      <c r="G2406" s="6"/>
      <c r="H2406" s="11"/>
      <c r="I240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06" t="str">
        <f>IF(Table1[[#This Row],[Nationality]]="Nigeria",Table1[[#This Row],[EMJM Scholarship]],"Not Applicable")</f>
        <v>Not Applicable</v>
      </c>
    </row>
    <row r="2407" spans="1:10" ht="19.25" hidden="1" customHeight="1" x14ac:dyDescent="0.3">
      <c r="A2407" s="8">
        <v>2522917</v>
      </c>
      <c r="B2407" s="6" t="s">
        <v>80</v>
      </c>
      <c r="C2407" s="1" t="s">
        <v>9</v>
      </c>
      <c r="D2407" s="1" t="s">
        <v>9</v>
      </c>
      <c r="E2407" s="1" t="s">
        <v>9</v>
      </c>
      <c r="F2407" s="6"/>
      <c r="G2407" s="6"/>
      <c r="H2407" s="11"/>
      <c r="I240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07" t="str">
        <f>IF(Table1[[#This Row],[Nationality]]="Nigeria",Table1[[#This Row],[EMJM Scholarship]],"Not Applicable")</f>
        <v>Not Applicable</v>
      </c>
    </row>
    <row r="2408" spans="1:10" ht="19.25" hidden="1" customHeight="1" x14ac:dyDescent="0.3">
      <c r="A2408" s="8">
        <v>2522947</v>
      </c>
      <c r="B2408" s="6" t="s">
        <v>80</v>
      </c>
      <c r="C2408" s="1" t="s">
        <v>9</v>
      </c>
      <c r="D2408" s="1" t="s">
        <v>9</v>
      </c>
      <c r="E2408" s="1" t="s">
        <v>9</v>
      </c>
      <c r="F2408" s="6"/>
      <c r="G2408" s="6"/>
      <c r="H2408" s="11"/>
      <c r="I240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08" t="str">
        <f>IF(Table1[[#This Row],[Nationality]]="Nigeria",Table1[[#This Row],[EMJM Scholarship]],"Not Applicable")</f>
        <v>Not Applicable</v>
      </c>
    </row>
    <row r="2409" spans="1:10" ht="19.25" hidden="1" customHeight="1" x14ac:dyDescent="0.3">
      <c r="A2409" s="8">
        <v>2522951</v>
      </c>
      <c r="B2409" s="6" t="s">
        <v>80</v>
      </c>
      <c r="C2409" s="1" t="s">
        <v>9</v>
      </c>
      <c r="D2409" s="1" t="s">
        <v>9</v>
      </c>
      <c r="E2409" s="1" t="s">
        <v>9</v>
      </c>
      <c r="F2409" s="6"/>
      <c r="G2409" s="6"/>
      <c r="H2409" s="11"/>
      <c r="I240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09" t="str">
        <f>IF(Table1[[#This Row],[Nationality]]="Nigeria",Table1[[#This Row],[EMJM Scholarship]],"Not Applicable")</f>
        <v>Not Applicable</v>
      </c>
    </row>
    <row r="2410" spans="1:10" ht="19.25" hidden="1" customHeight="1" x14ac:dyDescent="0.3">
      <c r="A2410" s="8">
        <v>2522952</v>
      </c>
      <c r="B2410" s="6" t="s">
        <v>80</v>
      </c>
      <c r="C2410" s="1" t="s">
        <v>9</v>
      </c>
      <c r="D2410" s="1" t="s">
        <v>9</v>
      </c>
      <c r="E2410" s="1" t="s">
        <v>9</v>
      </c>
      <c r="F2410" s="6"/>
      <c r="G2410" s="6"/>
      <c r="H2410" s="11"/>
      <c r="I241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10" t="str">
        <f>IF(Table1[[#This Row],[Nationality]]="Nigeria",Table1[[#This Row],[EMJM Scholarship]],"Not Applicable")</f>
        <v>Not Applicable</v>
      </c>
    </row>
    <row r="2411" spans="1:10" ht="19.25" hidden="1" customHeight="1" x14ac:dyDescent="0.3">
      <c r="A2411" s="8">
        <v>2522977</v>
      </c>
      <c r="B2411" s="6" t="s">
        <v>80</v>
      </c>
      <c r="C2411" s="1" t="s">
        <v>9</v>
      </c>
      <c r="D2411" s="1" t="s">
        <v>9</v>
      </c>
      <c r="E2411" s="1" t="s">
        <v>9</v>
      </c>
      <c r="F2411" s="6"/>
      <c r="G2411" s="6"/>
      <c r="H2411" s="11"/>
      <c r="I241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11" t="str">
        <f>IF(Table1[[#This Row],[Nationality]]="Nigeria",Table1[[#This Row],[EMJM Scholarship]],"Not Applicable")</f>
        <v>Not Applicable</v>
      </c>
    </row>
    <row r="2412" spans="1:10" ht="19.25" hidden="1" customHeight="1" x14ac:dyDescent="0.3">
      <c r="A2412" s="8">
        <v>2522981</v>
      </c>
      <c r="B2412" s="6" t="s">
        <v>80</v>
      </c>
      <c r="C2412" s="1" t="s">
        <v>9</v>
      </c>
      <c r="D2412" s="1" t="s">
        <v>9</v>
      </c>
      <c r="E2412" s="1" t="s">
        <v>9</v>
      </c>
      <c r="F2412" s="6"/>
      <c r="G2412" s="6"/>
      <c r="H2412" s="11"/>
      <c r="I241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12" t="str">
        <f>IF(Table1[[#This Row],[Nationality]]="Nigeria",Table1[[#This Row],[EMJM Scholarship]],"Not Applicable")</f>
        <v>Not Applicable</v>
      </c>
    </row>
    <row r="2413" spans="1:10" ht="19.25" hidden="1" customHeight="1" x14ac:dyDescent="0.3">
      <c r="A2413" s="8">
        <v>2522989</v>
      </c>
      <c r="B2413" s="6" t="s">
        <v>80</v>
      </c>
      <c r="C2413" s="1" t="s">
        <v>9</v>
      </c>
      <c r="D2413" s="1" t="s">
        <v>9</v>
      </c>
      <c r="E2413" s="1" t="s">
        <v>9</v>
      </c>
      <c r="F2413" s="6"/>
      <c r="G2413" s="6"/>
      <c r="H2413" s="11"/>
      <c r="I241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13" t="str">
        <f>IF(Table1[[#This Row],[Nationality]]="Nigeria",Table1[[#This Row],[EMJM Scholarship]],"Not Applicable")</f>
        <v>Not Applicable</v>
      </c>
    </row>
    <row r="2414" spans="1:10" ht="19.25" hidden="1" customHeight="1" x14ac:dyDescent="0.3">
      <c r="A2414" s="8">
        <v>2522991</v>
      </c>
      <c r="B2414" s="6" t="s">
        <v>80</v>
      </c>
      <c r="C2414" s="1" t="s">
        <v>9</v>
      </c>
      <c r="D2414" s="1" t="s">
        <v>9</v>
      </c>
      <c r="E2414" s="1" t="s">
        <v>9</v>
      </c>
      <c r="F2414" s="6"/>
      <c r="G2414" s="6"/>
      <c r="H2414" s="11"/>
      <c r="I241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14" t="str">
        <f>IF(Table1[[#This Row],[Nationality]]="Nigeria",Table1[[#This Row],[EMJM Scholarship]],"Not Applicable")</f>
        <v>Not Applicable</v>
      </c>
    </row>
    <row r="2415" spans="1:10" ht="19.25" hidden="1" customHeight="1" x14ac:dyDescent="0.3">
      <c r="A2415" s="8">
        <v>2522992</v>
      </c>
      <c r="B2415" s="6" t="s">
        <v>80</v>
      </c>
      <c r="C2415" s="1" t="s">
        <v>9</v>
      </c>
      <c r="D2415" s="1" t="s">
        <v>9</v>
      </c>
      <c r="E2415" s="1" t="s">
        <v>9</v>
      </c>
      <c r="F2415" s="6"/>
      <c r="G2415" s="6"/>
      <c r="H2415" s="11"/>
      <c r="I241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15" t="str">
        <f>IF(Table1[[#This Row],[Nationality]]="Nigeria",Table1[[#This Row],[EMJM Scholarship]],"Not Applicable")</f>
        <v>Not Applicable</v>
      </c>
    </row>
    <row r="2416" spans="1:10" ht="19.25" hidden="1" customHeight="1" x14ac:dyDescent="0.3">
      <c r="A2416" s="8">
        <v>2522994</v>
      </c>
      <c r="B2416" s="6" t="s">
        <v>80</v>
      </c>
      <c r="C2416" s="1" t="s">
        <v>9</v>
      </c>
      <c r="D2416" s="1" t="s">
        <v>9</v>
      </c>
      <c r="E2416" s="1" t="s">
        <v>9</v>
      </c>
      <c r="F2416" s="6"/>
      <c r="G2416" s="6"/>
      <c r="H2416" s="11"/>
      <c r="I241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16" t="str">
        <f>IF(Table1[[#This Row],[Nationality]]="Nigeria",Table1[[#This Row],[EMJM Scholarship]],"Not Applicable")</f>
        <v>Not Applicable</v>
      </c>
    </row>
    <row r="2417" spans="1:10" ht="19.25" hidden="1" customHeight="1" x14ac:dyDescent="0.3">
      <c r="A2417" s="8">
        <v>2522995</v>
      </c>
      <c r="B2417" s="6" t="s">
        <v>80</v>
      </c>
      <c r="C2417" s="1" t="s">
        <v>9</v>
      </c>
      <c r="D2417" s="1" t="s">
        <v>9</v>
      </c>
      <c r="E2417" s="1" t="s">
        <v>9</v>
      </c>
      <c r="F2417" s="6"/>
      <c r="G2417" s="6"/>
      <c r="H2417" s="11"/>
      <c r="I241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17" t="str">
        <f>IF(Table1[[#This Row],[Nationality]]="Nigeria",Table1[[#This Row],[EMJM Scholarship]],"Not Applicable")</f>
        <v>Not Applicable</v>
      </c>
    </row>
    <row r="2418" spans="1:10" ht="19.25" hidden="1" customHeight="1" x14ac:dyDescent="0.3">
      <c r="A2418" s="8">
        <v>2522996</v>
      </c>
      <c r="B2418" s="6" t="s">
        <v>80</v>
      </c>
      <c r="C2418" s="1" t="s">
        <v>9</v>
      </c>
      <c r="D2418" s="1" t="s">
        <v>9</v>
      </c>
      <c r="E2418" s="1" t="s">
        <v>9</v>
      </c>
      <c r="F2418" s="6"/>
      <c r="G2418" s="6"/>
      <c r="H2418" s="11"/>
      <c r="I241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18" t="str">
        <f>IF(Table1[[#This Row],[Nationality]]="Nigeria",Table1[[#This Row],[EMJM Scholarship]],"Not Applicable")</f>
        <v>Not Applicable</v>
      </c>
    </row>
    <row r="2419" spans="1:10" ht="19.25" hidden="1" customHeight="1" x14ac:dyDescent="0.3">
      <c r="A2419" s="8">
        <v>2523005</v>
      </c>
      <c r="B2419" s="6" t="s">
        <v>80</v>
      </c>
      <c r="C2419" s="1" t="s">
        <v>9</v>
      </c>
      <c r="D2419" s="1" t="s">
        <v>9</v>
      </c>
      <c r="E2419" s="1" t="s">
        <v>9</v>
      </c>
      <c r="F2419" s="6"/>
      <c r="G2419" s="6"/>
      <c r="H2419" s="11"/>
      <c r="I241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19" t="str">
        <f>IF(Table1[[#This Row],[Nationality]]="Nigeria",Table1[[#This Row],[EMJM Scholarship]],"Not Applicable")</f>
        <v>Not Applicable</v>
      </c>
    </row>
    <row r="2420" spans="1:10" ht="19.25" hidden="1" customHeight="1" x14ac:dyDescent="0.3">
      <c r="A2420" s="8">
        <v>2523015</v>
      </c>
      <c r="B2420" s="6" t="s">
        <v>80</v>
      </c>
      <c r="C2420" s="1" t="s">
        <v>9</v>
      </c>
      <c r="D2420" s="1" t="s">
        <v>9</v>
      </c>
      <c r="E2420" s="1" t="s">
        <v>9</v>
      </c>
      <c r="F2420" s="6"/>
      <c r="G2420" s="6"/>
      <c r="H2420" s="11"/>
      <c r="I242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20" t="str">
        <f>IF(Table1[[#This Row],[Nationality]]="Nigeria",Table1[[#This Row],[EMJM Scholarship]],"Not Applicable")</f>
        <v>Not Applicable</v>
      </c>
    </row>
    <row r="2421" spans="1:10" ht="19.25" hidden="1" customHeight="1" x14ac:dyDescent="0.3">
      <c r="A2421" s="8">
        <v>2523018</v>
      </c>
      <c r="B2421" s="6" t="s">
        <v>80</v>
      </c>
      <c r="C2421" s="1" t="s">
        <v>9</v>
      </c>
      <c r="D2421" s="1" t="s">
        <v>9</v>
      </c>
      <c r="E2421" s="1" t="s">
        <v>9</v>
      </c>
      <c r="F2421" s="6"/>
      <c r="G2421" s="6"/>
      <c r="H2421" s="11"/>
      <c r="I242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21" t="str">
        <f>IF(Table1[[#This Row],[Nationality]]="Nigeria",Table1[[#This Row],[EMJM Scholarship]],"Not Applicable")</f>
        <v>Not Applicable</v>
      </c>
    </row>
    <row r="2422" spans="1:10" ht="19.25" hidden="1" customHeight="1" x14ac:dyDescent="0.3">
      <c r="A2422" s="8">
        <v>2523027</v>
      </c>
      <c r="B2422" s="6" t="s">
        <v>80</v>
      </c>
      <c r="C2422" s="1" t="s">
        <v>9</v>
      </c>
      <c r="D2422" s="1" t="s">
        <v>9</v>
      </c>
      <c r="E2422" s="1" t="s">
        <v>9</v>
      </c>
      <c r="F2422" s="6"/>
      <c r="G2422" s="6"/>
      <c r="H2422" s="11"/>
      <c r="I242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22" t="str">
        <f>IF(Table1[[#This Row],[Nationality]]="Nigeria",Table1[[#This Row],[EMJM Scholarship]],"Not Applicable")</f>
        <v>Not Applicable</v>
      </c>
    </row>
    <row r="2423" spans="1:10" ht="19.25" hidden="1" customHeight="1" x14ac:dyDescent="0.3">
      <c r="A2423" s="8">
        <v>2523031</v>
      </c>
      <c r="B2423" s="6" t="s">
        <v>80</v>
      </c>
      <c r="C2423" s="1" t="s">
        <v>9</v>
      </c>
      <c r="D2423" s="1" t="s">
        <v>9</v>
      </c>
      <c r="E2423" s="1" t="s">
        <v>9</v>
      </c>
      <c r="F2423" s="6"/>
      <c r="G2423" s="6"/>
      <c r="H2423" s="11"/>
      <c r="I242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23" t="str">
        <f>IF(Table1[[#This Row],[Nationality]]="Nigeria",Table1[[#This Row],[EMJM Scholarship]],"Not Applicable")</f>
        <v>Not Applicable</v>
      </c>
    </row>
    <row r="2424" spans="1:10" ht="19.25" hidden="1" customHeight="1" x14ac:dyDescent="0.3">
      <c r="A2424" s="8">
        <v>2523036</v>
      </c>
      <c r="B2424" s="6" t="s">
        <v>80</v>
      </c>
      <c r="C2424" s="1" t="s">
        <v>9</v>
      </c>
      <c r="D2424" s="1" t="s">
        <v>9</v>
      </c>
      <c r="E2424" s="1" t="s">
        <v>9</v>
      </c>
      <c r="F2424" s="6"/>
      <c r="G2424" s="6"/>
      <c r="H2424" s="11"/>
      <c r="I242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24" t="str">
        <f>IF(Table1[[#This Row],[Nationality]]="Nigeria",Table1[[#This Row],[EMJM Scholarship]],"Not Applicable")</f>
        <v>Not Applicable</v>
      </c>
    </row>
    <row r="2425" spans="1:10" ht="19.25" hidden="1" customHeight="1" x14ac:dyDescent="0.3">
      <c r="A2425" s="8">
        <v>2523038</v>
      </c>
      <c r="B2425" s="6" t="s">
        <v>80</v>
      </c>
      <c r="C2425" s="1" t="s">
        <v>9</v>
      </c>
      <c r="D2425" s="1" t="s">
        <v>9</v>
      </c>
      <c r="E2425" s="1" t="s">
        <v>9</v>
      </c>
      <c r="F2425" s="6"/>
      <c r="G2425" s="6"/>
      <c r="H2425" s="11"/>
      <c r="I242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25" t="str">
        <f>IF(Table1[[#This Row],[Nationality]]="Nigeria",Table1[[#This Row],[EMJM Scholarship]],"Not Applicable")</f>
        <v>Not Applicable</v>
      </c>
    </row>
    <row r="2426" spans="1:10" ht="19.25" hidden="1" customHeight="1" x14ac:dyDescent="0.3">
      <c r="A2426" s="8">
        <v>2523044</v>
      </c>
      <c r="B2426" s="6" t="s">
        <v>80</v>
      </c>
      <c r="C2426" s="1" t="s">
        <v>9</v>
      </c>
      <c r="D2426" s="1" t="s">
        <v>9</v>
      </c>
      <c r="E2426" s="1" t="s">
        <v>9</v>
      </c>
      <c r="F2426" s="6"/>
      <c r="G2426" s="6"/>
      <c r="H2426" s="11"/>
      <c r="I242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26" t="str">
        <f>IF(Table1[[#This Row],[Nationality]]="Nigeria",Table1[[#This Row],[EMJM Scholarship]],"Not Applicable")</f>
        <v>Not Applicable</v>
      </c>
    </row>
    <row r="2427" spans="1:10" ht="19.25" hidden="1" customHeight="1" x14ac:dyDescent="0.3">
      <c r="A2427" s="8">
        <v>2523056</v>
      </c>
      <c r="B2427" s="6" t="s">
        <v>80</v>
      </c>
      <c r="C2427" s="1" t="s">
        <v>9</v>
      </c>
      <c r="D2427" s="1" t="s">
        <v>9</v>
      </c>
      <c r="E2427" s="1" t="s">
        <v>9</v>
      </c>
      <c r="F2427" s="6"/>
      <c r="G2427" s="6"/>
      <c r="H2427" s="11"/>
      <c r="I242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27" t="str">
        <f>IF(Table1[[#This Row],[Nationality]]="Nigeria",Table1[[#This Row],[EMJM Scholarship]],"Not Applicable")</f>
        <v>Not Applicable</v>
      </c>
    </row>
    <row r="2428" spans="1:10" ht="19.25" hidden="1" customHeight="1" x14ac:dyDescent="0.3">
      <c r="A2428" s="8">
        <v>2523066</v>
      </c>
      <c r="B2428" s="6" t="s">
        <v>80</v>
      </c>
      <c r="C2428" s="1" t="s">
        <v>9</v>
      </c>
      <c r="D2428" s="1" t="s">
        <v>9</v>
      </c>
      <c r="E2428" s="1" t="s">
        <v>9</v>
      </c>
      <c r="F2428" s="6"/>
      <c r="G2428" s="6"/>
      <c r="H2428" s="11"/>
      <c r="I242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28" t="str">
        <f>IF(Table1[[#This Row],[Nationality]]="Nigeria",Table1[[#This Row],[EMJM Scholarship]],"Not Applicable")</f>
        <v>Not Applicable</v>
      </c>
    </row>
    <row r="2429" spans="1:10" ht="19.25" hidden="1" customHeight="1" x14ac:dyDescent="0.3">
      <c r="A2429" s="8">
        <v>2523078</v>
      </c>
      <c r="B2429" s="6" t="s">
        <v>80</v>
      </c>
      <c r="C2429" s="1" t="s">
        <v>9</v>
      </c>
      <c r="D2429" s="1" t="s">
        <v>9</v>
      </c>
      <c r="E2429" s="1" t="s">
        <v>9</v>
      </c>
      <c r="F2429" s="6"/>
      <c r="G2429" s="6"/>
      <c r="H2429" s="11"/>
      <c r="I242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29" t="str">
        <f>IF(Table1[[#This Row],[Nationality]]="Nigeria",Table1[[#This Row],[EMJM Scholarship]],"Not Applicable")</f>
        <v>Not Applicable</v>
      </c>
    </row>
    <row r="2430" spans="1:10" ht="19.25" hidden="1" customHeight="1" x14ac:dyDescent="0.3">
      <c r="A2430" s="8">
        <v>2523079</v>
      </c>
      <c r="B2430" s="6" t="s">
        <v>80</v>
      </c>
      <c r="C2430" s="1" t="s">
        <v>9</v>
      </c>
      <c r="D2430" s="1" t="s">
        <v>9</v>
      </c>
      <c r="E2430" s="1" t="s">
        <v>9</v>
      </c>
      <c r="F2430" s="6"/>
      <c r="G2430" s="6"/>
      <c r="H2430" s="11"/>
      <c r="I243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30" t="str">
        <f>IF(Table1[[#This Row],[Nationality]]="Nigeria",Table1[[#This Row],[EMJM Scholarship]],"Not Applicable")</f>
        <v>Not Applicable</v>
      </c>
    </row>
    <row r="2431" spans="1:10" ht="19.25" hidden="1" customHeight="1" x14ac:dyDescent="0.3">
      <c r="A2431" s="8">
        <v>2523081</v>
      </c>
      <c r="B2431" s="6" t="s">
        <v>80</v>
      </c>
      <c r="C2431" s="1" t="s">
        <v>9</v>
      </c>
      <c r="D2431" s="1" t="s">
        <v>9</v>
      </c>
      <c r="E2431" s="1" t="s">
        <v>9</v>
      </c>
      <c r="F2431" s="6"/>
      <c r="G2431" s="6"/>
      <c r="H2431" s="11"/>
      <c r="I243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31" t="str">
        <f>IF(Table1[[#This Row],[Nationality]]="Nigeria",Table1[[#This Row],[EMJM Scholarship]],"Not Applicable")</f>
        <v>Not Applicable</v>
      </c>
    </row>
    <row r="2432" spans="1:10" ht="19.25" hidden="1" customHeight="1" x14ac:dyDescent="0.3">
      <c r="A2432" s="8">
        <v>2523086</v>
      </c>
      <c r="B2432" s="6" t="s">
        <v>80</v>
      </c>
      <c r="C2432" s="1" t="s">
        <v>9</v>
      </c>
      <c r="D2432" s="1" t="s">
        <v>9</v>
      </c>
      <c r="E2432" s="1" t="s">
        <v>9</v>
      </c>
      <c r="F2432" s="6"/>
      <c r="G2432" s="6"/>
      <c r="H2432" s="11"/>
      <c r="I243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32" t="str">
        <f>IF(Table1[[#This Row],[Nationality]]="Nigeria",Table1[[#This Row],[EMJM Scholarship]],"Not Applicable")</f>
        <v>Not Applicable</v>
      </c>
    </row>
    <row r="2433" spans="1:10" ht="19.25" hidden="1" customHeight="1" x14ac:dyDescent="0.3">
      <c r="A2433" s="8">
        <v>2523088</v>
      </c>
      <c r="B2433" s="6" t="s">
        <v>80</v>
      </c>
      <c r="C2433" s="1" t="s">
        <v>9</v>
      </c>
      <c r="D2433" s="1" t="s">
        <v>9</v>
      </c>
      <c r="E2433" s="1" t="s">
        <v>9</v>
      </c>
      <c r="F2433" s="6"/>
      <c r="G2433" s="6"/>
      <c r="H2433" s="11"/>
      <c r="I243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33" t="str">
        <f>IF(Table1[[#This Row],[Nationality]]="Nigeria",Table1[[#This Row],[EMJM Scholarship]],"Not Applicable")</f>
        <v>Not Applicable</v>
      </c>
    </row>
    <row r="2434" spans="1:10" ht="19.25" hidden="1" customHeight="1" x14ac:dyDescent="0.3">
      <c r="A2434" s="8">
        <v>2523093</v>
      </c>
      <c r="B2434" s="6" t="s">
        <v>80</v>
      </c>
      <c r="C2434" s="1" t="s">
        <v>9</v>
      </c>
      <c r="D2434" s="1" t="s">
        <v>9</v>
      </c>
      <c r="E2434" s="1" t="s">
        <v>9</v>
      </c>
      <c r="F2434" s="6"/>
      <c r="G2434" s="6"/>
      <c r="H2434" s="11"/>
      <c r="I243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34" t="str">
        <f>IF(Table1[[#This Row],[Nationality]]="Nigeria",Table1[[#This Row],[EMJM Scholarship]],"Not Applicable")</f>
        <v>Not Applicable</v>
      </c>
    </row>
    <row r="2435" spans="1:10" ht="19.25" hidden="1" customHeight="1" x14ac:dyDescent="0.3">
      <c r="A2435" s="8">
        <v>2523095</v>
      </c>
      <c r="B2435" s="6" t="s">
        <v>80</v>
      </c>
      <c r="C2435" s="1" t="s">
        <v>9</v>
      </c>
      <c r="D2435" s="1" t="s">
        <v>9</v>
      </c>
      <c r="E2435" s="1" t="s">
        <v>9</v>
      </c>
      <c r="F2435" s="6"/>
      <c r="G2435" s="6"/>
      <c r="H2435" s="11"/>
      <c r="I243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35" t="str">
        <f>IF(Table1[[#This Row],[Nationality]]="Nigeria",Table1[[#This Row],[EMJM Scholarship]],"Not Applicable")</f>
        <v>Not Applicable</v>
      </c>
    </row>
    <row r="2436" spans="1:10" ht="19.25" hidden="1" customHeight="1" x14ac:dyDescent="0.3">
      <c r="A2436" s="8">
        <v>2523097</v>
      </c>
      <c r="B2436" s="6" t="s">
        <v>80</v>
      </c>
      <c r="C2436" s="1" t="s">
        <v>9</v>
      </c>
      <c r="D2436" s="1" t="s">
        <v>9</v>
      </c>
      <c r="E2436" s="1" t="s">
        <v>9</v>
      </c>
      <c r="F2436" s="6"/>
      <c r="G2436" s="6"/>
      <c r="H2436" s="11"/>
      <c r="I243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36" t="str">
        <f>IF(Table1[[#This Row],[Nationality]]="Nigeria",Table1[[#This Row],[EMJM Scholarship]],"Not Applicable")</f>
        <v>Not Applicable</v>
      </c>
    </row>
    <row r="2437" spans="1:10" ht="19.25" hidden="1" customHeight="1" x14ac:dyDescent="0.3">
      <c r="A2437" s="8">
        <v>2523111</v>
      </c>
      <c r="B2437" s="6" t="s">
        <v>80</v>
      </c>
      <c r="C2437" s="1" t="s">
        <v>9</v>
      </c>
      <c r="D2437" s="1" t="s">
        <v>9</v>
      </c>
      <c r="E2437" s="1" t="s">
        <v>9</v>
      </c>
      <c r="F2437" s="6"/>
      <c r="G2437" s="6"/>
      <c r="H2437" s="11"/>
      <c r="I243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37" t="str">
        <f>IF(Table1[[#This Row],[Nationality]]="Nigeria",Table1[[#This Row],[EMJM Scholarship]],"Not Applicable")</f>
        <v>Not Applicable</v>
      </c>
    </row>
    <row r="2438" spans="1:10" ht="19.25" hidden="1" customHeight="1" x14ac:dyDescent="0.3">
      <c r="A2438" s="8">
        <v>2523113</v>
      </c>
      <c r="B2438" s="6" t="s">
        <v>80</v>
      </c>
      <c r="C2438" s="1" t="s">
        <v>9</v>
      </c>
      <c r="D2438" s="1" t="s">
        <v>9</v>
      </c>
      <c r="E2438" s="1" t="s">
        <v>9</v>
      </c>
      <c r="F2438" s="6"/>
      <c r="G2438" s="6"/>
      <c r="H2438" s="11"/>
      <c r="I243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38" t="str">
        <f>IF(Table1[[#This Row],[Nationality]]="Nigeria",Table1[[#This Row],[EMJM Scholarship]],"Not Applicable")</f>
        <v>Not Applicable</v>
      </c>
    </row>
    <row r="2439" spans="1:10" ht="19.25" hidden="1" customHeight="1" x14ac:dyDescent="0.3">
      <c r="A2439" s="8">
        <v>2523114</v>
      </c>
      <c r="B2439" s="6" t="s">
        <v>80</v>
      </c>
      <c r="C2439" s="1" t="s">
        <v>9</v>
      </c>
      <c r="D2439" s="1" t="s">
        <v>9</v>
      </c>
      <c r="E2439" s="1" t="s">
        <v>9</v>
      </c>
      <c r="F2439" s="6"/>
      <c r="G2439" s="6"/>
      <c r="H2439" s="11"/>
      <c r="I243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39" t="str">
        <f>IF(Table1[[#This Row],[Nationality]]="Nigeria",Table1[[#This Row],[EMJM Scholarship]],"Not Applicable")</f>
        <v>Not Applicable</v>
      </c>
    </row>
    <row r="2440" spans="1:10" ht="19.25" hidden="1" customHeight="1" x14ac:dyDescent="0.3">
      <c r="A2440" s="8">
        <v>2523119</v>
      </c>
      <c r="B2440" s="6" t="s">
        <v>80</v>
      </c>
      <c r="C2440" s="1" t="s">
        <v>9</v>
      </c>
      <c r="D2440" s="1" t="s">
        <v>9</v>
      </c>
      <c r="E2440" s="1" t="s">
        <v>9</v>
      </c>
      <c r="F2440" s="6"/>
      <c r="G2440" s="6"/>
      <c r="H2440" s="11"/>
      <c r="I244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40" t="str">
        <f>IF(Table1[[#This Row],[Nationality]]="Nigeria",Table1[[#This Row],[EMJM Scholarship]],"Not Applicable")</f>
        <v>Not Applicable</v>
      </c>
    </row>
    <row r="2441" spans="1:10" ht="19.25" hidden="1" customHeight="1" x14ac:dyDescent="0.3">
      <c r="A2441" s="8">
        <v>2523127</v>
      </c>
      <c r="B2441" s="6" t="s">
        <v>80</v>
      </c>
      <c r="C2441" s="1" t="s">
        <v>9</v>
      </c>
      <c r="D2441" s="1" t="s">
        <v>9</v>
      </c>
      <c r="E2441" s="1" t="s">
        <v>9</v>
      </c>
      <c r="F2441" s="6"/>
      <c r="G2441" s="6"/>
      <c r="H2441" s="11"/>
      <c r="I244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41" t="str">
        <f>IF(Table1[[#This Row],[Nationality]]="Nigeria",Table1[[#This Row],[EMJM Scholarship]],"Not Applicable")</f>
        <v>Not Applicable</v>
      </c>
    </row>
    <row r="2442" spans="1:10" ht="19.25" hidden="1" customHeight="1" x14ac:dyDescent="0.3">
      <c r="A2442" s="8">
        <v>2523129</v>
      </c>
      <c r="B2442" s="6" t="s">
        <v>80</v>
      </c>
      <c r="C2442" s="1" t="s">
        <v>9</v>
      </c>
      <c r="D2442" s="1" t="s">
        <v>9</v>
      </c>
      <c r="E2442" s="1" t="s">
        <v>9</v>
      </c>
      <c r="F2442" s="6"/>
      <c r="G2442" s="6"/>
      <c r="H2442" s="11"/>
      <c r="I244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42" t="str">
        <f>IF(Table1[[#This Row],[Nationality]]="Nigeria",Table1[[#This Row],[EMJM Scholarship]],"Not Applicable")</f>
        <v>Not Applicable</v>
      </c>
    </row>
    <row r="2443" spans="1:10" ht="19.25" hidden="1" customHeight="1" x14ac:dyDescent="0.3">
      <c r="A2443" s="8">
        <v>2523139</v>
      </c>
      <c r="B2443" s="6" t="s">
        <v>80</v>
      </c>
      <c r="C2443" s="1" t="s">
        <v>9</v>
      </c>
      <c r="D2443" s="1" t="s">
        <v>9</v>
      </c>
      <c r="E2443" s="1" t="s">
        <v>9</v>
      </c>
      <c r="F2443" s="6"/>
      <c r="G2443" s="6"/>
      <c r="H2443" s="11"/>
      <c r="I244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43" t="str">
        <f>IF(Table1[[#This Row],[Nationality]]="Nigeria",Table1[[#This Row],[EMJM Scholarship]],"Not Applicable")</f>
        <v>Not Applicable</v>
      </c>
    </row>
    <row r="2444" spans="1:10" ht="19.25" hidden="1" customHeight="1" x14ac:dyDescent="0.3">
      <c r="A2444" s="8">
        <v>2523154</v>
      </c>
      <c r="B2444" s="6" t="s">
        <v>80</v>
      </c>
      <c r="C2444" s="1" t="s">
        <v>9</v>
      </c>
      <c r="D2444" s="1" t="s">
        <v>9</v>
      </c>
      <c r="E2444" s="1" t="s">
        <v>9</v>
      </c>
      <c r="F2444" s="6"/>
      <c r="G2444" s="6"/>
      <c r="H2444" s="11"/>
      <c r="I244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44" t="str">
        <f>IF(Table1[[#This Row],[Nationality]]="Nigeria",Table1[[#This Row],[EMJM Scholarship]],"Not Applicable")</f>
        <v>Not Applicable</v>
      </c>
    </row>
    <row r="2445" spans="1:10" ht="19.25" hidden="1" customHeight="1" x14ac:dyDescent="0.3">
      <c r="A2445" s="8">
        <v>2523165</v>
      </c>
      <c r="B2445" s="6" t="s">
        <v>80</v>
      </c>
      <c r="C2445" s="1" t="s">
        <v>9</v>
      </c>
      <c r="D2445" s="1" t="s">
        <v>9</v>
      </c>
      <c r="E2445" s="1" t="s">
        <v>9</v>
      </c>
      <c r="F2445" s="6"/>
      <c r="G2445" s="6"/>
      <c r="H2445" s="11"/>
      <c r="I244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45" t="str">
        <f>IF(Table1[[#This Row],[Nationality]]="Nigeria",Table1[[#This Row],[EMJM Scholarship]],"Not Applicable")</f>
        <v>Not Applicable</v>
      </c>
    </row>
    <row r="2446" spans="1:10" ht="19.25" hidden="1" customHeight="1" x14ac:dyDescent="0.3">
      <c r="A2446" s="8">
        <v>2523188</v>
      </c>
      <c r="B2446" s="6" t="s">
        <v>80</v>
      </c>
      <c r="C2446" s="1" t="s">
        <v>9</v>
      </c>
      <c r="D2446" s="1" t="s">
        <v>9</v>
      </c>
      <c r="E2446" s="1" t="s">
        <v>9</v>
      </c>
      <c r="F2446" s="6"/>
      <c r="G2446" s="6"/>
      <c r="H2446" s="11"/>
      <c r="I244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46" t="str">
        <f>IF(Table1[[#This Row],[Nationality]]="Nigeria",Table1[[#This Row],[EMJM Scholarship]],"Not Applicable")</f>
        <v>Not Applicable</v>
      </c>
    </row>
    <row r="2447" spans="1:10" ht="19.25" hidden="1" customHeight="1" x14ac:dyDescent="0.3">
      <c r="A2447" s="8">
        <v>2523198</v>
      </c>
      <c r="B2447" s="6" t="s">
        <v>80</v>
      </c>
      <c r="C2447" s="1" t="s">
        <v>9</v>
      </c>
      <c r="D2447" s="1" t="s">
        <v>9</v>
      </c>
      <c r="E2447" s="1" t="s">
        <v>9</v>
      </c>
      <c r="F2447" s="6"/>
      <c r="G2447" s="6"/>
      <c r="H2447" s="11"/>
      <c r="I244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47" t="str">
        <f>IF(Table1[[#This Row],[Nationality]]="Nigeria",Table1[[#This Row],[EMJM Scholarship]],"Not Applicable")</f>
        <v>Not Applicable</v>
      </c>
    </row>
    <row r="2448" spans="1:10" ht="19.25" hidden="1" customHeight="1" x14ac:dyDescent="0.3">
      <c r="A2448" s="8">
        <v>2523202</v>
      </c>
      <c r="B2448" s="6" t="s">
        <v>80</v>
      </c>
      <c r="C2448" s="1" t="s">
        <v>9</v>
      </c>
      <c r="D2448" s="1" t="s">
        <v>9</v>
      </c>
      <c r="E2448" s="1" t="s">
        <v>9</v>
      </c>
      <c r="F2448" s="6"/>
      <c r="G2448" s="6"/>
      <c r="H2448" s="11"/>
      <c r="I244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48" t="str">
        <f>IF(Table1[[#This Row],[Nationality]]="Nigeria",Table1[[#This Row],[EMJM Scholarship]],"Not Applicable")</f>
        <v>Not Applicable</v>
      </c>
    </row>
    <row r="2449" spans="1:10" ht="19.25" hidden="1" customHeight="1" x14ac:dyDescent="0.3">
      <c r="A2449" s="8">
        <v>2523214</v>
      </c>
      <c r="B2449" s="6" t="s">
        <v>80</v>
      </c>
      <c r="C2449" s="1" t="s">
        <v>9</v>
      </c>
      <c r="D2449" s="1" t="s">
        <v>9</v>
      </c>
      <c r="E2449" s="1" t="s">
        <v>9</v>
      </c>
      <c r="F2449" s="6"/>
      <c r="G2449" s="6"/>
      <c r="H2449" s="11"/>
      <c r="I244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49" t="str">
        <f>IF(Table1[[#This Row],[Nationality]]="Nigeria",Table1[[#This Row],[EMJM Scholarship]],"Not Applicable")</f>
        <v>Not Applicable</v>
      </c>
    </row>
    <row r="2450" spans="1:10" ht="19.25" hidden="1" customHeight="1" x14ac:dyDescent="0.3">
      <c r="A2450" s="8">
        <v>2523251</v>
      </c>
      <c r="B2450" s="5" t="s">
        <v>80</v>
      </c>
      <c r="C2450" s="1" t="s">
        <v>9</v>
      </c>
      <c r="D2450" s="1" t="s">
        <v>9</v>
      </c>
      <c r="E2450" s="1" t="s">
        <v>9</v>
      </c>
      <c r="F2450" s="5"/>
      <c r="G2450" s="5"/>
      <c r="H2450" s="10"/>
      <c r="I245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50" t="str">
        <f>IF(Table1[[#This Row],[Nationality]]="Nigeria",Table1[[#This Row],[EMJM Scholarship]],"Not Applicable")</f>
        <v>Not Applicable</v>
      </c>
    </row>
    <row r="2451" spans="1:10" ht="19.25" hidden="1" customHeight="1" x14ac:dyDescent="0.3">
      <c r="A2451" s="8">
        <v>2523267</v>
      </c>
      <c r="B2451" s="5" t="s">
        <v>80</v>
      </c>
      <c r="C2451" s="1" t="s">
        <v>9</v>
      </c>
      <c r="D2451" s="1" t="s">
        <v>9</v>
      </c>
      <c r="E2451" s="1" t="s">
        <v>9</v>
      </c>
      <c r="F2451" s="5"/>
      <c r="G2451" s="5"/>
      <c r="H2451" s="10"/>
      <c r="I245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51" t="str">
        <f>IF(Table1[[#This Row],[Nationality]]="Nigeria",Table1[[#This Row],[EMJM Scholarship]],"Not Applicable")</f>
        <v>Not Applicable</v>
      </c>
    </row>
    <row r="2452" spans="1:10" ht="19.25" hidden="1" customHeight="1" x14ac:dyDescent="0.3">
      <c r="A2452" s="8">
        <v>2523278</v>
      </c>
      <c r="B2452" s="5" t="s">
        <v>80</v>
      </c>
      <c r="C2452" s="1" t="s">
        <v>9</v>
      </c>
      <c r="D2452" s="1" t="s">
        <v>9</v>
      </c>
      <c r="E2452" s="1" t="s">
        <v>9</v>
      </c>
      <c r="F2452" s="5"/>
      <c r="G2452" s="5"/>
      <c r="H2452" s="10"/>
      <c r="I245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52" t="str">
        <f>IF(Table1[[#This Row],[Nationality]]="Nigeria",Table1[[#This Row],[EMJM Scholarship]],"Not Applicable")</f>
        <v>Not Applicable</v>
      </c>
    </row>
    <row r="2453" spans="1:10" ht="19.25" hidden="1" customHeight="1" x14ac:dyDescent="0.3">
      <c r="A2453" s="8">
        <v>2523320</v>
      </c>
      <c r="B2453" s="5" t="s">
        <v>80</v>
      </c>
      <c r="C2453" s="1" t="s">
        <v>9</v>
      </c>
      <c r="D2453" s="1" t="s">
        <v>9</v>
      </c>
      <c r="E2453" s="1" t="s">
        <v>9</v>
      </c>
      <c r="F2453" s="5"/>
      <c r="G2453" s="5"/>
      <c r="H2453" s="10"/>
      <c r="I245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53" t="str">
        <f>IF(Table1[[#This Row],[Nationality]]="Nigeria",Table1[[#This Row],[EMJM Scholarship]],"Not Applicable")</f>
        <v>Not Applicable</v>
      </c>
    </row>
    <row r="2454" spans="1:10" ht="19.25" hidden="1" customHeight="1" x14ac:dyDescent="0.3">
      <c r="A2454" s="8">
        <v>2523322</v>
      </c>
      <c r="B2454" s="5" t="s">
        <v>80</v>
      </c>
      <c r="C2454" s="1" t="s">
        <v>9</v>
      </c>
      <c r="D2454" s="1" t="s">
        <v>9</v>
      </c>
      <c r="E2454" s="1" t="s">
        <v>9</v>
      </c>
      <c r="F2454" s="5"/>
      <c r="G2454" s="5"/>
      <c r="H2454" s="10"/>
      <c r="I245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54" t="str">
        <f>IF(Table1[[#This Row],[Nationality]]="Nigeria",Table1[[#This Row],[EMJM Scholarship]],"Not Applicable")</f>
        <v>Not Applicable</v>
      </c>
    </row>
    <row r="2455" spans="1:10" ht="19.25" hidden="1" customHeight="1" x14ac:dyDescent="0.3">
      <c r="A2455" s="8">
        <v>2523390</v>
      </c>
      <c r="B2455" s="5" t="s">
        <v>80</v>
      </c>
      <c r="C2455" s="1" t="s">
        <v>9</v>
      </c>
      <c r="D2455" s="1" t="s">
        <v>9</v>
      </c>
      <c r="E2455" s="1" t="s">
        <v>9</v>
      </c>
      <c r="F2455" s="5"/>
      <c r="G2455" s="5"/>
      <c r="H2455" s="10"/>
      <c r="I245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55" t="str">
        <f>IF(Table1[[#This Row],[Nationality]]="Nigeria",Table1[[#This Row],[EMJM Scholarship]],"Not Applicable")</f>
        <v>Not Applicable</v>
      </c>
    </row>
    <row r="2456" spans="1:10" ht="19.25" hidden="1" customHeight="1" x14ac:dyDescent="0.3">
      <c r="A2456" s="8">
        <v>2523401</v>
      </c>
      <c r="B2456" s="5" t="s">
        <v>80</v>
      </c>
      <c r="C2456" s="1" t="s">
        <v>9</v>
      </c>
      <c r="D2456" s="1" t="s">
        <v>9</v>
      </c>
      <c r="E2456" s="1" t="s">
        <v>9</v>
      </c>
      <c r="F2456" s="5"/>
      <c r="G2456" s="5"/>
      <c r="H2456" s="10"/>
      <c r="I245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56" t="str">
        <f>IF(Table1[[#This Row],[Nationality]]="Nigeria",Table1[[#This Row],[EMJM Scholarship]],"Not Applicable")</f>
        <v>Not Applicable</v>
      </c>
    </row>
    <row r="2457" spans="1:10" ht="19.25" hidden="1" customHeight="1" x14ac:dyDescent="0.3">
      <c r="A2457" s="8">
        <v>2523433</v>
      </c>
      <c r="B2457" s="5" t="s">
        <v>80</v>
      </c>
      <c r="C2457" s="1" t="s">
        <v>9</v>
      </c>
      <c r="D2457" s="1" t="s">
        <v>9</v>
      </c>
      <c r="E2457" s="1" t="s">
        <v>9</v>
      </c>
      <c r="F2457" s="5"/>
      <c r="G2457" s="5"/>
      <c r="H2457" s="10"/>
      <c r="I2457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57" t="str">
        <f>IF(Table1[[#This Row],[Nationality]]="Nigeria",Table1[[#This Row],[EMJM Scholarship]],"Not Applicable")</f>
        <v>Not Applicable</v>
      </c>
    </row>
    <row r="2458" spans="1:10" ht="19.25" hidden="1" customHeight="1" x14ac:dyDescent="0.3">
      <c r="A2458" s="8">
        <v>2523435</v>
      </c>
      <c r="B2458" s="5" t="s">
        <v>80</v>
      </c>
      <c r="C2458" s="1" t="s">
        <v>9</v>
      </c>
      <c r="D2458" s="1" t="s">
        <v>9</v>
      </c>
      <c r="E2458" s="1" t="s">
        <v>9</v>
      </c>
      <c r="F2458" s="5"/>
      <c r="G2458" s="5"/>
      <c r="H2458" s="10"/>
      <c r="I2458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58" t="str">
        <f>IF(Table1[[#This Row],[Nationality]]="Nigeria",Table1[[#This Row],[EMJM Scholarship]],"Not Applicable")</f>
        <v>Not Applicable</v>
      </c>
    </row>
    <row r="2459" spans="1:10" ht="19.25" hidden="1" customHeight="1" x14ac:dyDescent="0.3">
      <c r="A2459" s="8">
        <v>2523442</v>
      </c>
      <c r="B2459" s="5" t="s">
        <v>80</v>
      </c>
      <c r="C2459" s="1" t="s">
        <v>9</v>
      </c>
      <c r="D2459" s="1" t="s">
        <v>9</v>
      </c>
      <c r="E2459" s="1" t="s">
        <v>9</v>
      </c>
      <c r="F2459" s="5"/>
      <c r="G2459" s="5"/>
      <c r="H2459" s="10"/>
      <c r="I2459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59" t="str">
        <f>IF(Table1[[#This Row],[Nationality]]="Nigeria",Table1[[#This Row],[EMJM Scholarship]],"Not Applicable")</f>
        <v>Not Applicable</v>
      </c>
    </row>
    <row r="2460" spans="1:10" ht="19.25" hidden="1" customHeight="1" x14ac:dyDescent="0.3">
      <c r="A2460" s="8">
        <v>2523500</v>
      </c>
      <c r="B2460" s="5" t="s">
        <v>80</v>
      </c>
      <c r="C2460" s="1" t="s">
        <v>9</v>
      </c>
      <c r="D2460" s="1" t="s">
        <v>9</v>
      </c>
      <c r="E2460" s="1" t="s">
        <v>9</v>
      </c>
      <c r="F2460" s="5"/>
      <c r="G2460" s="5"/>
      <c r="H2460" s="10"/>
      <c r="I2460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60" t="str">
        <f>IF(Table1[[#This Row],[Nationality]]="Nigeria",Table1[[#This Row],[EMJM Scholarship]],"Not Applicable")</f>
        <v>Not Applicable</v>
      </c>
    </row>
    <row r="2461" spans="1:10" ht="19.25" hidden="1" customHeight="1" x14ac:dyDescent="0.3">
      <c r="A2461" s="8">
        <v>2523558</v>
      </c>
      <c r="B2461" s="5" t="s">
        <v>80</v>
      </c>
      <c r="C2461" s="1" t="s">
        <v>9</v>
      </c>
      <c r="D2461" s="1" t="s">
        <v>9</v>
      </c>
      <c r="E2461" s="1" t="s">
        <v>9</v>
      </c>
      <c r="F2461" s="5"/>
      <c r="G2461" s="5"/>
      <c r="H2461" s="10"/>
      <c r="I2461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61" t="str">
        <f>IF(Table1[[#This Row],[Nationality]]="Nigeria",Table1[[#This Row],[EMJM Scholarship]],"Not Applicable")</f>
        <v>Not Applicable</v>
      </c>
    </row>
    <row r="2462" spans="1:10" ht="19.25" hidden="1" customHeight="1" x14ac:dyDescent="0.3">
      <c r="A2462" s="8">
        <v>2523560</v>
      </c>
      <c r="B2462" s="5" t="s">
        <v>80</v>
      </c>
      <c r="C2462" s="1" t="s">
        <v>9</v>
      </c>
      <c r="D2462" s="1" t="s">
        <v>9</v>
      </c>
      <c r="E2462" s="1" t="s">
        <v>9</v>
      </c>
      <c r="F2462" s="5"/>
      <c r="G2462" s="5"/>
      <c r="H2462" s="10"/>
      <c r="I2462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62" t="str">
        <f>IF(Table1[[#This Row],[Nationality]]="Nigeria",Table1[[#This Row],[EMJM Scholarship]],"Not Applicable")</f>
        <v>Not Applicable</v>
      </c>
    </row>
    <row r="2463" spans="1:10" ht="19.25" hidden="1" customHeight="1" x14ac:dyDescent="0.3">
      <c r="A2463" s="8">
        <v>2523587</v>
      </c>
      <c r="B2463" s="5" t="s">
        <v>80</v>
      </c>
      <c r="C2463" s="1" t="s">
        <v>9</v>
      </c>
      <c r="D2463" s="1" t="s">
        <v>9</v>
      </c>
      <c r="E2463" s="1" t="s">
        <v>9</v>
      </c>
      <c r="F2463" s="5"/>
      <c r="G2463" s="5"/>
      <c r="H2463" s="10"/>
      <c r="I2463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63" t="str">
        <f>IF(Table1[[#This Row],[Nationality]]="Nigeria",Table1[[#This Row],[EMJM Scholarship]],"Not Applicable")</f>
        <v>Not Applicable</v>
      </c>
    </row>
    <row r="2464" spans="1:10" ht="19.25" hidden="1" customHeight="1" x14ac:dyDescent="0.3">
      <c r="A2464" s="8">
        <v>2523747</v>
      </c>
      <c r="B2464" s="5" t="s">
        <v>80</v>
      </c>
      <c r="C2464" s="1" t="s">
        <v>9</v>
      </c>
      <c r="D2464" s="1" t="s">
        <v>9</v>
      </c>
      <c r="E2464" s="1" t="s">
        <v>9</v>
      </c>
      <c r="F2464" s="5"/>
      <c r="G2464" s="5"/>
      <c r="H2464" s="10"/>
      <c r="I2464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64" t="str">
        <f>IF(Table1[[#This Row],[Nationality]]="Nigeria",Table1[[#This Row],[EMJM Scholarship]],"Not Applicable")</f>
        <v>Not Applicable</v>
      </c>
    </row>
    <row r="2465" spans="1:10" ht="19.25" hidden="1" customHeight="1" x14ac:dyDescent="0.3">
      <c r="A2465" s="8">
        <v>2523787</v>
      </c>
      <c r="B2465" s="5" t="s">
        <v>80</v>
      </c>
      <c r="C2465" s="1" t="s">
        <v>9</v>
      </c>
      <c r="D2465" s="1" t="s">
        <v>9</v>
      </c>
      <c r="E2465" s="1" t="s">
        <v>9</v>
      </c>
      <c r="F2465" s="5"/>
      <c r="G2465" s="5"/>
      <c r="H2465" s="10"/>
      <c r="I2465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65" t="str">
        <f>IF(Table1[[#This Row],[Nationality]]="Nigeria",Table1[[#This Row],[EMJM Scholarship]],"Not Applicable")</f>
        <v>Not Applicable</v>
      </c>
    </row>
    <row r="2466" spans="1:10" ht="19.25" hidden="1" customHeight="1" x14ac:dyDescent="0.3">
      <c r="A2466" s="17">
        <v>2523830</v>
      </c>
      <c r="B2466" s="18" t="s">
        <v>80</v>
      </c>
      <c r="C2466" s="19" t="s">
        <v>9</v>
      </c>
      <c r="D2466" s="19" t="s">
        <v>9</v>
      </c>
      <c r="E2466" s="19" t="s">
        <v>9</v>
      </c>
      <c r="F2466" s="18"/>
      <c r="G2466" s="18"/>
      <c r="H2466" s="20"/>
      <c r="I2466" s="40" t="str">
        <f>IF(AND(Table1[[#This Row],[Selected IM]]="Yes",Table1[[#This Row],[Selected MM]]="Yes",Table1[[#This Row],[Selected RM]]="Yes"),"Triple Yes",IF(OR((AND(Table1[[#This Row],[Selected IM]]="Yes",Table1[[#This Row],[Selected MM]]="No",Table1[[#This Row],[Selected RM]]="Yes")),(AND(Table1[[#This Row],[Selected IM]]="No",Table1[[#This Row],[Selected MM]]="Yes",Table1[[#This Row],[Selected RM]]="Yes"))),"Double Yes", IF(AND(Table1[[#This Row],[Selected IM]]="No",Table1[[#This Row],[Selected MM]]="No",Table1[[#This Row],[Selected RM]]="Yes"), "Single Yes", "Triple No")))</f>
        <v>Triple No</v>
      </c>
      <c r="J2466" t="str">
        <f>IF(Table1[[#This Row],[Nationality]]="Nigeria",Table1[[#This Row],[EMJM Scholarship]],"Not Applicable")</f>
        <v>Not Applicable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45D20-289A-492D-825F-58523835DADF}">
  <dimension ref="A1:AD56"/>
  <sheetViews>
    <sheetView showGridLines="0" tabSelected="1" zoomScale="85" zoomScaleNormal="85" workbookViewId="0">
      <selection activeCell="AD14" sqref="AD14"/>
    </sheetView>
  </sheetViews>
  <sheetFormatPr defaultRowHeight="13" x14ac:dyDescent="0.3"/>
  <sheetData>
    <row r="1" spans="1:24" x14ac:dyDescent="0.3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</row>
    <row r="2" spans="1:24" x14ac:dyDescent="0.3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</row>
    <row r="3" spans="1:24" x14ac:dyDescent="0.3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</row>
    <row r="4" spans="1:24" x14ac:dyDescent="0.3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</row>
    <row r="5" spans="1:24" x14ac:dyDescent="0.3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</row>
    <row r="6" spans="1:24" x14ac:dyDescent="0.3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</row>
    <row r="7" spans="1:24" x14ac:dyDescent="0.3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</row>
    <row r="8" spans="1:24" x14ac:dyDescent="0.3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</row>
    <row r="9" spans="1:24" x14ac:dyDescent="0.3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</row>
    <row r="10" spans="1:24" x14ac:dyDescent="0.3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</row>
    <row r="11" spans="1:24" x14ac:dyDescent="0.3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</row>
    <row r="12" spans="1:24" x14ac:dyDescent="0.3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</row>
    <row r="13" spans="1:24" x14ac:dyDescent="0.3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</row>
    <row r="14" spans="1:24" x14ac:dyDescent="0.3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</row>
    <row r="15" spans="1:24" x14ac:dyDescent="0.3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</row>
    <row r="16" spans="1:24" x14ac:dyDescent="0.3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</row>
    <row r="17" spans="1:30" x14ac:dyDescent="0.3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 spans="1:30" x14ac:dyDescent="0.3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</row>
    <row r="19" spans="1:30" x14ac:dyDescent="0.3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</row>
    <row r="20" spans="1:30" x14ac:dyDescent="0.3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</row>
    <row r="21" spans="1:30" x14ac:dyDescent="0.3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</row>
    <row r="22" spans="1:30" x14ac:dyDescent="0.3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</row>
    <row r="23" spans="1:30" x14ac:dyDescent="0.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AB23" s="46"/>
      <c r="AC23" s="46"/>
      <c r="AD23" s="46"/>
    </row>
    <row r="24" spans="1:30" x14ac:dyDescent="0.3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AB24" s="47"/>
      <c r="AC24" s="47"/>
      <c r="AD24" s="47"/>
    </row>
    <row r="25" spans="1:30" x14ac:dyDescent="0.3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AB25" s="48"/>
      <c r="AC25" s="49"/>
      <c r="AD25" s="49"/>
    </row>
    <row r="26" spans="1:30" x14ac:dyDescent="0.3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AB26" s="43"/>
      <c r="AC26" s="44"/>
      <c r="AD26" s="44"/>
    </row>
    <row r="27" spans="1:30" x14ac:dyDescent="0.3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AB27" s="43"/>
      <c r="AC27" s="44"/>
      <c r="AD27" s="44"/>
    </row>
    <row r="28" spans="1:30" x14ac:dyDescent="0.3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AB28" s="43"/>
      <c r="AC28" s="44"/>
      <c r="AD28" s="44"/>
    </row>
    <row r="29" spans="1:30" x14ac:dyDescent="0.3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AB29" s="43"/>
      <c r="AC29" s="44"/>
      <c r="AD29" s="44"/>
    </row>
    <row r="30" spans="1:30" x14ac:dyDescent="0.3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AB30" s="43"/>
      <c r="AC30" s="44"/>
      <c r="AD30" s="44"/>
    </row>
    <row r="31" spans="1:30" x14ac:dyDescent="0.3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AB31" s="43"/>
      <c r="AC31" s="44"/>
      <c r="AD31" s="44"/>
    </row>
    <row r="32" spans="1:30" x14ac:dyDescent="0.3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AB32" s="43"/>
      <c r="AC32" s="44"/>
      <c r="AD32" s="44"/>
    </row>
    <row r="33" spans="1:30" x14ac:dyDescent="0.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AB33" s="43"/>
      <c r="AC33" s="44"/>
      <c r="AD33" s="44"/>
    </row>
    <row r="34" spans="1:30" x14ac:dyDescent="0.3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AB34" s="43"/>
      <c r="AC34" s="44"/>
      <c r="AD34" s="44"/>
    </row>
    <row r="35" spans="1:30" x14ac:dyDescent="0.3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AB35" s="43"/>
      <c r="AC35" s="44"/>
      <c r="AD35" s="44"/>
    </row>
    <row r="36" spans="1:30" x14ac:dyDescent="0.3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</row>
    <row r="37" spans="1:30" x14ac:dyDescent="0.3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</row>
    <row r="38" spans="1:30" x14ac:dyDescent="0.3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</row>
    <row r="39" spans="1:30" x14ac:dyDescent="0.3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</row>
    <row r="40" spans="1:30" x14ac:dyDescent="0.3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</row>
    <row r="41" spans="1:30" x14ac:dyDescent="0.3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</row>
    <row r="42" spans="1:30" x14ac:dyDescent="0.3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</row>
    <row r="43" spans="1:30" x14ac:dyDescent="0.3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</row>
    <row r="44" spans="1:30" x14ac:dyDescent="0.3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</row>
    <row r="45" spans="1:30" x14ac:dyDescent="0.3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</row>
    <row r="46" spans="1:30" x14ac:dyDescent="0.3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</row>
    <row r="47" spans="1:30" x14ac:dyDescent="0.3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</row>
    <row r="48" spans="1:30" x14ac:dyDescent="0.3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</row>
    <row r="49" spans="1:24" x14ac:dyDescent="0.3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</row>
    <row r="50" spans="1:24" x14ac:dyDescent="0.3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</row>
    <row r="51" spans="1:24" x14ac:dyDescent="0.3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</row>
    <row r="52" spans="1:24" x14ac:dyDescent="0.3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</row>
    <row r="53" spans="1:24" x14ac:dyDescent="0.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</row>
    <row r="54" spans="1:24" x14ac:dyDescent="0.3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</row>
    <row r="55" spans="1:24" x14ac:dyDescent="0.3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</row>
    <row r="56" spans="1:24" x14ac:dyDescent="0.3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DF62-7005-46BF-B62B-EBBFD3859616}">
  <dimension ref="G7:I18"/>
  <sheetViews>
    <sheetView workbookViewId="0">
      <selection activeCell="G7" sqref="G7:I18"/>
    </sheetView>
  </sheetViews>
  <sheetFormatPr defaultRowHeight="13" x14ac:dyDescent="0.3"/>
  <cols>
    <col min="7" max="7" width="12.796875" customWidth="1"/>
    <col min="8" max="9" width="10.5" customWidth="1"/>
  </cols>
  <sheetData>
    <row r="7" spans="7:9" x14ac:dyDescent="0.3">
      <c r="G7" s="45" t="s">
        <v>100</v>
      </c>
      <c r="H7" s="45" t="s">
        <v>102</v>
      </c>
      <c r="I7" s="45" t="s">
        <v>101</v>
      </c>
    </row>
    <row r="8" spans="7:9" x14ac:dyDescent="0.3">
      <c r="G8" s="43">
        <v>2513497</v>
      </c>
      <c r="H8" s="44">
        <v>2523681</v>
      </c>
      <c r="I8" s="44">
        <v>2486714</v>
      </c>
    </row>
    <row r="9" spans="7:9" x14ac:dyDescent="0.3">
      <c r="G9" s="43">
        <v>2501634</v>
      </c>
      <c r="H9" s="44">
        <v>2416993</v>
      </c>
      <c r="I9" s="44">
        <v>2461416</v>
      </c>
    </row>
    <row r="10" spans="7:9" x14ac:dyDescent="0.3">
      <c r="G10" s="43">
        <v>2489553</v>
      </c>
      <c r="H10" s="44">
        <v>2480650</v>
      </c>
      <c r="I10" s="44">
        <v>2429237</v>
      </c>
    </row>
    <row r="11" spans="7:9" x14ac:dyDescent="0.3">
      <c r="G11" s="43">
        <v>2438563</v>
      </c>
      <c r="H11" s="44">
        <v>2468821</v>
      </c>
      <c r="I11" s="44">
        <v>2463467</v>
      </c>
    </row>
    <row r="12" spans="7:9" x14ac:dyDescent="0.3">
      <c r="G12" s="43">
        <v>2486137</v>
      </c>
      <c r="H12" s="44">
        <v>2507896</v>
      </c>
      <c r="I12" s="44">
        <v>2482203</v>
      </c>
    </row>
    <row r="13" spans="7:9" x14ac:dyDescent="0.3">
      <c r="G13" s="43">
        <v>2414601</v>
      </c>
      <c r="H13" s="44">
        <v>2459982</v>
      </c>
      <c r="I13" s="44">
        <v>2421789</v>
      </c>
    </row>
    <row r="14" spans="7:9" x14ac:dyDescent="0.3">
      <c r="G14" s="43">
        <v>2414563</v>
      </c>
      <c r="H14" s="44">
        <v>2417391</v>
      </c>
      <c r="I14" s="44">
        <v>2461653</v>
      </c>
    </row>
    <row r="15" spans="7:9" x14ac:dyDescent="0.3">
      <c r="G15" s="43">
        <v>2495429</v>
      </c>
      <c r="H15" s="44">
        <v>2434117</v>
      </c>
      <c r="I15" s="44">
        <v>2488646</v>
      </c>
    </row>
    <row r="16" spans="7:9" x14ac:dyDescent="0.3">
      <c r="G16" s="43">
        <v>2489632</v>
      </c>
      <c r="H16" s="44">
        <v>2424251</v>
      </c>
      <c r="I16" s="44"/>
    </row>
    <row r="17" spans="7:9" x14ac:dyDescent="0.3">
      <c r="G17" s="43">
        <v>2414590</v>
      </c>
      <c r="H17" s="44">
        <v>2464142</v>
      </c>
      <c r="I17" s="44"/>
    </row>
    <row r="18" spans="7:9" x14ac:dyDescent="0.3">
      <c r="G18" s="43">
        <v>2444879</v>
      </c>
      <c r="H18" s="44">
        <v>2414548</v>
      </c>
      <c r="I18" s="4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Table 1</vt:lpstr>
      <vt:lpstr>DASHBOARD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admitted_applicants2026</dc:title>
  <dc:creator>wevbuewqvpuiv</dc:creator>
  <cp:lastModifiedBy>Abubakar Toyeeb</cp:lastModifiedBy>
  <dcterms:created xsi:type="dcterms:W3CDTF">2026-04-18T12:59:59Z</dcterms:created>
  <dcterms:modified xsi:type="dcterms:W3CDTF">2026-04-18T23:16:46Z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2026-04-18T00:00:00Z</vt:filetime>
  </property>
  <property fmtid="{D5CDD505-2E9C-101B-9397-08002B2CF9AE}" pid="4" name="Creator">
    <vt:lpwstr>Excel</vt:lpwstr>
  </property>
  <property fmtid="{D5CDD505-2E9C-101B-9397-08002B2CF9AE}" pid="5" name="LastSaved">
    <vt:filetime>2026-04-18T00:00:00Z</vt:filetime>
  </property>
  <property fmtid="{D5CDD505-2E9C-101B-9397-08002B2CF9AE}" pid="6" name="Producer">
    <vt:lpwstr>macOS Version 26.3.1 (a) (Build 25D771280a) Quartz PDFContext</vt:lpwstr>
  </property>
</Properties>
</file>